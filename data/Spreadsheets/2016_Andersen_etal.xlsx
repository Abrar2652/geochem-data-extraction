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drawings/drawing4.xml" ContentType="application/vnd.openxmlformats-officedocument.drawingml.chartshapes+xml"/>
  <Override PartName="/xl/drawings/drawing2.xml" ContentType="application/vnd.openxmlformats-officedocument.drawingml.chartshape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mc:AlternateContent xmlns:mc="http://schemas.openxmlformats.org/markup-compatibility/2006">
    <mc:Choice Requires="x15">
      <x15ac:absPath xmlns:x15ac="http://schemas.microsoft.com/office/spreadsheetml/2010/11/ac" url="D:\working\waccache\DM3PEPF0001408D\EXCELCNV\4921d2a5-fa85-45ee-8987-d72cb01eb68b\"/>
    </mc:Choice>
  </mc:AlternateContent>
  <xr:revisionPtr revIDLastSave="0" documentId="8_{50663729-2285-4A3A-B1BC-EC0F96563251}" xr6:coauthVersionLast="47" xr6:coauthVersionMax="47" xr10:uidLastSave="{00000000-0000-0000-0000-000000000000}"/>
  <bookViews>
    <workbookView xWindow="-60" yWindow="-60" windowWidth="15480" windowHeight="11640" tabRatio="862" firstSheet="8" activeTab="8" xr2:uid="{75B6A2CB-EC42-4C44-98F3-746E7ECA6A09}"/>
  </bookViews>
  <sheets>
    <sheet name="Bornite-Chalcocite" sheetId="7" r:id="rId1"/>
    <sheet name="Tetrahedrite-Tennantite" sheetId="5" r:id="rId2"/>
    <sheet name="Löllingite" sheetId="9" r:id="rId3"/>
    <sheet name="Arsenopyrite" sheetId="4" r:id="rId4"/>
    <sheet name="Pyrite" sheetId="10" r:id="rId5"/>
    <sheet name="Pyrrhotite" sheetId="13" r:id="rId6"/>
    <sheet name="Chalcopyrite" sheetId="3" r:id="rId7"/>
    <sheet name="Stannite-kesterite" sheetId="8" r:id="rId8"/>
    <sheet name="Sphalerite" sheetId="2" r:id="rId9"/>
    <sheet name="Cassiterite" sheetId="1" r:id="rId10"/>
    <sheet name="Galena" sheetId="11" r:id="rId11"/>
    <sheet name="Others" sheetId="14" r:id="rId12"/>
    <sheet name="Standards" sheetId="12" r:id="rId13"/>
    <sheet name="Table 2" sheetId="16" r:id="rId14"/>
    <sheet name="Table 3" sheetId="17" r:id="rId15"/>
    <sheet name="Table 4" sheetId="19" r:id="rId16"/>
    <sheet name="Table 5" sheetId="20" r:id="rId17"/>
  </sheets>
  <definedNames>
    <definedName name="_xlnm.Print_Area" localSheetId="14">'Table 3'!$C$1:$S$53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0" l="1"/>
  <c r="C4" i="20"/>
  <c r="C5" i="20"/>
  <c r="C6" i="20"/>
  <c r="C7" i="20"/>
  <c r="C8" i="20"/>
  <c r="C9" i="20"/>
  <c r="C10" i="20"/>
  <c r="C11" i="20"/>
  <c r="C12" i="20"/>
  <c r="C13" i="20"/>
  <c r="C14" i="20"/>
  <c r="C15" i="20"/>
  <c r="C16" i="20"/>
  <c r="C17" i="20"/>
  <c r="C18" i="20"/>
  <c r="C3" i="17"/>
  <c r="C4" i="17"/>
  <c r="C5" i="17"/>
  <c r="C6"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O40" i="17"/>
  <c r="R40" i="17"/>
  <c r="S40" i="17"/>
  <c r="C41" i="17"/>
  <c r="C42" i="17"/>
  <c r="C43" i="17"/>
  <c r="C44" i="17"/>
  <c r="C45" i="17"/>
  <c r="C47" i="17"/>
  <c r="C48" i="17"/>
  <c r="C49" i="17"/>
  <c r="C50" i="17"/>
  <c r="C51" i="17"/>
  <c r="C52" i="17"/>
  <c r="C53" i="17"/>
  <c r="I15" i="12"/>
  <c r="Q2" i="1"/>
  <c r="R2" i="1"/>
  <c r="S2" i="1"/>
  <c r="Q3" i="1"/>
  <c r="R3" i="1"/>
  <c r="S3" i="1"/>
  <c r="Q4" i="1"/>
  <c r="R4" i="1"/>
  <c r="S4" i="1"/>
  <c r="Q5" i="1"/>
  <c r="R5" i="1"/>
  <c r="S5" i="1"/>
  <c r="Q6" i="1"/>
  <c r="R6" i="1"/>
  <c r="S6" i="1"/>
  <c r="Q7" i="1"/>
  <c r="R7" i="1"/>
  <c r="S7" i="1"/>
  <c r="Q8" i="1"/>
  <c r="R8" i="1"/>
  <c r="S8" i="1"/>
  <c r="Q9" i="1"/>
  <c r="R9" i="1"/>
  <c r="S9" i="1"/>
  <c r="Q10" i="1"/>
  <c r="R10" i="1"/>
  <c r="S10" i="1"/>
  <c r="Q11" i="1"/>
  <c r="R11" i="1"/>
  <c r="S11" i="1"/>
  <c r="Q12" i="1"/>
  <c r="R12" i="1"/>
  <c r="S12" i="1"/>
  <c r="Q13" i="1"/>
  <c r="R13" i="1"/>
  <c r="S13" i="1"/>
  <c r="V13" i="1"/>
  <c r="Z21" i="17" s="1"/>
  <c r="W13" i="1"/>
  <c r="AA21" i="17" s="1"/>
  <c r="Q14" i="1"/>
  <c r="R14" i="1"/>
  <c r="S14" i="1"/>
  <c r="Q15" i="1"/>
  <c r="R15" i="1"/>
  <c r="S15" i="1"/>
  <c r="Q16" i="1"/>
  <c r="R16" i="1"/>
  <c r="S16" i="1"/>
  <c r="Q17" i="1"/>
  <c r="R17" i="1"/>
  <c r="S17" i="1"/>
  <c r="V17" i="1"/>
  <c r="Z31" i="17" s="1"/>
  <c r="W17" i="1"/>
  <c r="AA31" i="17" s="1"/>
  <c r="Q18" i="1"/>
  <c r="R18" i="1"/>
  <c r="S18" i="1"/>
  <c r="Q19" i="1"/>
  <c r="R19" i="1"/>
  <c r="S19" i="1"/>
  <c r="V19" i="1"/>
  <c r="Z19" i="17" s="1"/>
  <c r="W19" i="1"/>
  <c r="AA19" i="17" s="1"/>
  <c r="Q20" i="1"/>
  <c r="R20" i="1"/>
  <c r="S20" i="1"/>
  <c r="Q21" i="1"/>
  <c r="R21" i="1"/>
  <c r="S21" i="1"/>
  <c r="Q22" i="1"/>
  <c r="R22" i="1"/>
  <c r="S22" i="1"/>
  <c r="Q23" i="1"/>
  <c r="R23" i="1"/>
  <c r="S23" i="1"/>
  <c r="Q24" i="1"/>
  <c r="R24" i="1"/>
  <c r="S24" i="1"/>
  <c r="Q25" i="1"/>
  <c r="R25" i="1"/>
  <c r="S25" i="1"/>
  <c r="Q26" i="1"/>
  <c r="R26" i="1"/>
  <c r="S26" i="1"/>
  <c r="Q27" i="1"/>
  <c r="R27" i="1"/>
  <c r="S27" i="1"/>
  <c r="Q28" i="1"/>
  <c r="R28" i="1"/>
  <c r="S28" i="1"/>
  <c r="Q29" i="1"/>
  <c r="R29" i="1"/>
  <c r="S29" i="1"/>
  <c r="Q30" i="1"/>
  <c r="R30" i="1"/>
  <c r="S30" i="1"/>
  <c r="Q31" i="1"/>
  <c r="R31" i="1"/>
  <c r="S31" i="1"/>
  <c r="Q32" i="1"/>
  <c r="R32" i="1"/>
  <c r="S32" i="1"/>
  <c r="Q33" i="1"/>
  <c r="R33" i="1"/>
  <c r="S33" i="1"/>
  <c r="Q34" i="1"/>
  <c r="R34" i="1"/>
  <c r="S34" i="1"/>
  <c r="Q35" i="1"/>
  <c r="R35" i="1"/>
  <c r="S35" i="1"/>
  <c r="Q36" i="1"/>
  <c r="R36" i="1"/>
  <c r="S36" i="1"/>
  <c r="N37" i="1"/>
  <c r="Q37" i="1"/>
  <c r="R37" i="1"/>
  <c r="S37" i="1"/>
  <c r="V37" i="1"/>
  <c r="Z15" i="17" s="1"/>
  <c r="W37" i="1"/>
  <c r="AA15" i="17" s="1"/>
  <c r="Q38" i="1"/>
  <c r="R38" i="1"/>
  <c r="S38" i="1"/>
  <c r="V38" i="1"/>
  <c r="Z13" i="17" s="1"/>
  <c r="W38" i="1"/>
  <c r="AA13" i="17" s="1"/>
  <c r="Q39" i="1"/>
  <c r="R39" i="1"/>
  <c r="S39" i="1"/>
  <c r="Q40" i="1"/>
  <c r="R40" i="1"/>
  <c r="S40" i="1"/>
  <c r="Q41" i="1"/>
  <c r="R41" i="1"/>
  <c r="S41" i="1"/>
  <c r="Q42" i="1"/>
  <c r="R42" i="1"/>
  <c r="S42" i="1"/>
  <c r="V42" i="1"/>
  <c r="Z29" i="17" s="1"/>
  <c r="W42" i="1"/>
  <c r="AA29" i="17" s="1"/>
  <c r="Q43" i="1"/>
  <c r="R43" i="1"/>
  <c r="S43" i="1"/>
  <c r="Q44" i="1"/>
  <c r="R44" i="1"/>
  <c r="S44" i="1"/>
  <c r="Q45" i="1"/>
  <c r="R45" i="1"/>
  <c r="S45" i="1"/>
  <c r="Q46" i="1"/>
  <c r="R46" i="1"/>
  <c r="S46" i="1"/>
  <c r="U46" i="1"/>
  <c r="Y38" i="17" s="1"/>
  <c r="V46" i="1"/>
  <c r="Z38" i="17" s="1"/>
  <c r="W46" i="1"/>
  <c r="AA38" i="17" s="1"/>
  <c r="X46" i="1"/>
  <c r="AB38" i="17" s="1"/>
  <c r="Y46" i="1"/>
  <c r="AC38" i="17" s="1"/>
  <c r="Q47" i="1"/>
  <c r="R47" i="1"/>
  <c r="S47" i="1"/>
  <c r="V47" i="1"/>
  <c r="Z35" i="17" s="1"/>
  <c r="W47" i="1"/>
  <c r="AA35" i="17" s="1"/>
  <c r="Q48" i="1"/>
  <c r="R48" i="1"/>
  <c r="S48" i="1"/>
  <c r="Q49" i="1"/>
  <c r="R49" i="1"/>
  <c r="S49" i="1"/>
  <c r="V49" i="1"/>
  <c r="Z41" i="17" s="1"/>
  <c r="W49" i="1"/>
  <c r="AA41" i="17" s="1"/>
  <c r="Q50" i="1"/>
  <c r="R50" i="1"/>
  <c r="S50" i="1"/>
  <c r="Q51" i="1"/>
  <c r="R51" i="1"/>
  <c r="S51" i="1"/>
  <c r="Q52" i="1"/>
  <c r="R52" i="1"/>
  <c r="S52" i="1"/>
  <c r="Q53" i="1"/>
  <c r="R53" i="1"/>
  <c r="S53" i="1"/>
  <c r="Q54" i="1"/>
  <c r="R54" i="1"/>
  <c r="S54" i="1"/>
  <c r="U54" i="1"/>
  <c r="Y36" i="17" s="1"/>
  <c r="V54" i="1"/>
  <c r="Z36" i="17" s="1"/>
  <c r="W54" i="1"/>
  <c r="AA36" i="17" s="1"/>
  <c r="X54" i="1"/>
  <c r="AB36" i="17" s="1"/>
  <c r="Y54" i="1"/>
  <c r="AC36" i="17" s="1"/>
  <c r="Q55" i="1"/>
  <c r="R55" i="1"/>
  <c r="S55" i="1"/>
  <c r="Q56" i="1"/>
  <c r="R56" i="1"/>
  <c r="S56" i="1"/>
  <c r="Q57" i="1"/>
  <c r="R57" i="1"/>
  <c r="S57" i="1"/>
  <c r="Q58" i="1"/>
  <c r="R58" i="1"/>
  <c r="S58" i="1"/>
  <c r="Q59" i="1"/>
  <c r="R59" i="1"/>
  <c r="S59" i="1"/>
  <c r="Q60" i="1"/>
  <c r="R60" i="1"/>
  <c r="S60" i="1"/>
  <c r="Q61" i="1"/>
  <c r="R61" i="1"/>
  <c r="S61" i="1"/>
  <c r="Q62" i="1"/>
  <c r="R62" i="1"/>
  <c r="S62" i="1"/>
  <c r="Q63" i="1"/>
  <c r="R63" i="1"/>
  <c r="S63" i="1"/>
  <c r="Q64" i="1"/>
  <c r="R64" i="1"/>
  <c r="S64" i="1"/>
  <c r="Q65" i="1"/>
  <c r="R65" i="1"/>
  <c r="S65" i="1"/>
  <c r="Q66" i="1"/>
  <c r="R66" i="1"/>
  <c r="S66" i="1"/>
  <c r="Q67" i="1"/>
  <c r="R67" i="1"/>
  <c r="S67" i="1"/>
  <c r="Q68" i="1"/>
  <c r="R68" i="1"/>
  <c r="S68" i="1"/>
  <c r="V68" i="1"/>
  <c r="Z37" i="17" s="1"/>
  <c r="W68" i="1"/>
  <c r="AA37" i="17" s="1"/>
  <c r="Q69" i="1"/>
  <c r="R69" i="1"/>
  <c r="S69" i="1"/>
  <c r="Q70" i="1"/>
  <c r="R70" i="1"/>
  <c r="S70" i="1"/>
  <c r="Q71" i="1"/>
  <c r="R71" i="1"/>
  <c r="S71" i="1"/>
  <c r="V71" i="1"/>
  <c r="Z14" i="17" s="1"/>
  <c r="W71" i="1"/>
  <c r="AA14" i="17" s="1"/>
  <c r="Q72" i="1"/>
  <c r="R72" i="1"/>
  <c r="S72" i="1"/>
  <c r="Q73" i="1"/>
  <c r="R73" i="1"/>
  <c r="S73" i="1"/>
  <c r="Q74" i="1"/>
  <c r="R74" i="1"/>
  <c r="S74" i="1"/>
  <c r="Q75" i="1"/>
  <c r="R75" i="1"/>
  <c r="S75" i="1"/>
  <c r="Q76" i="1"/>
  <c r="R76" i="1"/>
  <c r="S76" i="1"/>
  <c r="Q77" i="1"/>
  <c r="R77" i="1"/>
  <c r="S77" i="1"/>
  <c r="V77" i="1"/>
  <c r="Z25" i="17" s="1"/>
  <c r="W77" i="1"/>
  <c r="AA25" i="17" s="1"/>
  <c r="Q78" i="1"/>
  <c r="R78" i="1"/>
  <c r="S78" i="1"/>
  <c r="Q79" i="1"/>
  <c r="R79" i="1"/>
  <c r="S79" i="1"/>
  <c r="Q80" i="1"/>
  <c r="R80" i="1"/>
  <c r="S80" i="1"/>
  <c r="Q81" i="1"/>
  <c r="R81" i="1"/>
  <c r="S81" i="1"/>
  <c r="Q82" i="1"/>
  <c r="R82" i="1"/>
  <c r="S82" i="1"/>
  <c r="Q83" i="1"/>
  <c r="R83" i="1"/>
  <c r="S83" i="1"/>
  <c r="Q84" i="1"/>
  <c r="R84" i="1"/>
  <c r="S84" i="1"/>
  <c r="U84" i="1"/>
  <c r="Y30" i="17" s="1"/>
  <c r="V84" i="1"/>
  <c r="Z30" i="17" s="1"/>
  <c r="W84" i="1"/>
  <c r="AA30" i="17" s="1"/>
  <c r="X84" i="1"/>
  <c r="AB30" i="17" s="1"/>
  <c r="Y84" i="1"/>
  <c r="AC30" i="17" s="1"/>
  <c r="Q85" i="1"/>
  <c r="R85" i="1"/>
  <c r="S85" i="1"/>
  <c r="Q86" i="1"/>
  <c r="R86" i="1"/>
  <c r="S86" i="1"/>
  <c r="Q87" i="1"/>
  <c r="R87" i="1"/>
  <c r="S87" i="1"/>
  <c r="V87" i="1"/>
  <c r="Z45" i="17" s="1"/>
  <c r="W87" i="1"/>
  <c r="AA45" i="17" s="1"/>
  <c r="Q88" i="1"/>
  <c r="R88" i="1"/>
  <c r="S88" i="1"/>
  <c r="Q89" i="1"/>
  <c r="Q2" i="2"/>
  <c r="R2" i="2"/>
  <c r="S2" i="2"/>
  <c r="V2" i="2"/>
  <c r="E30" i="17" s="1"/>
  <c r="W2" i="2"/>
  <c r="F30" i="17" s="1"/>
  <c r="X2" i="2"/>
  <c r="G30" i="17" s="1"/>
  <c r="Y2" i="2"/>
  <c r="H30" i="17" s="1"/>
  <c r="AB2" i="2"/>
  <c r="K30" i="17" s="1"/>
  <c r="AC2" i="2"/>
  <c r="L30" i="17" s="1"/>
  <c r="Q3" i="2"/>
  <c r="R3" i="2"/>
  <c r="S3" i="2"/>
  <c r="Q4" i="2"/>
  <c r="R4" i="2"/>
  <c r="S4" i="2"/>
  <c r="Q5" i="2"/>
  <c r="R5" i="2"/>
  <c r="S5" i="2"/>
  <c r="Q6" i="2"/>
  <c r="R6" i="2"/>
  <c r="S6" i="2"/>
  <c r="Q7" i="2"/>
  <c r="R7" i="2"/>
  <c r="S7" i="2"/>
  <c r="V7" i="2"/>
  <c r="E33" i="17" s="1"/>
  <c r="W7" i="2"/>
  <c r="F33" i="17" s="1"/>
  <c r="X7" i="2"/>
  <c r="G33" i="17" s="1"/>
  <c r="Y7" i="2"/>
  <c r="H33" i="17" s="1"/>
  <c r="AB7" i="2"/>
  <c r="K33" i="17" s="1"/>
  <c r="AC7" i="2"/>
  <c r="L33" i="17" s="1"/>
  <c r="Q8" i="2"/>
  <c r="R8" i="2"/>
  <c r="S8" i="2"/>
  <c r="Q9" i="2"/>
  <c r="R9" i="2"/>
  <c r="S9" i="2"/>
  <c r="Q10" i="2"/>
  <c r="R10" i="2"/>
  <c r="S10" i="2"/>
  <c r="Q11" i="2"/>
  <c r="R11" i="2"/>
  <c r="S11" i="2"/>
  <c r="V11" i="2"/>
  <c r="E14" i="17" s="1"/>
  <c r="W11" i="2"/>
  <c r="F14" i="17" s="1"/>
  <c r="X11" i="2"/>
  <c r="G14" i="17" s="1"/>
  <c r="Y11" i="2"/>
  <c r="H14" i="17" s="1"/>
  <c r="AB11" i="2"/>
  <c r="K14" i="17" s="1"/>
  <c r="AC11" i="2"/>
  <c r="L14" i="17" s="1"/>
  <c r="Q12" i="2"/>
  <c r="R12" i="2"/>
  <c r="S12" i="2"/>
  <c r="Q13" i="2"/>
  <c r="R13" i="2"/>
  <c r="S13" i="2"/>
  <c r="Q14" i="2"/>
  <c r="R14" i="2"/>
  <c r="S14" i="2"/>
  <c r="Q15" i="2"/>
  <c r="R15" i="2"/>
  <c r="S15" i="2"/>
  <c r="Q16" i="2"/>
  <c r="R16" i="2"/>
  <c r="S16" i="2"/>
  <c r="Q17" i="2"/>
  <c r="R17" i="2"/>
  <c r="S17" i="2"/>
  <c r="Q18" i="2"/>
  <c r="R18" i="2"/>
  <c r="S18" i="2"/>
  <c r="Q19" i="2"/>
  <c r="R19" i="2"/>
  <c r="S19" i="2"/>
  <c r="Q20" i="2"/>
  <c r="R20" i="2"/>
  <c r="S20" i="2"/>
  <c r="Q21" i="2"/>
  <c r="R21" i="2"/>
  <c r="S21" i="2"/>
  <c r="Q22" i="2"/>
  <c r="R22" i="2"/>
  <c r="S22" i="2"/>
  <c r="Q23" i="2"/>
  <c r="R23" i="2"/>
  <c r="S23" i="2"/>
  <c r="Q24" i="2"/>
  <c r="R24" i="2"/>
  <c r="S24" i="2"/>
  <c r="Q25" i="2"/>
  <c r="R25" i="2"/>
  <c r="S25" i="2"/>
  <c r="Q26" i="2"/>
  <c r="R26" i="2"/>
  <c r="S26" i="2"/>
  <c r="V26" i="2"/>
  <c r="E21" i="17" s="1"/>
  <c r="W26" i="2"/>
  <c r="F21" i="17" s="1"/>
  <c r="X26" i="2"/>
  <c r="G21" i="17" s="1"/>
  <c r="Y26" i="2"/>
  <c r="H21" i="17" s="1"/>
  <c r="AB26" i="2"/>
  <c r="K21" i="17" s="1"/>
  <c r="AC26" i="2"/>
  <c r="L21" i="17" s="1"/>
  <c r="Q27" i="2"/>
  <c r="R27" i="2"/>
  <c r="S27" i="2"/>
  <c r="Q28" i="2"/>
  <c r="R28" i="2"/>
  <c r="S28" i="2"/>
  <c r="Q29" i="2"/>
  <c r="R29" i="2"/>
  <c r="S29" i="2"/>
  <c r="Q30" i="2"/>
  <c r="R30" i="2"/>
  <c r="S30" i="2"/>
  <c r="Q31" i="2"/>
  <c r="R31" i="2"/>
  <c r="S31" i="2"/>
  <c r="Q32" i="2"/>
  <c r="R32" i="2"/>
  <c r="S32" i="2"/>
  <c r="Q33" i="2"/>
  <c r="R33" i="2"/>
  <c r="S33" i="2"/>
  <c r="Q34" i="2"/>
  <c r="R34" i="2"/>
  <c r="S34" i="2"/>
  <c r="Q35" i="2"/>
  <c r="R35" i="2"/>
  <c r="S35" i="2"/>
  <c r="Q36" i="2"/>
  <c r="R36" i="2"/>
  <c r="S36" i="2"/>
  <c r="Q37" i="2"/>
  <c r="R37" i="2"/>
  <c r="S37" i="2"/>
  <c r="Q38" i="2"/>
  <c r="R38" i="2"/>
  <c r="S38" i="2"/>
  <c r="Q39" i="2"/>
  <c r="R39" i="2"/>
  <c r="S39" i="2"/>
  <c r="Q40" i="2"/>
  <c r="R40" i="2"/>
  <c r="S40" i="2"/>
  <c r="Q41" i="2"/>
  <c r="R41" i="2"/>
  <c r="S41" i="2"/>
  <c r="Q42" i="2"/>
  <c r="R42" i="2"/>
  <c r="S42" i="2"/>
  <c r="Q43" i="2"/>
  <c r="R43" i="2"/>
  <c r="S43" i="2"/>
  <c r="Q44" i="2"/>
  <c r="R44" i="2"/>
  <c r="S44" i="2"/>
  <c r="Q45" i="2"/>
  <c r="R45" i="2"/>
  <c r="S45" i="2"/>
  <c r="Q46" i="2"/>
  <c r="R46" i="2"/>
  <c r="S46" i="2"/>
  <c r="Q47" i="2"/>
  <c r="R47" i="2"/>
  <c r="S47" i="2"/>
  <c r="Q48" i="2"/>
  <c r="R48" i="2"/>
  <c r="S48" i="2"/>
  <c r="Q49" i="2"/>
  <c r="R49" i="2"/>
  <c r="S49" i="2"/>
  <c r="Q50" i="2"/>
  <c r="R50" i="2"/>
  <c r="S50" i="2"/>
  <c r="Q51" i="2"/>
  <c r="R51" i="2"/>
  <c r="S51" i="2"/>
  <c r="Q52" i="2"/>
  <c r="R52" i="2"/>
  <c r="S52" i="2"/>
  <c r="Q53" i="2"/>
  <c r="R53" i="2"/>
  <c r="S53" i="2"/>
  <c r="Q54" i="2"/>
  <c r="R54" i="2"/>
  <c r="S54" i="2"/>
  <c r="Q55" i="2"/>
  <c r="R55" i="2"/>
  <c r="S55" i="2"/>
  <c r="Q56" i="2"/>
  <c r="R56" i="2"/>
  <c r="S56" i="2"/>
  <c r="Q57" i="2"/>
  <c r="R57" i="2"/>
  <c r="S57" i="2"/>
  <c r="Q58" i="2"/>
  <c r="R58" i="2"/>
  <c r="S58" i="2"/>
  <c r="Q59" i="2"/>
  <c r="R59" i="2"/>
  <c r="S59" i="2"/>
  <c r="Q60" i="2"/>
  <c r="R60" i="2"/>
  <c r="S60" i="2"/>
  <c r="Q61" i="2"/>
  <c r="R61" i="2"/>
  <c r="S61" i="2"/>
  <c r="Q62" i="2"/>
  <c r="R62" i="2"/>
  <c r="S62" i="2"/>
  <c r="Q63" i="2"/>
  <c r="R63" i="2"/>
  <c r="S63" i="2"/>
  <c r="Q64" i="2"/>
  <c r="R64" i="2"/>
  <c r="S64" i="2"/>
  <c r="Q65" i="2"/>
  <c r="R65" i="2"/>
  <c r="S65" i="2"/>
  <c r="Q66" i="2"/>
  <c r="R66" i="2"/>
  <c r="S66" i="2"/>
  <c r="Q67" i="2"/>
  <c r="R67" i="2"/>
  <c r="S67" i="2"/>
  <c r="Q68" i="2"/>
  <c r="R68" i="2"/>
  <c r="S68" i="2"/>
  <c r="Q69" i="2"/>
  <c r="R69" i="2"/>
  <c r="S69" i="2"/>
  <c r="Q70" i="2"/>
  <c r="R70" i="2"/>
  <c r="S70" i="2"/>
  <c r="Q71" i="2"/>
  <c r="R71" i="2"/>
  <c r="S71" i="2"/>
  <c r="Q72" i="2"/>
  <c r="R72" i="2"/>
  <c r="S72" i="2"/>
  <c r="Q73" i="2"/>
  <c r="R73" i="2"/>
  <c r="S73" i="2"/>
  <c r="Q74" i="2"/>
  <c r="R74" i="2"/>
  <c r="S74" i="2"/>
  <c r="Q75" i="2"/>
  <c r="R75" i="2"/>
  <c r="S75" i="2"/>
  <c r="Q76" i="2"/>
  <c r="R76" i="2"/>
  <c r="S76" i="2"/>
  <c r="Q77" i="2"/>
  <c r="R77" i="2"/>
  <c r="S77" i="2"/>
  <c r="Q78" i="2"/>
  <c r="R78" i="2"/>
  <c r="S78" i="2"/>
  <c r="Q79" i="2"/>
  <c r="R79" i="2"/>
  <c r="S79" i="2"/>
  <c r="Q80" i="2"/>
  <c r="R80" i="2"/>
  <c r="S80" i="2"/>
  <c r="Q81" i="2"/>
  <c r="R81" i="2"/>
  <c r="S81" i="2"/>
  <c r="Q82" i="2"/>
  <c r="R82" i="2"/>
  <c r="S82" i="2"/>
  <c r="Q83" i="2"/>
  <c r="R83" i="2"/>
  <c r="S83" i="2"/>
  <c r="Q84" i="2"/>
  <c r="R84" i="2"/>
  <c r="S84" i="2"/>
  <c r="Q85" i="2"/>
  <c r="R85" i="2"/>
  <c r="S85" i="2"/>
  <c r="V85" i="2"/>
  <c r="E50" i="17" s="1"/>
  <c r="W85" i="2"/>
  <c r="F50" i="17" s="1"/>
  <c r="X85" i="2"/>
  <c r="G50" i="17" s="1"/>
  <c r="Y85" i="2"/>
  <c r="H50" i="17" s="1"/>
  <c r="AB85" i="2"/>
  <c r="K50" i="17" s="1"/>
  <c r="AC85" i="2"/>
  <c r="L50" i="17" s="1"/>
  <c r="Q86" i="2"/>
  <c r="R86" i="2"/>
  <c r="S86" i="2"/>
  <c r="Q87" i="2"/>
  <c r="R87" i="2"/>
  <c r="S87" i="2"/>
  <c r="Q88" i="2"/>
  <c r="R88" i="2"/>
  <c r="S88" i="2"/>
  <c r="Q89" i="2"/>
  <c r="R89" i="2"/>
  <c r="S89" i="2"/>
  <c r="Q90" i="2"/>
  <c r="R90" i="2"/>
  <c r="S90" i="2"/>
  <c r="Q91" i="2"/>
  <c r="R91" i="2"/>
  <c r="S91" i="2"/>
  <c r="Q92" i="2"/>
  <c r="R92" i="2"/>
  <c r="S92" i="2"/>
  <c r="Q93" i="2"/>
  <c r="R93" i="2"/>
  <c r="S93" i="2"/>
  <c r="Q94" i="2"/>
  <c r="R94" i="2"/>
  <c r="S94" i="2"/>
  <c r="Q95" i="2"/>
  <c r="R95" i="2"/>
  <c r="S95" i="2"/>
  <c r="Q96" i="2"/>
  <c r="R96" i="2"/>
  <c r="S96" i="2"/>
  <c r="Q97" i="2"/>
  <c r="R97" i="2"/>
  <c r="S97" i="2"/>
  <c r="Q98" i="2"/>
  <c r="R98" i="2"/>
  <c r="S98" i="2"/>
  <c r="Q99" i="2"/>
  <c r="R99" i="2"/>
  <c r="S99" i="2"/>
  <c r="Q100" i="2"/>
  <c r="R100" i="2"/>
  <c r="S100" i="2"/>
  <c r="Q101" i="2"/>
  <c r="R101" i="2"/>
  <c r="S101" i="2"/>
  <c r="Q102" i="2"/>
  <c r="R102" i="2"/>
  <c r="S102" i="2"/>
  <c r="Q103" i="2"/>
  <c r="R103" i="2"/>
  <c r="S103" i="2"/>
  <c r="V103" i="2"/>
  <c r="E19" i="17" s="1"/>
  <c r="W103" i="2"/>
  <c r="F19" i="17" s="1"/>
  <c r="X103" i="2"/>
  <c r="G19" i="17" s="1"/>
  <c r="Y103" i="2"/>
  <c r="H19" i="17" s="1"/>
  <c r="AB103" i="2"/>
  <c r="K19" i="17" s="1"/>
  <c r="AC103" i="2"/>
  <c r="L19" i="17" s="1"/>
  <c r="Q104" i="2"/>
  <c r="R104" i="2"/>
  <c r="S104" i="2"/>
  <c r="Q105" i="2"/>
  <c r="R105" i="2"/>
  <c r="S105" i="2"/>
  <c r="Q106" i="2"/>
  <c r="R106" i="2"/>
  <c r="S106" i="2"/>
  <c r="Q107" i="2"/>
  <c r="R107" i="2"/>
  <c r="S107" i="2"/>
  <c r="Q108" i="2"/>
  <c r="R108" i="2"/>
  <c r="S108" i="2"/>
  <c r="Q109" i="2"/>
  <c r="R109" i="2"/>
  <c r="S109" i="2"/>
  <c r="Q110" i="2"/>
  <c r="R110" i="2"/>
  <c r="S110" i="2"/>
  <c r="Q111" i="2"/>
  <c r="R111" i="2"/>
  <c r="S111" i="2"/>
  <c r="Q112" i="2"/>
  <c r="R112" i="2"/>
  <c r="S112" i="2"/>
  <c r="Q113" i="2"/>
  <c r="R113" i="2"/>
  <c r="S113" i="2"/>
  <c r="Q114" i="2"/>
  <c r="R114" i="2"/>
  <c r="S114" i="2"/>
  <c r="Q115" i="2"/>
  <c r="R115" i="2"/>
  <c r="S115" i="2"/>
  <c r="Q116" i="2"/>
  <c r="R116" i="2"/>
  <c r="S116" i="2"/>
  <c r="Q117" i="2"/>
  <c r="R117" i="2"/>
  <c r="S117" i="2"/>
  <c r="Q118" i="2"/>
  <c r="R118" i="2"/>
  <c r="S118" i="2"/>
  <c r="Q119" i="2"/>
  <c r="R119" i="2"/>
  <c r="S119" i="2"/>
  <c r="Q120" i="2"/>
  <c r="R120" i="2"/>
  <c r="S120" i="2"/>
  <c r="Q121" i="2"/>
  <c r="R121" i="2"/>
  <c r="S121" i="2"/>
  <c r="Q122" i="2"/>
  <c r="R122" i="2"/>
  <c r="S122" i="2"/>
  <c r="Q123" i="2"/>
  <c r="R123" i="2"/>
  <c r="S123" i="2"/>
  <c r="Q124" i="2"/>
  <c r="R124" i="2"/>
  <c r="S124" i="2"/>
  <c r="Q125" i="2"/>
  <c r="R125" i="2"/>
  <c r="S125" i="2"/>
  <c r="Q126" i="2"/>
  <c r="R126" i="2"/>
  <c r="S126" i="2"/>
  <c r="Q127" i="2"/>
  <c r="R127" i="2"/>
  <c r="S127" i="2"/>
  <c r="Q128" i="2"/>
  <c r="R128" i="2"/>
  <c r="S128" i="2"/>
  <c r="Q129" i="2"/>
  <c r="R129" i="2"/>
  <c r="S129" i="2"/>
  <c r="Q130" i="2"/>
  <c r="R130" i="2"/>
  <c r="S130" i="2"/>
  <c r="Q131" i="2"/>
  <c r="R131" i="2"/>
  <c r="S131" i="2"/>
  <c r="Q132" i="2"/>
  <c r="R132" i="2"/>
  <c r="S132" i="2"/>
  <c r="Q133" i="2"/>
  <c r="R133" i="2"/>
  <c r="S133" i="2"/>
  <c r="Q134" i="2"/>
  <c r="R134" i="2"/>
  <c r="S134" i="2"/>
  <c r="Q135" i="2"/>
  <c r="R135" i="2"/>
  <c r="S135" i="2"/>
  <c r="Q136" i="2"/>
  <c r="R136" i="2"/>
  <c r="S136" i="2"/>
  <c r="Q137" i="2"/>
  <c r="R137" i="2"/>
  <c r="S137" i="2"/>
  <c r="Q138" i="2"/>
  <c r="R138" i="2"/>
  <c r="S138" i="2"/>
  <c r="Q139" i="2"/>
  <c r="R139" i="2"/>
  <c r="S139" i="2"/>
  <c r="Q140" i="2"/>
  <c r="R140" i="2"/>
  <c r="S140" i="2"/>
  <c r="Q141" i="2"/>
  <c r="R141" i="2"/>
  <c r="S141" i="2"/>
  <c r="Q142" i="2"/>
  <c r="R142" i="2"/>
  <c r="S142" i="2"/>
  <c r="Q143" i="2"/>
  <c r="R143" i="2"/>
  <c r="S143" i="2"/>
  <c r="Q144" i="2"/>
  <c r="R144" i="2"/>
  <c r="S144" i="2"/>
  <c r="Q145" i="2"/>
  <c r="R145" i="2"/>
  <c r="S145" i="2"/>
  <c r="Q146" i="2"/>
  <c r="R146" i="2"/>
  <c r="S146" i="2"/>
  <c r="Q147" i="2"/>
  <c r="R147" i="2"/>
  <c r="S147" i="2"/>
  <c r="Q148" i="2"/>
  <c r="R148" i="2"/>
  <c r="S148" i="2"/>
  <c r="V148" i="2"/>
  <c r="E38" i="17" s="1"/>
  <c r="W148" i="2"/>
  <c r="F38" i="17" s="1"/>
  <c r="X148" i="2"/>
  <c r="G38" i="17" s="1"/>
  <c r="Y148" i="2"/>
  <c r="H38" i="17" s="1"/>
  <c r="AB148" i="2"/>
  <c r="K38" i="17" s="1"/>
  <c r="AC148" i="2"/>
  <c r="L38" i="17" s="1"/>
  <c r="Q149" i="2"/>
  <c r="R149" i="2"/>
  <c r="S149" i="2"/>
  <c r="Q150" i="2"/>
  <c r="R150" i="2"/>
  <c r="S150" i="2"/>
  <c r="Q151" i="2"/>
  <c r="R151" i="2"/>
  <c r="S151" i="2"/>
  <c r="V151" i="2"/>
  <c r="E3" i="17" s="1"/>
  <c r="W151" i="2"/>
  <c r="F3" i="17" s="1"/>
  <c r="X151" i="2"/>
  <c r="G3" i="17" s="1"/>
  <c r="Y151" i="2"/>
  <c r="H3" i="17" s="1"/>
  <c r="AB151" i="2"/>
  <c r="K3" i="17" s="1"/>
  <c r="AC151" i="2"/>
  <c r="L3" i="17" s="1"/>
  <c r="Q152" i="2"/>
  <c r="R152" i="2"/>
  <c r="S152" i="2"/>
  <c r="Q153" i="2"/>
  <c r="R153" i="2"/>
  <c r="S153" i="2"/>
  <c r="Q154" i="2"/>
  <c r="R154" i="2"/>
  <c r="S154" i="2"/>
  <c r="Q155" i="2"/>
  <c r="R155" i="2"/>
  <c r="S155" i="2"/>
  <c r="Q156" i="2"/>
  <c r="R156" i="2"/>
  <c r="S156" i="2"/>
  <c r="Q157" i="2"/>
  <c r="R157" i="2"/>
  <c r="S157" i="2"/>
  <c r="Q158" i="2"/>
  <c r="R158" i="2"/>
  <c r="S158" i="2"/>
  <c r="Q159" i="2"/>
  <c r="R159" i="2"/>
  <c r="S159" i="2"/>
  <c r="Q160" i="2"/>
  <c r="R160" i="2"/>
  <c r="S160" i="2"/>
  <c r="Q161" i="2"/>
  <c r="R161" i="2"/>
  <c r="S161" i="2"/>
  <c r="Q162" i="2"/>
  <c r="R162" i="2"/>
  <c r="S162" i="2"/>
  <c r="Q163" i="2"/>
  <c r="R163" i="2"/>
  <c r="S163" i="2"/>
  <c r="Q164" i="2"/>
  <c r="R164" i="2"/>
  <c r="S164" i="2"/>
  <c r="Q165" i="2"/>
  <c r="R165" i="2"/>
  <c r="S165" i="2"/>
  <c r="Q166" i="2"/>
  <c r="R166" i="2"/>
  <c r="S166" i="2"/>
  <c r="Q167" i="2"/>
  <c r="R167" i="2"/>
  <c r="S167" i="2"/>
  <c r="Q168" i="2"/>
  <c r="R168" i="2"/>
  <c r="S168" i="2"/>
  <c r="Q169" i="2"/>
  <c r="R169" i="2"/>
  <c r="S169" i="2"/>
  <c r="Q170" i="2"/>
  <c r="R170" i="2"/>
  <c r="S170" i="2"/>
  <c r="Q171" i="2"/>
  <c r="R171" i="2"/>
  <c r="S171" i="2"/>
  <c r="Q172" i="2"/>
  <c r="R172" i="2"/>
  <c r="S172" i="2"/>
  <c r="Q173" i="2"/>
  <c r="R173" i="2"/>
  <c r="S173" i="2"/>
  <c r="Q174" i="2"/>
  <c r="R174" i="2"/>
  <c r="S174" i="2"/>
  <c r="Q175" i="2"/>
  <c r="R175" i="2"/>
  <c r="S175" i="2"/>
  <c r="Q176" i="2"/>
  <c r="R176" i="2"/>
  <c r="S176" i="2"/>
  <c r="Q177" i="2"/>
  <c r="R177" i="2"/>
  <c r="S177" i="2"/>
  <c r="Q178" i="2"/>
  <c r="R178" i="2"/>
  <c r="S178" i="2"/>
  <c r="Q179" i="2"/>
  <c r="R179" i="2"/>
  <c r="S179" i="2"/>
  <c r="Q180" i="2"/>
  <c r="R180" i="2"/>
  <c r="S180" i="2"/>
  <c r="Q181" i="2"/>
  <c r="R181" i="2"/>
  <c r="S181" i="2"/>
  <c r="Q182" i="2"/>
  <c r="R182" i="2"/>
  <c r="S182" i="2"/>
  <c r="V182" i="2"/>
  <c r="E29" i="17" s="1"/>
  <c r="W182" i="2"/>
  <c r="F29" i="17" s="1"/>
  <c r="X182" i="2"/>
  <c r="G29" i="17" s="1"/>
  <c r="Y182" i="2"/>
  <c r="H29" i="17" s="1"/>
  <c r="AB182" i="2"/>
  <c r="K29" i="17" s="1"/>
  <c r="AC182" i="2"/>
  <c r="L29" i="17" s="1"/>
  <c r="Q183" i="2"/>
  <c r="R183" i="2"/>
  <c r="S183" i="2"/>
  <c r="Q184" i="2"/>
  <c r="R184" i="2"/>
  <c r="S184" i="2"/>
  <c r="Q185" i="2"/>
  <c r="R185" i="2"/>
  <c r="S185" i="2"/>
  <c r="Q186" i="2"/>
  <c r="R186" i="2"/>
  <c r="S186" i="2"/>
  <c r="Q187" i="2"/>
  <c r="R187" i="2"/>
  <c r="S187" i="2"/>
  <c r="Q188" i="2"/>
  <c r="R188" i="2"/>
  <c r="S188" i="2"/>
  <c r="Q189" i="2"/>
  <c r="R189" i="2"/>
  <c r="S189" i="2"/>
  <c r="Q190" i="2"/>
  <c r="R190" i="2"/>
  <c r="S190" i="2"/>
  <c r="Q191" i="2"/>
  <c r="R191" i="2"/>
  <c r="S191" i="2"/>
  <c r="Q192" i="2"/>
  <c r="R192" i="2"/>
  <c r="S192" i="2"/>
  <c r="Q193" i="2"/>
  <c r="R193" i="2"/>
  <c r="S193" i="2"/>
  <c r="Q194" i="2"/>
  <c r="R194" i="2"/>
  <c r="S194" i="2"/>
  <c r="Q195" i="2"/>
  <c r="R195" i="2"/>
  <c r="S195" i="2"/>
  <c r="Q196" i="2"/>
  <c r="R196" i="2"/>
  <c r="S196" i="2"/>
  <c r="Q197" i="2"/>
  <c r="R197" i="2"/>
  <c r="S197" i="2"/>
  <c r="Q198" i="2"/>
  <c r="R198" i="2"/>
  <c r="S198" i="2"/>
  <c r="Q199" i="2"/>
  <c r="R199" i="2"/>
  <c r="S199" i="2"/>
  <c r="Q200" i="2"/>
  <c r="R200" i="2"/>
  <c r="S200" i="2"/>
  <c r="Q201" i="2"/>
  <c r="R201" i="2"/>
  <c r="S201" i="2"/>
  <c r="Q202" i="2"/>
  <c r="R202" i="2"/>
  <c r="S202" i="2"/>
  <c r="Q203" i="2"/>
  <c r="R203" i="2"/>
  <c r="S203" i="2"/>
  <c r="Q204" i="2"/>
  <c r="R204" i="2"/>
  <c r="S204" i="2"/>
  <c r="Q205" i="2"/>
  <c r="R205" i="2"/>
  <c r="S205" i="2"/>
  <c r="Q206" i="2"/>
  <c r="R206" i="2"/>
  <c r="S206" i="2"/>
  <c r="V206" i="2"/>
  <c r="E48" i="17" s="1"/>
  <c r="W206" i="2"/>
  <c r="F48" i="17" s="1"/>
  <c r="X206" i="2"/>
  <c r="G48" i="17" s="1"/>
  <c r="Y206" i="2"/>
  <c r="H48" i="17" s="1"/>
  <c r="AB206" i="2"/>
  <c r="K48" i="17" s="1"/>
  <c r="AC206" i="2"/>
  <c r="L48" i="17" s="1"/>
  <c r="Q207" i="2"/>
  <c r="R207" i="2"/>
  <c r="S207" i="2"/>
  <c r="Q208" i="2"/>
  <c r="R208" i="2"/>
  <c r="S208" i="2"/>
  <c r="Q209" i="2"/>
  <c r="R209" i="2"/>
  <c r="S209" i="2"/>
  <c r="Q210" i="2"/>
  <c r="R210" i="2"/>
  <c r="S210" i="2"/>
  <c r="Q211" i="2"/>
  <c r="R211" i="2"/>
  <c r="S211" i="2"/>
  <c r="Q212" i="2"/>
  <c r="R212" i="2"/>
  <c r="S212" i="2"/>
  <c r="Q213" i="2"/>
  <c r="R213" i="2"/>
  <c r="S213" i="2"/>
  <c r="Q214" i="2"/>
  <c r="R214" i="2"/>
  <c r="S214" i="2"/>
  <c r="Q215" i="2"/>
  <c r="R215" i="2"/>
  <c r="S215" i="2"/>
  <c r="Q216" i="2"/>
  <c r="R216" i="2"/>
  <c r="S216" i="2"/>
  <c r="Q217" i="2"/>
  <c r="R217" i="2"/>
  <c r="S217" i="2"/>
  <c r="Q218" i="2"/>
  <c r="R218" i="2"/>
  <c r="S218" i="2"/>
  <c r="Q219" i="2"/>
  <c r="R219" i="2"/>
  <c r="S219" i="2"/>
  <c r="Q220" i="2"/>
  <c r="R220" i="2"/>
  <c r="S220" i="2"/>
  <c r="Q221" i="2"/>
  <c r="R221" i="2"/>
  <c r="S221" i="2"/>
  <c r="Q222" i="2"/>
  <c r="R222" i="2"/>
  <c r="S222" i="2"/>
  <c r="Q223" i="2"/>
  <c r="R223" i="2"/>
  <c r="S223" i="2"/>
  <c r="Q224" i="2"/>
  <c r="R224" i="2"/>
  <c r="S224" i="2"/>
  <c r="Q225" i="2"/>
  <c r="R225" i="2"/>
  <c r="S225" i="2"/>
  <c r="V225" i="2"/>
  <c r="E32" i="17" s="1"/>
  <c r="W225" i="2"/>
  <c r="F32" i="17" s="1"/>
  <c r="X225" i="2"/>
  <c r="G32" i="17" s="1"/>
  <c r="Y225" i="2"/>
  <c r="H32" i="17" s="1"/>
  <c r="AB225" i="2"/>
  <c r="K32" i="17" s="1"/>
  <c r="AC225" i="2"/>
  <c r="L32" i="17" s="1"/>
  <c r="Q226" i="2"/>
  <c r="R226" i="2"/>
  <c r="S226" i="2"/>
  <c r="Q227" i="2"/>
  <c r="R227" i="2"/>
  <c r="S227" i="2"/>
  <c r="Q228" i="2"/>
  <c r="R228" i="2"/>
  <c r="S228" i="2"/>
  <c r="Q229" i="2"/>
  <c r="R229" i="2"/>
  <c r="S229" i="2"/>
  <c r="Q230" i="2"/>
  <c r="R230" i="2"/>
  <c r="S230" i="2"/>
  <c r="Q231" i="2"/>
  <c r="R231" i="2"/>
  <c r="S231" i="2"/>
  <c r="Q232" i="2"/>
  <c r="R232" i="2"/>
  <c r="S232" i="2"/>
  <c r="Q233" i="2"/>
  <c r="R233" i="2"/>
  <c r="S233" i="2"/>
  <c r="Q234" i="2"/>
  <c r="R234" i="2"/>
  <c r="S234" i="2"/>
  <c r="Q235" i="2"/>
  <c r="R235" i="2"/>
  <c r="S235" i="2"/>
  <c r="Q236" i="2"/>
  <c r="R236" i="2"/>
  <c r="S236" i="2"/>
  <c r="Q237" i="2"/>
  <c r="R237" i="2"/>
  <c r="S237" i="2"/>
  <c r="Q238" i="2"/>
  <c r="R238" i="2"/>
  <c r="S238" i="2"/>
  <c r="Q239" i="2"/>
  <c r="R239" i="2"/>
  <c r="S239" i="2"/>
  <c r="Q240" i="2"/>
  <c r="R240" i="2"/>
  <c r="S240" i="2"/>
  <c r="Q241" i="2"/>
  <c r="R241" i="2"/>
  <c r="S241" i="2"/>
  <c r="Q242" i="2"/>
  <c r="R242" i="2"/>
  <c r="S242" i="2"/>
  <c r="Q243" i="2"/>
  <c r="R243" i="2"/>
  <c r="S243" i="2"/>
  <c r="Q244" i="2"/>
  <c r="R244" i="2"/>
  <c r="S244" i="2"/>
  <c r="Q245" i="2"/>
  <c r="R245" i="2"/>
  <c r="S245" i="2"/>
  <c r="Q246" i="2"/>
  <c r="R246" i="2"/>
  <c r="S246" i="2"/>
  <c r="Q247" i="2"/>
  <c r="R247" i="2"/>
  <c r="S247" i="2"/>
  <c r="Q248" i="2"/>
  <c r="R248" i="2"/>
  <c r="S248" i="2"/>
  <c r="Q249" i="2"/>
  <c r="R249" i="2"/>
  <c r="S249" i="2"/>
  <c r="Q250" i="2"/>
  <c r="R250" i="2"/>
  <c r="S250" i="2"/>
  <c r="Q251" i="2"/>
  <c r="R251" i="2"/>
  <c r="S251" i="2"/>
  <c r="Q252" i="2"/>
  <c r="R252" i="2"/>
  <c r="S252" i="2"/>
  <c r="Q253" i="2"/>
  <c r="R253" i="2"/>
  <c r="S253" i="2"/>
  <c r="Q254" i="2"/>
  <c r="R254" i="2"/>
  <c r="S254" i="2"/>
  <c r="Q255" i="2"/>
  <c r="R255" i="2"/>
  <c r="S255" i="2"/>
  <c r="Q256" i="2"/>
  <c r="R256" i="2"/>
  <c r="S256" i="2"/>
  <c r="Q257" i="2"/>
  <c r="R257" i="2"/>
  <c r="S257" i="2"/>
  <c r="Q258" i="2"/>
  <c r="R258" i="2"/>
  <c r="S258" i="2"/>
  <c r="Q259" i="2"/>
  <c r="R259" i="2"/>
  <c r="S259" i="2"/>
  <c r="Q260" i="2"/>
  <c r="R260" i="2"/>
  <c r="S260" i="2"/>
  <c r="Q261" i="2"/>
  <c r="R261" i="2"/>
  <c r="S261" i="2"/>
  <c r="Q262" i="2"/>
  <c r="R262" i="2"/>
  <c r="S262" i="2"/>
  <c r="Q263" i="2"/>
  <c r="R263" i="2"/>
  <c r="S263" i="2"/>
  <c r="Q264" i="2"/>
  <c r="R264" i="2"/>
  <c r="S264" i="2"/>
  <c r="Q265" i="2"/>
  <c r="R265" i="2"/>
  <c r="S265" i="2"/>
  <c r="Q266" i="2"/>
  <c r="R266" i="2"/>
  <c r="S266" i="2"/>
  <c r="Q267" i="2"/>
  <c r="R267" i="2"/>
  <c r="S267" i="2"/>
  <c r="Q268" i="2"/>
  <c r="R268" i="2"/>
  <c r="S268" i="2"/>
  <c r="Q269" i="2"/>
  <c r="R269" i="2"/>
  <c r="S269" i="2"/>
  <c r="Q270" i="2"/>
  <c r="R270" i="2"/>
  <c r="S270" i="2"/>
  <c r="Q271" i="2"/>
  <c r="R271" i="2"/>
  <c r="S271" i="2"/>
  <c r="Q272" i="2"/>
  <c r="R272" i="2"/>
  <c r="S272" i="2"/>
  <c r="Q273" i="2"/>
  <c r="R273" i="2"/>
  <c r="S273" i="2"/>
  <c r="Q274" i="2"/>
  <c r="R274" i="2"/>
  <c r="S274" i="2"/>
  <c r="Q275" i="2"/>
  <c r="R275" i="2"/>
  <c r="S275" i="2"/>
  <c r="Q276" i="2"/>
  <c r="R276" i="2"/>
  <c r="S276" i="2"/>
  <c r="Q277" i="2"/>
  <c r="R277" i="2"/>
  <c r="S277" i="2"/>
  <c r="Q278" i="2"/>
  <c r="R278" i="2"/>
  <c r="S278" i="2"/>
  <c r="Q279" i="2"/>
  <c r="R279" i="2"/>
  <c r="S279" i="2"/>
  <c r="Q280" i="2"/>
  <c r="R280" i="2"/>
  <c r="S280" i="2"/>
  <c r="Q281" i="2"/>
  <c r="R281" i="2"/>
  <c r="S281" i="2"/>
  <c r="Q282" i="2"/>
  <c r="R282" i="2"/>
  <c r="S282" i="2"/>
  <c r="Q283" i="2"/>
  <c r="R283" i="2"/>
  <c r="S283" i="2"/>
  <c r="Q284" i="2"/>
  <c r="R284" i="2"/>
  <c r="S284" i="2"/>
  <c r="Q285" i="2"/>
  <c r="R285" i="2"/>
  <c r="S285" i="2"/>
  <c r="Q286" i="2"/>
  <c r="R286" i="2"/>
  <c r="S286" i="2"/>
  <c r="Q287" i="2"/>
  <c r="R287" i="2"/>
  <c r="S287" i="2"/>
  <c r="Q288" i="2"/>
  <c r="R288" i="2"/>
  <c r="S288" i="2"/>
  <c r="Q289" i="2"/>
  <c r="R289" i="2"/>
  <c r="S289" i="2"/>
  <c r="Q290" i="2"/>
  <c r="R290" i="2"/>
  <c r="S290" i="2"/>
  <c r="Q291" i="2"/>
  <c r="R291" i="2"/>
  <c r="S291" i="2"/>
  <c r="Q292" i="2"/>
  <c r="R292" i="2"/>
  <c r="S292" i="2"/>
  <c r="Q293" i="2"/>
  <c r="R293" i="2"/>
  <c r="S293" i="2"/>
  <c r="Q294" i="2"/>
  <c r="R294" i="2"/>
  <c r="S294" i="2"/>
  <c r="Q295" i="2"/>
  <c r="R295" i="2"/>
  <c r="S295" i="2"/>
  <c r="Q296" i="2"/>
  <c r="R296" i="2"/>
  <c r="S296" i="2"/>
  <c r="Q297" i="2"/>
  <c r="R297" i="2"/>
  <c r="S297" i="2"/>
  <c r="Q298" i="2"/>
  <c r="R298" i="2"/>
  <c r="S298" i="2"/>
  <c r="Q299" i="2"/>
  <c r="R299" i="2"/>
  <c r="S299" i="2"/>
  <c r="Q300" i="2"/>
  <c r="R300" i="2"/>
  <c r="S300" i="2"/>
  <c r="Q301" i="2"/>
  <c r="R301" i="2"/>
  <c r="S301" i="2"/>
  <c r="Q302" i="2"/>
  <c r="R302" i="2"/>
  <c r="S302" i="2"/>
  <c r="Q303" i="2"/>
  <c r="R303" i="2"/>
  <c r="S303" i="2"/>
  <c r="Q304" i="2"/>
  <c r="R304" i="2"/>
  <c r="S304" i="2"/>
  <c r="Q305" i="2"/>
  <c r="R305" i="2"/>
  <c r="S305" i="2"/>
  <c r="Q306" i="2"/>
  <c r="R306" i="2"/>
  <c r="S306" i="2"/>
  <c r="Q307" i="2"/>
  <c r="R307" i="2"/>
  <c r="S307" i="2"/>
  <c r="Q308" i="2"/>
  <c r="R308" i="2"/>
  <c r="S308" i="2"/>
  <c r="Q309" i="2"/>
  <c r="R309" i="2"/>
  <c r="S309" i="2"/>
  <c r="Q310" i="2"/>
  <c r="R310" i="2"/>
  <c r="S310" i="2"/>
  <c r="Q311" i="2"/>
  <c r="R311" i="2"/>
  <c r="S311" i="2"/>
  <c r="Q312" i="2"/>
  <c r="R312" i="2"/>
  <c r="S312" i="2"/>
  <c r="Q313" i="2"/>
  <c r="R313" i="2"/>
  <c r="S313" i="2"/>
  <c r="Q314" i="2"/>
  <c r="R314" i="2"/>
  <c r="S314" i="2"/>
  <c r="Q315" i="2"/>
  <c r="R315" i="2"/>
  <c r="S315" i="2"/>
  <c r="Q316" i="2"/>
  <c r="R316" i="2"/>
  <c r="S316" i="2"/>
  <c r="Q317" i="2"/>
  <c r="R317" i="2"/>
  <c r="S317" i="2"/>
  <c r="V317" i="2"/>
  <c r="E13" i="17" s="1"/>
  <c r="W317" i="2"/>
  <c r="F13" i="17" s="1"/>
  <c r="X317" i="2"/>
  <c r="G13" i="17" s="1"/>
  <c r="Y317" i="2"/>
  <c r="H13" i="17" s="1"/>
  <c r="AB317" i="2"/>
  <c r="K13" i="17" s="1"/>
  <c r="AC317" i="2"/>
  <c r="L13" i="17" s="1"/>
  <c r="Q318" i="2"/>
  <c r="R318" i="2"/>
  <c r="S318" i="2"/>
  <c r="Q319" i="2"/>
  <c r="R319" i="2"/>
  <c r="S319" i="2"/>
  <c r="Q320" i="2"/>
  <c r="R320" i="2"/>
  <c r="S320" i="2"/>
  <c r="Q321" i="2"/>
  <c r="R321" i="2"/>
  <c r="S321" i="2"/>
  <c r="Q322" i="2"/>
  <c r="R322" i="2"/>
  <c r="S322" i="2"/>
  <c r="Q323" i="2"/>
  <c r="R323" i="2"/>
  <c r="S323" i="2"/>
  <c r="Q324" i="2"/>
  <c r="R324" i="2"/>
  <c r="S324" i="2"/>
  <c r="Q325" i="2"/>
  <c r="R325" i="2"/>
  <c r="S325" i="2"/>
  <c r="Q326" i="2"/>
  <c r="R326" i="2"/>
  <c r="S326" i="2"/>
  <c r="Q327" i="2"/>
  <c r="R327" i="2"/>
  <c r="S327" i="2"/>
  <c r="Q328" i="2"/>
  <c r="R328" i="2"/>
  <c r="S328" i="2"/>
  <c r="Q329" i="2"/>
  <c r="R329" i="2"/>
  <c r="S329" i="2"/>
  <c r="Q330" i="2"/>
  <c r="R330" i="2"/>
  <c r="S330" i="2"/>
  <c r="Q331" i="2"/>
  <c r="R331" i="2"/>
  <c r="S331" i="2"/>
  <c r="Q332" i="2"/>
  <c r="R332" i="2"/>
  <c r="S332" i="2"/>
  <c r="Q333" i="2"/>
  <c r="R333" i="2"/>
  <c r="S333" i="2"/>
  <c r="Q334" i="2"/>
  <c r="R334" i="2"/>
  <c r="S334" i="2"/>
  <c r="Q335" i="2"/>
  <c r="R335" i="2"/>
  <c r="S335" i="2"/>
  <c r="Q336" i="2"/>
  <c r="R336" i="2"/>
  <c r="S336" i="2"/>
  <c r="N337" i="2"/>
  <c r="Q337" i="2"/>
  <c r="R337" i="2"/>
  <c r="S337" i="2"/>
  <c r="V337" i="2"/>
  <c r="E15" i="17" s="1"/>
  <c r="W337" i="2"/>
  <c r="F15" i="17" s="1"/>
  <c r="X337" i="2"/>
  <c r="G15" i="17" s="1"/>
  <c r="Y337" i="2"/>
  <c r="H15" i="17" s="1"/>
  <c r="AB337" i="2"/>
  <c r="K15" i="17" s="1"/>
  <c r="AC337" i="2"/>
  <c r="L15" i="17" s="1"/>
  <c r="N338" i="2"/>
  <c r="Q338" i="2"/>
  <c r="R338" i="2"/>
  <c r="S338" i="2"/>
  <c r="N339" i="2"/>
  <c r="Q339" i="2"/>
  <c r="R339" i="2"/>
  <c r="S339" i="2"/>
  <c r="N340" i="2"/>
  <c r="Q340" i="2"/>
  <c r="R340" i="2"/>
  <c r="S340" i="2"/>
  <c r="N341" i="2"/>
  <c r="Q341" i="2"/>
  <c r="R341" i="2"/>
  <c r="S341" i="2"/>
  <c r="N342" i="2"/>
  <c r="Q342" i="2"/>
  <c r="R342" i="2"/>
  <c r="S342" i="2"/>
  <c r="N343" i="2"/>
  <c r="Q343" i="2"/>
  <c r="R343" i="2"/>
  <c r="S343" i="2"/>
  <c r="N344" i="2"/>
  <c r="Q344" i="2"/>
  <c r="R344" i="2"/>
  <c r="S344" i="2"/>
  <c r="N345" i="2"/>
  <c r="Q345" i="2"/>
  <c r="R345" i="2"/>
  <c r="S345" i="2"/>
  <c r="N346" i="2"/>
  <c r="Q346" i="2"/>
  <c r="R346" i="2"/>
  <c r="S346" i="2"/>
  <c r="N347" i="2"/>
  <c r="Q347" i="2"/>
  <c r="R347" i="2"/>
  <c r="S347" i="2"/>
  <c r="N348" i="2"/>
  <c r="Q348" i="2"/>
  <c r="R348" i="2"/>
  <c r="S348" i="2"/>
  <c r="N349" i="2"/>
  <c r="Q349" i="2"/>
  <c r="R349" i="2"/>
  <c r="S349" i="2"/>
  <c r="N350" i="2"/>
  <c r="Q350" i="2"/>
  <c r="R350" i="2"/>
  <c r="S350" i="2"/>
  <c r="N351" i="2"/>
  <c r="Q351" i="2"/>
  <c r="R351" i="2"/>
  <c r="S351" i="2"/>
  <c r="N352" i="2"/>
  <c r="Q352" i="2"/>
  <c r="R352" i="2"/>
  <c r="S352" i="2"/>
  <c r="N353" i="2"/>
  <c r="Q353" i="2"/>
  <c r="R353" i="2"/>
  <c r="S353" i="2"/>
  <c r="N354" i="2"/>
  <c r="Q354" i="2"/>
  <c r="R354" i="2"/>
  <c r="S354" i="2"/>
  <c r="N355" i="2"/>
  <c r="Q355" i="2"/>
  <c r="R355" i="2"/>
  <c r="S355" i="2"/>
  <c r="N356" i="2"/>
  <c r="Q356" i="2"/>
  <c r="R356" i="2"/>
  <c r="S356" i="2"/>
  <c r="N357" i="2"/>
  <c r="Q357" i="2"/>
  <c r="R357" i="2"/>
  <c r="S357" i="2"/>
  <c r="N358" i="2"/>
  <c r="Q358" i="2"/>
  <c r="R358" i="2"/>
  <c r="S358" i="2"/>
  <c r="N359" i="2"/>
  <c r="Q359" i="2"/>
  <c r="R359" i="2"/>
  <c r="S359" i="2"/>
  <c r="N360" i="2"/>
  <c r="Q360" i="2"/>
  <c r="R360" i="2"/>
  <c r="S360" i="2"/>
  <c r="Q361" i="2"/>
  <c r="R361" i="2"/>
  <c r="S361" i="2"/>
  <c r="V361" i="2"/>
  <c r="E20" i="17" s="1"/>
  <c r="W361" i="2"/>
  <c r="F20" i="17" s="1"/>
  <c r="X361" i="2"/>
  <c r="G20" i="17" s="1"/>
  <c r="Y361" i="2"/>
  <c r="H20" i="17" s="1"/>
  <c r="AB361" i="2"/>
  <c r="K20" i="17" s="1"/>
  <c r="AC361" i="2"/>
  <c r="L20" i="17" s="1"/>
  <c r="Q362" i="2"/>
  <c r="R362" i="2"/>
  <c r="S362" i="2"/>
  <c r="Q363" i="2"/>
  <c r="R363" i="2"/>
  <c r="S363" i="2"/>
  <c r="Q364" i="2"/>
  <c r="R364" i="2"/>
  <c r="S364" i="2"/>
  <c r="Q365" i="2"/>
  <c r="R365" i="2"/>
  <c r="S365" i="2"/>
  <c r="Q366" i="2"/>
  <c r="R366" i="2"/>
  <c r="S366" i="2"/>
  <c r="Q367" i="2"/>
  <c r="R367" i="2"/>
  <c r="S367" i="2"/>
  <c r="V367" i="2"/>
  <c r="E24" i="17" s="1"/>
  <c r="W367" i="2"/>
  <c r="F24" i="17" s="1"/>
  <c r="X367" i="2"/>
  <c r="G24" i="17" s="1"/>
  <c r="Y367" i="2"/>
  <c r="H24" i="17" s="1"/>
  <c r="AB367" i="2"/>
  <c r="K24" i="17" s="1"/>
  <c r="AC367" i="2"/>
  <c r="L24" i="17" s="1"/>
  <c r="Q368" i="2"/>
  <c r="R368" i="2"/>
  <c r="S368" i="2"/>
  <c r="Q369" i="2"/>
  <c r="R369" i="2"/>
  <c r="S369" i="2"/>
  <c r="Q370" i="2"/>
  <c r="R370" i="2"/>
  <c r="S370" i="2"/>
  <c r="Q371" i="2"/>
  <c r="R371" i="2"/>
  <c r="S371" i="2"/>
  <c r="Q372" i="2"/>
  <c r="R372" i="2"/>
  <c r="S372" i="2"/>
  <c r="Q373" i="2"/>
  <c r="R373" i="2"/>
  <c r="S373" i="2"/>
  <c r="Q374" i="2"/>
  <c r="R374" i="2"/>
  <c r="S374" i="2"/>
  <c r="Q375" i="2"/>
  <c r="R375" i="2"/>
  <c r="S375" i="2"/>
  <c r="Q376" i="2"/>
  <c r="R376" i="2"/>
  <c r="S376" i="2"/>
  <c r="Q377" i="2"/>
  <c r="R377" i="2"/>
  <c r="S377" i="2"/>
  <c r="Q378" i="2"/>
  <c r="R378" i="2"/>
  <c r="S378" i="2"/>
  <c r="Q379" i="2"/>
  <c r="R379" i="2"/>
  <c r="S379" i="2"/>
  <c r="Q380" i="2"/>
  <c r="R380" i="2"/>
  <c r="S380" i="2"/>
  <c r="Q381" i="2"/>
  <c r="R381" i="2"/>
  <c r="S381" i="2"/>
  <c r="Q382" i="2"/>
  <c r="R382" i="2"/>
  <c r="S382" i="2"/>
  <c r="Q383" i="2"/>
  <c r="R383" i="2"/>
  <c r="S383" i="2"/>
  <c r="Q384" i="2"/>
  <c r="R384" i="2"/>
  <c r="S384" i="2"/>
  <c r="Q385" i="2"/>
  <c r="R385" i="2"/>
  <c r="S385" i="2"/>
  <c r="Q386" i="2"/>
  <c r="R386" i="2"/>
  <c r="S386" i="2"/>
  <c r="Q387" i="2"/>
  <c r="R387" i="2"/>
  <c r="S387" i="2"/>
  <c r="Q388" i="2"/>
  <c r="R388" i="2"/>
  <c r="S388" i="2"/>
  <c r="Q389" i="2"/>
  <c r="R389" i="2"/>
  <c r="S389" i="2"/>
  <c r="Q390" i="2"/>
  <c r="R390" i="2"/>
  <c r="S390" i="2"/>
  <c r="Q391" i="2"/>
  <c r="R391" i="2"/>
  <c r="S391" i="2"/>
  <c r="Q392" i="2"/>
  <c r="R392" i="2"/>
  <c r="S392" i="2"/>
  <c r="Q393" i="2"/>
  <c r="R393" i="2"/>
  <c r="S393" i="2"/>
  <c r="Q394" i="2"/>
  <c r="R394" i="2"/>
  <c r="S394" i="2"/>
  <c r="Q395" i="2"/>
  <c r="R395" i="2"/>
  <c r="S395" i="2"/>
  <c r="Q396" i="2"/>
  <c r="R396" i="2"/>
  <c r="S396" i="2"/>
  <c r="Q397" i="2"/>
  <c r="R397" i="2"/>
  <c r="S397" i="2"/>
  <c r="Q398" i="2"/>
  <c r="R398" i="2"/>
  <c r="S398" i="2"/>
  <c r="Q399" i="2"/>
  <c r="R399" i="2"/>
  <c r="S399" i="2"/>
  <c r="Q400" i="2"/>
  <c r="R400" i="2"/>
  <c r="S400" i="2"/>
  <c r="Q401" i="2"/>
  <c r="R401" i="2"/>
  <c r="S401" i="2"/>
  <c r="Q402" i="2"/>
  <c r="R402" i="2"/>
  <c r="S402" i="2"/>
  <c r="Q403" i="2"/>
  <c r="R403" i="2"/>
  <c r="S403" i="2"/>
  <c r="Q404" i="2"/>
  <c r="R404" i="2"/>
  <c r="S404" i="2"/>
  <c r="Q405" i="2"/>
  <c r="R405" i="2"/>
  <c r="S405" i="2"/>
  <c r="Q406" i="2"/>
  <c r="R406" i="2"/>
  <c r="S406" i="2"/>
  <c r="Q407" i="2"/>
  <c r="R407" i="2"/>
  <c r="S407" i="2"/>
  <c r="Q408" i="2"/>
  <c r="R408" i="2"/>
  <c r="S408" i="2"/>
  <c r="Q409" i="2"/>
  <c r="R409" i="2"/>
  <c r="S409" i="2"/>
  <c r="Q410" i="2"/>
  <c r="R410" i="2"/>
  <c r="S410" i="2"/>
  <c r="Q411" i="2"/>
  <c r="R411" i="2"/>
  <c r="S411" i="2"/>
  <c r="Q412" i="2"/>
  <c r="R412" i="2"/>
  <c r="S412" i="2"/>
  <c r="Q413" i="2"/>
  <c r="R413" i="2"/>
  <c r="S413" i="2"/>
  <c r="Q414" i="2"/>
  <c r="R414" i="2"/>
  <c r="S414" i="2"/>
  <c r="Q415" i="2"/>
  <c r="R415" i="2"/>
  <c r="S415" i="2"/>
  <c r="Q416" i="2"/>
  <c r="R416" i="2"/>
  <c r="S416" i="2"/>
  <c r="Q417" i="2"/>
  <c r="R417" i="2"/>
  <c r="S417" i="2"/>
  <c r="Q418" i="2"/>
  <c r="R418" i="2"/>
  <c r="S418" i="2"/>
  <c r="Q419" i="2"/>
  <c r="R419" i="2"/>
  <c r="S419" i="2"/>
  <c r="Q420" i="2"/>
  <c r="R420" i="2"/>
  <c r="S420" i="2"/>
  <c r="Q421" i="2"/>
  <c r="R421" i="2"/>
  <c r="S421" i="2"/>
  <c r="Q422" i="2"/>
  <c r="R422" i="2"/>
  <c r="S422" i="2"/>
  <c r="Q423" i="2"/>
  <c r="R423" i="2"/>
  <c r="S423" i="2"/>
  <c r="Q424" i="2"/>
  <c r="R424" i="2"/>
  <c r="S424" i="2"/>
  <c r="Q425" i="2"/>
  <c r="R425" i="2"/>
  <c r="S425" i="2"/>
  <c r="Q426" i="2"/>
  <c r="R426" i="2"/>
  <c r="S426" i="2"/>
  <c r="Q427" i="2"/>
  <c r="R427" i="2"/>
  <c r="S427" i="2"/>
  <c r="Q428" i="2"/>
  <c r="R428" i="2"/>
  <c r="S428" i="2"/>
  <c r="Q429" i="2"/>
  <c r="R429" i="2"/>
  <c r="S429" i="2"/>
  <c r="Q430" i="2"/>
  <c r="R430" i="2"/>
  <c r="S430" i="2"/>
  <c r="Q431" i="2"/>
  <c r="R431" i="2"/>
  <c r="S431" i="2"/>
  <c r="V431" i="2"/>
  <c r="E31" i="17" s="1"/>
  <c r="W431" i="2"/>
  <c r="F31" i="17" s="1"/>
  <c r="X431" i="2"/>
  <c r="G31" i="17" s="1"/>
  <c r="Y431" i="2"/>
  <c r="H31" i="17" s="1"/>
  <c r="AB431" i="2"/>
  <c r="K31" i="17" s="1"/>
  <c r="AC431" i="2"/>
  <c r="L31" i="17" s="1"/>
  <c r="Q432" i="2"/>
  <c r="R432" i="2"/>
  <c r="S432" i="2"/>
  <c r="Q433" i="2"/>
  <c r="R433" i="2"/>
  <c r="S433" i="2"/>
  <c r="Q434" i="2"/>
  <c r="R434" i="2"/>
  <c r="S434" i="2"/>
  <c r="Q435" i="2"/>
  <c r="R435" i="2"/>
  <c r="S435" i="2"/>
  <c r="Q436" i="2"/>
  <c r="R436" i="2"/>
  <c r="S436" i="2"/>
  <c r="Q437" i="2"/>
  <c r="R437" i="2"/>
  <c r="S437" i="2"/>
  <c r="Q438" i="2"/>
  <c r="R438" i="2"/>
  <c r="S438" i="2"/>
  <c r="Q439" i="2"/>
  <c r="R439" i="2"/>
  <c r="S439" i="2"/>
  <c r="Q440" i="2"/>
  <c r="R440" i="2"/>
  <c r="S440" i="2"/>
  <c r="Q441" i="2"/>
  <c r="R441" i="2"/>
  <c r="S441" i="2"/>
  <c r="Q442" i="2"/>
  <c r="R442" i="2"/>
  <c r="S442" i="2"/>
  <c r="Q443" i="2"/>
  <c r="R443" i="2"/>
  <c r="S443" i="2"/>
  <c r="Q444" i="2"/>
  <c r="R444" i="2"/>
  <c r="S444" i="2"/>
  <c r="Q445" i="2"/>
  <c r="R445" i="2"/>
  <c r="S445" i="2"/>
  <c r="Q446" i="2"/>
  <c r="R446" i="2"/>
  <c r="S446" i="2"/>
  <c r="Q447" i="2"/>
  <c r="R447" i="2"/>
  <c r="S447" i="2"/>
  <c r="V447" i="2"/>
  <c r="E26" i="17" s="1"/>
  <c r="W447" i="2"/>
  <c r="F26" i="17" s="1"/>
  <c r="X447" i="2"/>
  <c r="G26" i="17" s="1"/>
  <c r="Y447" i="2"/>
  <c r="H26" i="17" s="1"/>
  <c r="AB447" i="2"/>
  <c r="K26" i="17" s="1"/>
  <c r="AC447" i="2"/>
  <c r="L26" i="17" s="1"/>
  <c r="Q448" i="2"/>
  <c r="R448" i="2"/>
  <c r="S448" i="2"/>
  <c r="Q449" i="2"/>
  <c r="R449" i="2"/>
  <c r="S449" i="2"/>
  <c r="Q450" i="2"/>
  <c r="R450" i="2"/>
  <c r="S450" i="2"/>
  <c r="Q451" i="2"/>
  <c r="R451" i="2"/>
  <c r="S451" i="2"/>
  <c r="Q452" i="2"/>
  <c r="R452" i="2"/>
  <c r="S452" i="2"/>
  <c r="Q453" i="2"/>
  <c r="R453" i="2"/>
  <c r="S453" i="2"/>
  <c r="Q454" i="2"/>
  <c r="R454" i="2"/>
  <c r="S454" i="2"/>
  <c r="Q455" i="2"/>
  <c r="R455" i="2"/>
  <c r="S455" i="2"/>
  <c r="Q456" i="2"/>
  <c r="R456" i="2"/>
  <c r="S456" i="2"/>
  <c r="Q457" i="2"/>
  <c r="R457" i="2"/>
  <c r="S457" i="2"/>
  <c r="Q458" i="2"/>
  <c r="R458" i="2"/>
  <c r="S458" i="2"/>
  <c r="Q459" i="2"/>
  <c r="R459" i="2"/>
  <c r="S459" i="2"/>
  <c r="Q460" i="2"/>
  <c r="R460" i="2"/>
  <c r="S460" i="2"/>
  <c r="Q461" i="2"/>
  <c r="R461" i="2"/>
  <c r="S461" i="2"/>
  <c r="Q462" i="2"/>
  <c r="R462" i="2"/>
  <c r="S462" i="2"/>
  <c r="Q463" i="2"/>
  <c r="R463" i="2"/>
  <c r="S463" i="2"/>
  <c r="Q464" i="2"/>
  <c r="R464" i="2"/>
  <c r="S464" i="2"/>
  <c r="Q465" i="2"/>
  <c r="R465" i="2"/>
  <c r="S465" i="2"/>
  <c r="Q466" i="2"/>
  <c r="R466" i="2"/>
  <c r="S466" i="2"/>
  <c r="Q467" i="2"/>
  <c r="R467" i="2"/>
  <c r="S467" i="2"/>
  <c r="Q468" i="2"/>
  <c r="R468" i="2"/>
  <c r="S468" i="2"/>
  <c r="Q469" i="2"/>
  <c r="R469" i="2"/>
  <c r="S469" i="2"/>
  <c r="Q470" i="2"/>
  <c r="R470" i="2"/>
  <c r="S470" i="2"/>
  <c r="Q471" i="2"/>
  <c r="R471" i="2"/>
  <c r="S471" i="2"/>
  <c r="Q472" i="2"/>
  <c r="R472" i="2"/>
  <c r="S472" i="2"/>
  <c r="Q473" i="2"/>
  <c r="R473" i="2"/>
  <c r="S473" i="2"/>
  <c r="Q474" i="2"/>
  <c r="R474" i="2"/>
  <c r="S474" i="2"/>
  <c r="V474" i="2"/>
  <c r="E28" i="17" s="1"/>
  <c r="W474" i="2"/>
  <c r="F28" i="17" s="1"/>
  <c r="X474" i="2"/>
  <c r="G28" i="17" s="1"/>
  <c r="Y474" i="2"/>
  <c r="H28" i="17" s="1"/>
  <c r="AB474" i="2"/>
  <c r="K28" i="17" s="1"/>
  <c r="AC474" i="2"/>
  <c r="L28" i="17" s="1"/>
  <c r="Q475" i="2"/>
  <c r="R475" i="2"/>
  <c r="S475" i="2"/>
  <c r="Q476" i="2"/>
  <c r="R476" i="2"/>
  <c r="S476" i="2"/>
  <c r="Q477" i="2"/>
  <c r="R477" i="2"/>
  <c r="S477" i="2"/>
  <c r="Q478" i="2"/>
  <c r="R478" i="2"/>
  <c r="S478" i="2"/>
  <c r="Q479" i="2"/>
  <c r="R479" i="2"/>
  <c r="S479" i="2"/>
  <c r="Q480" i="2"/>
  <c r="R480" i="2"/>
  <c r="S480" i="2"/>
  <c r="Q481" i="2"/>
  <c r="R481" i="2"/>
  <c r="S481" i="2"/>
  <c r="Q482" i="2"/>
  <c r="R482" i="2"/>
  <c r="S482" i="2"/>
  <c r="Q483" i="2"/>
  <c r="R483" i="2"/>
  <c r="S483" i="2"/>
  <c r="Q484" i="2"/>
  <c r="R484" i="2"/>
  <c r="S484" i="2"/>
  <c r="Q485" i="2"/>
  <c r="R485" i="2"/>
  <c r="S485" i="2"/>
  <c r="Q486" i="2"/>
  <c r="R486" i="2"/>
  <c r="S486" i="2"/>
  <c r="Q487" i="2"/>
  <c r="R487" i="2"/>
  <c r="S487" i="2"/>
  <c r="Q488" i="2"/>
  <c r="R488" i="2"/>
  <c r="S488" i="2"/>
  <c r="Q489" i="2"/>
  <c r="R489" i="2"/>
  <c r="S489" i="2"/>
  <c r="Q490" i="2"/>
  <c r="R490" i="2"/>
  <c r="S490" i="2"/>
  <c r="Q491" i="2"/>
  <c r="R491" i="2"/>
  <c r="S491" i="2"/>
  <c r="Q492" i="2"/>
  <c r="R492" i="2"/>
  <c r="S492" i="2"/>
  <c r="Q493" i="2"/>
  <c r="R493" i="2"/>
  <c r="S493" i="2"/>
  <c r="Q494" i="2"/>
  <c r="R494" i="2"/>
  <c r="S494" i="2"/>
  <c r="Q495" i="2"/>
  <c r="R495" i="2"/>
  <c r="S495" i="2"/>
  <c r="Q496" i="2"/>
  <c r="R496" i="2"/>
  <c r="S496" i="2"/>
  <c r="Q497" i="2"/>
  <c r="R497" i="2"/>
  <c r="S497" i="2"/>
  <c r="Q498" i="2"/>
  <c r="R498" i="2"/>
  <c r="S498" i="2"/>
  <c r="Q499" i="2"/>
  <c r="R499" i="2"/>
  <c r="S499" i="2"/>
  <c r="Q500" i="2"/>
  <c r="R500" i="2"/>
  <c r="S500" i="2"/>
  <c r="Q501" i="2"/>
  <c r="R501" i="2"/>
  <c r="S501" i="2"/>
  <c r="Q502" i="2"/>
  <c r="R502" i="2"/>
  <c r="S502" i="2"/>
  <c r="Q503" i="2"/>
  <c r="R503" i="2"/>
  <c r="S503" i="2"/>
  <c r="Q504" i="2"/>
  <c r="R504" i="2"/>
  <c r="S504" i="2"/>
  <c r="Q505" i="2"/>
  <c r="R505" i="2"/>
  <c r="S505" i="2"/>
  <c r="Q506" i="2"/>
  <c r="R506" i="2"/>
  <c r="S506" i="2"/>
  <c r="Q507" i="2"/>
  <c r="R507" i="2"/>
  <c r="S507" i="2"/>
  <c r="V507" i="2"/>
  <c r="E34" i="17" s="1"/>
  <c r="W507" i="2"/>
  <c r="F34" i="17" s="1"/>
  <c r="X507" i="2"/>
  <c r="G34" i="17" s="1"/>
  <c r="Y507" i="2"/>
  <c r="H34" i="17" s="1"/>
  <c r="AB507" i="2"/>
  <c r="K34" i="17" s="1"/>
  <c r="AC507" i="2"/>
  <c r="L34" i="17" s="1"/>
  <c r="Q508" i="2"/>
  <c r="R508" i="2"/>
  <c r="S508" i="2"/>
  <c r="Q509" i="2"/>
  <c r="R509" i="2"/>
  <c r="S509" i="2"/>
  <c r="Q510" i="2"/>
  <c r="R510" i="2"/>
  <c r="S510" i="2"/>
  <c r="Q511" i="2"/>
  <c r="R511" i="2"/>
  <c r="S511" i="2"/>
  <c r="Q512" i="2"/>
  <c r="R512" i="2"/>
  <c r="S512" i="2"/>
  <c r="Q513" i="2"/>
  <c r="R513" i="2"/>
  <c r="S513" i="2"/>
  <c r="Q514" i="2"/>
  <c r="R514" i="2"/>
  <c r="S514" i="2"/>
  <c r="Q515" i="2"/>
  <c r="R515" i="2"/>
  <c r="S515" i="2"/>
  <c r="Q516" i="2"/>
  <c r="R516" i="2"/>
  <c r="S516" i="2"/>
  <c r="Q517" i="2"/>
  <c r="R517" i="2"/>
  <c r="S517" i="2"/>
  <c r="Q518" i="2"/>
  <c r="R518" i="2"/>
  <c r="S518" i="2"/>
  <c r="Q519" i="2"/>
  <c r="R519" i="2"/>
  <c r="S519" i="2"/>
  <c r="Q520" i="2"/>
  <c r="R520" i="2"/>
  <c r="S520" i="2"/>
  <c r="Q521" i="2"/>
  <c r="R521" i="2"/>
  <c r="S521" i="2"/>
  <c r="Q522" i="2"/>
  <c r="R522" i="2"/>
  <c r="S522" i="2"/>
  <c r="Q523" i="2"/>
  <c r="R523" i="2"/>
  <c r="S523" i="2"/>
  <c r="Q524" i="2"/>
  <c r="R524" i="2"/>
  <c r="S524" i="2"/>
  <c r="Q525" i="2"/>
  <c r="R525" i="2"/>
  <c r="S525" i="2"/>
  <c r="Q526" i="2"/>
  <c r="R526" i="2"/>
  <c r="S526" i="2"/>
  <c r="V526" i="2"/>
  <c r="W526" i="2"/>
  <c r="X526" i="2"/>
  <c r="Y526" i="2"/>
  <c r="AB526" i="2"/>
  <c r="AC526" i="2"/>
  <c r="Q527" i="2"/>
  <c r="R527" i="2"/>
  <c r="S527" i="2"/>
  <c r="Q528" i="2"/>
  <c r="R528" i="2"/>
  <c r="S528" i="2"/>
  <c r="Q529" i="2"/>
  <c r="R529" i="2"/>
  <c r="S529" i="2"/>
  <c r="Q530" i="2"/>
  <c r="R530" i="2"/>
  <c r="S530" i="2"/>
  <c r="Q531" i="2"/>
  <c r="R531" i="2"/>
  <c r="S531" i="2"/>
  <c r="Q532" i="2"/>
  <c r="R532" i="2"/>
  <c r="S532" i="2"/>
  <c r="Q533" i="2"/>
  <c r="R533" i="2"/>
  <c r="S533" i="2"/>
  <c r="Q534" i="2"/>
  <c r="R534" i="2"/>
  <c r="S534" i="2"/>
  <c r="Q535" i="2"/>
  <c r="R535" i="2"/>
  <c r="S535" i="2"/>
  <c r="Q536" i="2"/>
  <c r="R536" i="2"/>
  <c r="S536" i="2"/>
  <c r="Q537" i="2"/>
  <c r="R537" i="2"/>
  <c r="S537" i="2"/>
  <c r="Q538" i="2"/>
  <c r="R538" i="2"/>
  <c r="S538" i="2"/>
  <c r="Q539" i="2"/>
  <c r="R539" i="2"/>
  <c r="S539" i="2"/>
  <c r="Q540" i="2"/>
  <c r="R540" i="2"/>
  <c r="S540" i="2"/>
  <c r="Q541" i="2"/>
  <c r="R541" i="2"/>
  <c r="S541" i="2"/>
  <c r="Q542" i="2"/>
  <c r="R542" i="2"/>
  <c r="S542" i="2"/>
  <c r="Q543" i="2"/>
  <c r="R543" i="2"/>
  <c r="S543" i="2"/>
  <c r="Q544" i="2"/>
  <c r="R544" i="2"/>
  <c r="S544" i="2"/>
  <c r="Q545" i="2"/>
  <c r="R545" i="2"/>
  <c r="S545" i="2"/>
  <c r="Q546" i="2"/>
  <c r="R546" i="2"/>
  <c r="S546" i="2"/>
  <c r="Q547" i="2"/>
  <c r="R547" i="2"/>
  <c r="S547" i="2"/>
  <c r="Q548" i="2"/>
  <c r="R548" i="2"/>
  <c r="S548" i="2"/>
  <c r="Q549" i="2"/>
  <c r="R549" i="2"/>
  <c r="S549" i="2"/>
  <c r="Q550" i="2"/>
  <c r="R550" i="2"/>
  <c r="S550" i="2"/>
  <c r="Q551" i="2"/>
  <c r="R551" i="2"/>
  <c r="S551" i="2"/>
  <c r="Q552" i="2"/>
  <c r="R552" i="2"/>
  <c r="S552" i="2"/>
  <c r="Q553" i="2"/>
  <c r="R553" i="2"/>
  <c r="S553" i="2"/>
  <c r="Q554" i="2"/>
  <c r="R554" i="2"/>
  <c r="S554" i="2"/>
  <c r="Q555" i="2"/>
  <c r="R555" i="2"/>
  <c r="S555" i="2"/>
  <c r="Q556" i="2"/>
  <c r="R556" i="2"/>
  <c r="S556" i="2"/>
  <c r="Q557" i="2"/>
  <c r="R557" i="2"/>
  <c r="S557" i="2"/>
  <c r="Q558" i="2"/>
  <c r="R558" i="2"/>
  <c r="S558" i="2"/>
  <c r="Q559" i="2"/>
  <c r="R559" i="2"/>
  <c r="S559" i="2"/>
  <c r="Q560" i="2"/>
  <c r="R560" i="2"/>
  <c r="S560" i="2"/>
  <c r="Q561" i="2"/>
  <c r="R561" i="2"/>
  <c r="S561" i="2"/>
  <c r="Q562" i="2"/>
  <c r="R562" i="2"/>
  <c r="S562" i="2"/>
  <c r="Q563" i="2"/>
  <c r="R563" i="2"/>
  <c r="S563" i="2"/>
  <c r="Q564" i="2"/>
  <c r="R564" i="2"/>
  <c r="S564" i="2"/>
  <c r="Q565" i="2"/>
  <c r="R565" i="2"/>
  <c r="S565" i="2"/>
  <c r="Q566" i="2"/>
  <c r="R566" i="2"/>
  <c r="S566" i="2"/>
  <c r="Q567" i="2"/>
  <c r="R567" i="2"/>
  <c r="S567" i="2"/>
  <c r="Q568" i="2"/>
  <c r="R568" i="2"/>
  <c r="S568" i="2"/>
  <c r="Q569" i="2"/>
  <c r="R569" i="2"/>
  <c r="S569" i="2"/>
  <c r="Q570" i="2"/>
  <c r="R570" i="2"/>
  <c r="S570" i="2"/>
  <c r="Q571" i="2"/>
  <c r="R571" i="2"/>
  <c r="S571" i="2"/>
  <c r="Q572" i="2"/>
  <c r="R572" i="2"/>
  <c r="S572" i="2"/>
  <c r="Q573" i="2"/>
  <c r="R573" i="2"/>
  <c r="S573" i="2"/>
  <c r="Q574" i="2"/>
  <c r="R574" i="2"/>
  <c r="S574" i="2"/>
  <c r="Q575" i="2"/>
  <c r="R575" i="2"/>
  <c r="S575" i="2"/>
  <c r="Q576" i="2"/>
  <c r="R576" i="2"/>
  <c r="S576" i="2"/>
  <c r="Q577" i="2"/>
  <c r="R577" i="2"/>
  <c r="S577" i="2"/>
  <c r="Q578" i="2"/>
  <c r="R578" i="2"/>
  <c r="S578" i="2"/>
  <c r="Q579" i="2"/>
  <c r="R579" i="2"/>
  <c r="S579" i="2"/>
  <c r="Q580" i="2"/>
  <c r="R580" i="2"/>
  <c r="S580" i="2"/>
  <c r="Q581" i="2"/>
  <c r="R581" i="2"/>
  <c r="S581" i="2"/>
  <c r="Q582" i="2"/>
  <c r="R582" i="2"/>
  <c r="S582" i="2"/>
  <c r="Q583" i="2"/>
  <c r="R583" i="2"/>
  <c r="S583" i="2"/>
  <c r="Q584" i="2"/>
  <c r="R584" i="2"/>
  <c r="S584" i="2"/>
  <c r="Q585" i="2"/>
  <c r="R585" i="2"/>
  <c r="S585" i="2"/>
  <c r="Q586" i="2"/>
  <c r="R586" i="2"/>
  <c r="S586" i="2"/>
  <c r="Q587" i="2"/>
  <c r="R587" i="2"/>
  <c r="S587" i="2"/>
  <c r="Q588" i="2"/>
  <c r="R588" i="2"/>
  <c r="S588" i="2"/>
  <c r="V588" i="2"/>
  <c r="E37" i="17" s="1"/>
  <c r="W588" i="2"/>
  <c r="F37" i="17" s="1"/>
  <c r="X588" i="2"/>
  <c r="G37" i="17" s="1"/>
  <c r="Y588" i="2"/>
  <c r="H37" i="17" s="1"/>
  <c r="AB588" i="2"/>
  <c r="K37" i="17" s="1"/>
  <c r="AC588" i="2"/>
  <c r="L37" i="17" s="1"/>
  <c r="Q589" i="2"/>
  <c r="R589" i="2"/>
  <c r="S589" i="2"/>
  <c r="Q590" i="2"/>
  <c r="R590" i="2"/>
  <c r="S590" i="2"/>
  <c r="V590" i="2"/>
  <c r="E36" i="17" s="1"/>
  <c r="W590" i="2"/>
  <c r="F36" i="17" s="1"/>
  <c r="X590" i="2"/>
  <c r="G36" i="17" s="1"/>
  <c r="Y590" i="2"/>
  <c r="H36" i="17" s="1"/>
  <c r="AB590" i="2"/>
  <c r="K36" i="17" s="1"/>
  <c r="AC590" i="2"/>
  <c r="L36" i="17" s="1"/>
  <c r="Q591" i="2"/>
  <c r="R591" i="2"/>
  <c r="S591" i="2"/>
  <c r="Q592" i="2"/>
  <c r="R592" i="2"/>
  <c r="S592" i="2"/>
  <c r="Q593" i="2"/>
  <c r="R593" i="2"/>
  <c r="S593" i="2"/>
  <c r="Q594" i="2"/>
  <c r="R594" i="2"/>
  <c r="S594" i="2"/>
  <c r="Q595" i="2"/>
  <c r="R595" i="2"/>
  <c r="S595" i="2"/>
  <c r="Q596" i="2"/>
  <c r="R596" i="2"/>
  <c r="S596" i="2"/>
  <c r="Q597" i="2"/>
  <c r="R597" i="2"/>
  <c r="S597" i="2"/>
  <c r="Q598" i="2"/>
  <c r="R598" i="2"/>
  <c r="S598" i="2"/>
  <c r="V598" i="2"/>
  <c r="E41" i="17" s="1"/>
  <c r="W598" i="2"/>
  <c r="F41" i="17" s="1"/>
  <c r="X598" i="2"/>
  <c r="G41" i="17" s="1"/>
  <c r="Y598" i="2"/>
  <c r="H41" i="17" s="1"/>
  <c r="AB598" i="2"/>
  <c r="K41" i="17" s="1"/>
  <c r="AC598" i="2"/>
  <c r="L41" i="17" s="1"/>
  <c r="Q599" i="2"/>
  <c r="R599" i="2"/>
  <c r="S599" i="2"/>
  <c r="Q600" i="2"/>
  <c r="R600" i="2"/>
  <c r="S600" i="2"/>
  <c r="Q601" i="2"/>
  <c r="R601" i="2"/>
  <c r="S601" i="2"/>
  <c r="Q602" i="2"/>
  <c r="R602" i="2"/>
  <c r="S602" i="2"/>
  <c r="Q603" i="2"/>
  <c r="R603" i="2"/>
  <c r="S603" i="2"/>
  <c r="Q604" i="2"/>
  <c r="R604" i="2"/>
  <c r="S604" i="2"/>
  <c r="Q605" i="2"/>
  <c r="R605" i="2"/>
  <c r="S605" i="2"/>
  <c r="Q606" i="2"/>
  <c r="R606" i="2"/>
  <c r="S606" i="2"/>
  <c r="Q607" i="2"/>
  <c r="R607" i="2"/>
  <c r="S607" i="2"/>
  <c r="Q608" i="2"/>
  <c r="R608" i="2"/>
  <c r="S608" i="2"/>
  <c r="Q609" i="2"/>
  <c r="R609" i="2"/>
  <c r="S609" i="2"/>
  <c r="Q610" i="2"/>
  <c r="R610" i="2"/>
  <c r="S610" i="2"/>
  <c r="Q611" i="2"/>
  <c r="R611" i="2"/>
  <c r="S611" i="2"/>
  <c r="Q612" i="2"/>
  <c r="R612" i="2"/>
  <c r="S612" i="2"/>
  <c r="Q613" i="2"/>
  <c r="R613" i="2"/>
  <c r="S613" i="2"/>
  <c r="Q614" i="2"/>
  <c r="R614" i="2"/>
  <c r="S614" i="2"/>
  <c r="Q615" i="2"/>
  <c r="R615" i="2"/>
  <c r="S615" i="2"/>
  <c r="Q616" i="2"/>
  <c r="R616" i="2"/>
  <c r="S616" i="2"/>
  <c r="Q617" i="2"/>
  <c r="R617" i="2"/>
  <c r="S617" i="2"/>
  <c r="Q618" i="2"/>
  <c r="R618" i="2"/>
  <c r="S618" i="2"/>
  <c r="Q619" i="2"/>
  <c r="R619" i="2"/>
  <c r="S619" i="2"/>
  <c r="Q620" i="2"/>
  <c r="R620" i="2"/>
  <c r="S620" i="2"/>
  <c r="Q621" i="2"/>
  <c r="R621" i="2"/>
  <c r="S621" i="2"/>
  <c r="Q622" i="2"/>
  <c r="R622" i="2"/>
  <c r="S622" i="2"/>
  <c r="Q623" i="2"/>
  <c r="R623" i="2"/>
  <c r="S623" i="2"/>
  <c r="Q624" i="2"/>
  <c r="R624" i="2"/>
  <c r="S624" i="2"/>
  <c r="Q625" i="2"/>
  <c r="R625" i="2"/>
  <c r="S625" i="2"/>
  <c r="Q626" i="2"/>
  <c r="R626" i="2"/>
  <c r="S626" i="2"/>
  <c r="Q627" i="2"/>
  <c r="R627" i="2"/>
  <c r="S627" i="2"/>
  <c r="V627" i="2"/>
  <c r="E11" i="17" s="1"/>
  <c r="W627" i="2"/>
  <c r="F11" i="17" s="1"/>
  <c r="X627" i="2"/>
  <c r="G11" i="17" s="1"/>
  <c r="Y627" i="2"/>
  <c r="H11" i="17" s="1"/>
  <c r="AB627" i="2"/>
  <c r="K11" i="17" s="1"/>
  <c r="AC627" i="2"/>
  <c r="L11" i="17" s="1"/>
  <c r="Q628" i="2"/>
  <c r="R628" i="2"/>
  <c r="S628" i="2"/>
  <c r="Q629" i="2"/>
  <c r="R629" i="2"/>
  <c r="S629" i="2"/>
  <c r="Q630" i="2"/>
  <c r="R630" i="2"/>
  <c r="S630" i="2"/>
  <c r="Q631" i="2"/>
  <c r="R631" i="2"/>
  <c r="S631" i="2"/>
  <c r="Q632" i="2"/>
  <c r="R632" i="2"/>
  <c r="S632" i="2"/>
  <c r="Q633" i="2"/>
  <c r="R633" i="2"/>
  <c r="S633" i="2"/>
  <c r="Q634" i="2"/>
  <c r="R634" i="2"/>
  <c r="S634" i="2"/>
  <c r="Q635" i="2"/>
  <c r="R635" i="2"/>
  <c r="S635" i="2"/>
  <c r="Q636" i="2"/>
  <c r="R636" i="2"/>
  <c r="S636" i="2"/>
  <c r="Q637" i="2"/>
  <c r="R637" i="2"/>
  <c r="S637" i="2"/>
  <c r="Q638" i="2"/>
  <c r="R638" i="2"/>
  <c r="S638" i="2"/>
  <c r="Q639" i="2"/>
  <c r="R639" i="2"/>
  <c r="S639" i="2"/>
  <c r="Q640" i="2"/>
  <c r="R640" i="2"/>
  <c r="S640" i="2"/>
  <c r="Q641" i="2"/>
  <c r="R641" i="2"/>
  <c r="S641" i="2"/>
  <c r="Q642" i="2"/>
  <c r="R642" i="2"/>
  <c r="S642" i="2"/>
  <c r="Q643" i="2"/>
  <c r="R643" i="2"/>
  <c r="S643" i="2"/>
  <c r="Q644" i="2"/>
  <c r="R644" i="2"/>
  <c r="S644" i="2"/>
  <c r="Q645" i="2"/>
  <c r="R645" i="2"/>
  <c r="S645" i="2"/>
  <c r="Q646" i="2"/>
  <c r="R646" i="2"/>
  <c r="S646" i="2"/>
  <c r="Q647" i="2"/>
  <c r="R647" i="2"/>
  <c r="S647" i="2"/>
  <c r="Q648" i="2"/>
  <c r="R648" i="2"/>
  <c r="S648" i="2"/>
  <c r="Q649" i="2"/>
  <c r="R649" i="2"/>
  <c r="S649" i="2"/>
  <c r="Q650" i="2"/>
  <c r="R650" i="2"/>
  <c r="S650" i="2"/>
  <c r="V650" i="2"/>
  <c r="E45" i="17" s="1"/>
  <c r="W650" i="2"/>
  <c r="F45" i="17" s="1"/>
  <c r="X650" i="2"/>
  <c r="G45" i="17" s="1"/>
  <c r="Y650" i="2"/>
  <c r="H45" i="17" s="1"/>
  <c r="AB650" i="2"/>
  <c r="K45" i="17" s="1"/>
  <c r="AC650" i="2"/>
  <c r="L45" i="17" s="1"/>
  <c r="Q651" i="2"/>
  <c r="R651" i="2"/>
  <c r="S651" i="2"/>
  <c r="Q652" i="2"/>
  <c r="R652" i="2"/>
  <c r="S652" i="2"/>
  <c r="Q653" i="2"/>
  <c r="R653" i="2"/>
  <c r="S653" i="2"/>
  <c r="Q654" i="2"/>
  <c r="R654" i="2"/>
  <c r="S654" i="2"/>
  <c r="Q655" i="2"/>
  <c r="R655" i="2"/>
  <c r="S655" i="2"/>
  <c r="Q656" i="2"/>
  <c r="R656" i="2"/>
  <c r="S656" i="2"/>
  <c r="Q657" i="2"/>
  <c r="R657" i="2"/>
  <c r="S657" i="2"/>
  <c r="Q658" i="2"/>
  <c r="R658" i="2"/>
  <c r="S658" i="2"/>
  <c r="Q659" i="2"/>
  <c r="R659" i="2"/>
  <c r="S659" i="2"/>
  <c r="Q660" i="2"/>
  <c r="R660" i="2"/>
  <c r="S660" i="2"/>
  <c r="Q661" i="2"/>
  <c r="R661" i="2"/>
  <c r="S661" i="2"/>
  <c r="Q662" i="2"/>
  <c r="R662" i="2"/>
  <c r="S662" i="2"/>
  <c r="Q663" i="2"/>
  <c r="R663" i="2"/>
  <c r="S663" i="2"/>
  <c r="Q664" i="2"/>
  <c r="R664" i="2"/>
  <c r="S664" i="2"/>
  <c r="Q665" i="2"/>
  <c r="R665" i="2"/>
  <c r="S665" i="2"/>
  <c r="Q666" i="2"/>
  <c r="R666" i="2"/>
  <c r="S666" i="2"/>
  <c r="Q667" i="2"/>
  <c r="R667" i="2"/>
  <c r="S667" i="2"/>
  <c r="Q668" i="2"/>
  <c r="R668" i="2"/>
  <c r="S668" i="2"/>
  <c r="Q669" i="2"/>
  <c r="R669" i="2"/>
  <c r="S669" i="2"/>
  <c r="Q670" i="2"/>
  <c r="R670" i="2"/>
  <c r="S670" i="2"/>
  <c r="Q671" i="2"/>
  <c r="R671" i="2"/>
  <c r="S671" i="2"/>
  <c r="V671" i="2"/>
  <c r="E52" i="17" s="1"/>
  <c r="W671" i="2"/>
  <c r="F52" i="17" s="1"/>
  <c r="X671" i="2"/>
  <c r="G52" i="17" s="1"/>
  <c r="Y671" i="2"/>
  <c r="H52" i="17" s="1"/>
  <c r="AB671" i="2"/>
  <c r="K52" i="17" s="1"/>
  <c r="AC671" i="2"/>
  <c r="L52" i="17" s="1"/>
  <c r="Q672" i="2"/>
  <c r="R672" i="2"/>
  <c r="S672" i="2"/>
  <c r="Q673" i="2"/>
  <c r="R673" i="2"/>
  <c r="S673" i="2"/>
  <c r="Q674" i="2"/>
  <c r="R674" i="2"/>
  <c r="S674" i="2"/>
  <c r="Q675" i="2"/>
  <c r="R675" i="2"/>
  <c r="S675" i="2"/>
  <c r="Q676" i="2"/>
  <c r="R676" i="2"/>
  <c r="S676" i="2"/>
  <c r="Q677" i="2"/>
  <c r="R677" i="2"/>
  <c r="S677" i="2"/>
  <c r="Q678" i="2"/>
  <c r="R678" i="2"/>
  <c r="S678" i="2"/>
  <c r="Q679" i="2"/>
  <c r="R679" i="2"/>
  <c r="S679" i="2"/>
  <c r="Q680" i="2"/>
  <c r="R680" i="2"/>
  <c r="S680" i="2"/>
  <c r="Q681" i="2"/>
  <c r="R681" i="2"/>
  <c r="S681" i="2"/>
  <c r="Q682" i="2"/>
  <c r="R682" i="2"/>
  <c r="S682" i="2"/>
  <c r="Q683" i="2"/>
  <c r="R683" i="2"/>
  <c r="S683" i="2"/>
  <c r="Q684" i="2"/>
  <c r="R684" i="2"/>
  <c r="S684" i="2"/>
  <c r="Q685" i="2"/>
  <c r="R685" i="2"/>
  <c r="S685" i="2"/>
  <c r="Q686" i="2"/>
  <c r="R686" i="2"/>
  <c r="S686" i="2"/>
  <c r="Q687" i="2"/>
  <c r="R687" i="2"/>
  <c r="S687" i="2"/>
  <c r="Q688" i="2"/>
  <c r="R688" i="2"/>
  <c r="S688" i="2"/>
  <c r="Q689" i="2"/>
  <c r="R689" i="2"/>
  <c r="S689" i="2"/>
  <c r="Q690" i="2"/>
  <c r="R690" i="2"/>
  <c r="S690" i="2"/>
  <c r="Q691" i="2"/>
  <c r="R691" i="2"/>
  <c r="S691" i="2"/>
  <c r="Q692" i="2"/>
  <c r="R692" i="2"/>
  <c r="S692" i="2"/>
  <c r="Q693" i="2"/>
  <c r="R693" i="2"/>
  <c r="S693" i="2"/>
  <c r="Q694" i="2"/>
  <c r="R694" i="2"/>
  <c r="S694" i="2"/>
  <c r="Q695" i="2"/>
  <c r="R695" i="2"/>
  <c r="S695" i="2"/>
  <c r="Q696" i="2"/>
  <c r="R696" i="2"/>
  <c r="S696" i="2"/>
  <c r="Q697" i="2"/>
  <c r="R697" i="2"/>
  <c r="S697" i="2"/>
  <c r="Q698" i="2"/>
  <c r="R698" i="2"/>
  <c r="S698" i="2"/>
  <c r="Q699" i="2"/>
  <c r="R699" i="2"/>
  <c r="S699" i="2"/>
  <c r="Q700" i="2"/>
  <c r="R700" i="2"/>
  <c r="S700" i="2"/>
  <c r="Q701" i="2"/>
  <c r="R701" i="2"/>
  <c r="S701" i="2"/>
  <c r="Q702" i="2"/>
  <c r="R702" i="2"/>
  <c r="S702" i="2"/>
  <c r="Q703" i="2"/>
  <c r="R703" i="2"/>
  <c r="S703" i="2"/>
  <c r="Q704" i="2"/>
  <c r="R704" i="2"/>
  <c r="S704" i="2"/>
  <c r="Q705" i="2"/>
  <c r="R705" i="2"/>
  <c r="S705" i="2"/>
  <c r="Q706" i="2"/>
  <c r="R706" i="2"/>
  <c r="S706" i="2"/>
  <c r="Q707" i="2"/>
  <c r="R707" i="2"/>
  <c r="S707" i="2"/>
  <c r="Q708" i="2"/>
  <c r="R708" i="2"/>
  <c r="S708" i="2"/>
  <c r="Q709" i="2"/>
  <c r="R709" i="2"/>
  <c r="S709" i="2"/>
  <c r="Q710" i="2"/>
  <c r="R710" i="2"/>
  <c r="S710" i="2"/>
  <c r="Q711" i="2"/>
  <c r="R711" i="2"/>
  <c r="S711" i="2"/>
  <c r="Q712" i="2"/>
  <c r="R712" i="2"/>
  <c r="S712" i="2"/>
  <c r="Q713" i="2"/>
  <c r="R713" i="2"/>
  <c r="S713" i="2"/>
  <c r="Q714" i="2"/>
  <c r="R714" i="2"/>
  <c r="S714" i="2"/>
  <c r="Q715" i="2"/>
  <c r="R715" i="2"/>
  <c r="S715" i="2"/>
  <c r="Q716" i="2"/>
  <c r="R716" i="2"/>
  <c r="S716" i="2"/>
  <c r="Q717" i="2"/>
  <c r="R717" i="2"/>
  <c r="S717" i="2"/>
  <c r="Q718" i="2"/>
  <c r="R718" i="2"/>
  <c r="S718" i="2"/>
  <c r="Q719" i="2"/>
  <c r="R719" i="2"/>
  <c r="S719" i="2"/>
  <c r="Q720" i="2"/>
  <c r="R720" i="2"/>
  <c r="S720" i="2"/>
  <c r="Q721" i="2"/>
  <c r="R721" i="2"/>
  <c r="S721" i="2"/>
  <c r="Q722" i="2"/>
  <c r="R722" i="2"/>
  <c r="S722" i="2"/>
  <c r="Q723" i="2"/>
  <c r="R723" i="2"/>
  <c r="S723" i="2"/>
  <c r="Q724" i="2"/>
  <c r="R724" i="2"/>
  <c r="S724" i="2"/>
  <c r="Q725" i="2"/>
  <c r="R725" i="2"/>
  <c r="S725" i="2"/>
  <c r="Q726" i="2"/>
  <c r="R726" i="2"/>
  <c r="S726" i="2"/>
  <c r="Q727" i="2"/>
  <c r="R727" i="2"/>
  <c r="S727" i="2"/>
  <c r="Q728" i="2"/>
  <c r="R728" i="2"/>
  <c r="S728" i="2"/>
  <c r="Q729" i="2"/>
  <c r="R729" i="2"/>
  <c r="S729" i="2"/>
  <c r="Q730" i="2"/>
  <c r="R730" i="2"/>
  <c r="S730" i="2"/>
  <c r="Q731" i="2"/>
  <c r="R731" i="2"/>
  <c r="S731" i="2"/>
  <c r="Q732" i="2"/>
  <c r="R732" i="2"/>
  <c r="S732" i="2"/>
  <c r="Q733" i="2"/>
  <c r="R733" i="2"/>
  <c r="S733" i="2"/>
  <c r="Q734" i="2"/>
  <c r="R734" i="2"/>
  <c r="S734" i="2"/>
  <c r="Q735" i="2"/>
  <c r="R735" i="2"/>
  <c r="S735" i="2"/>
  <c r="Q736" i="2"/>
  <c r="R736" i="2"/>
  <c r="S736" i="2"/>
  <c r="Q737" i="2"/>
  <c r="R737" i="2"/>
  <c r="S737" i="2"/>
  <c r="V737" i="2"/>
  <c r="E40" i="17" s="1"/>
  <c r="W737" i="2"/>
  <c r="F40" i="17" s="1"/>
  <c r="X737" i="2"/>
  <c r="G40" i="17" s="1"/>
  <c r="Y737" i="2"/>
  <c r="H40" i="17" s="1"/>
  <c r="AB737" i="2"/>
  <c r="K40" i="17" s="1"/>
  <c r="AC737" i="2"/>
  <c r="L40" i="17" s="1"/>
  <c r="Q738" i="2"/>
  <c r="R738" i="2"/>
  <c r="S738" i="2"/>
  <c r="Q739" i="2"/>
  <c r="R739" i="2"/>
  <c r="S739" i="2"/>
  <c r="Q740" i="2"/>
  <c r="R740" i="2"/>
  <c r="S740" i="2"/>
  <c r="Q741" i="2"/>
  <c r="R741" i="2"/>
  <c r="S741" i="2"/>
  <c r="Q743" i="2"/>
  <c r="R743" i="2"/>
  <c r="S743" i="2"/>
  <c r="Q747" i="2"/>
  <c r="R747" i="2"/>
  <c r="S747" i="2"/>
  <c r="V747" i="2"/>
  <c r="E39" i="17" s="1"/>
  <c r="W747" i="2"/>
  <c r="F39" i="17" s="1"/>
  <c r="X747" i="2"/>
  <c r="G39" i="17" s="1"/>
  <c r="Y747" i="2"/>
  <c r="H39" i="17" s="1"/>
  <c r="AB747" i="2"/>
  <c r="K39" i="17" s="1"/>
  <c r="AC747" i="2"/>
  <c r="L39" i="17" s="1"/>
  <c r="Q748" i="2"/>
  <c r="R748" i="2"/>
  <c r="S748" i="2"/>
  <c r="Q749" i="2"/>
  <c r="R749" i="2"/>
  <c r="S749" i="2"/>
  <c r="Q750" i="2"/>
  <c r="R750" i="2"/>
  <c r="S750" i="2"/>
  <c r="Q751" i="2"/>
  <c r="R751" i="2"/>
  <c r="S751" i="2"/>
  <c r="Q752" i="2"/>
  <c r="R752" i="2"/>
  <c r="S752" i="2"/>
  <c r="Q753" i="2"/>
  <c r="R753" i="2"/>
  <c r="S753" i="2"/>
  <c r="Q754" i="2"/>
  <c r="R754" i="2"/>
  <c r="S754" i="2"/>
  <c r="Q755" i="2"/>
  <c r="R755" i="2"/>
  <c r="S755" i="2"/>
  <c r="Q756" i="2"/>
  <c r="R756" i="2"/>
  <c r="S756" i="2"/>
  <c r="Q757" i="2"/>
  <c r="R757" i="2"/>
  <c r="S757" i="2"/>
  <c r="Q758" i="2"/>
  <c r="R758" i="2"/>
  <c r="S758" i="2"/>
  <c r="Q759" i="2"/>
  <c r="R759" i="2"/>
  <c r="S759" i="2"/>
  <c r="Q760" i="2"/>
  <c r="R760" i="2"/>
  <c r="S760" i="2"/>
  <c r="Q761" i="2"/>
  <c r="R761" i="2"/>
  <c r="S761" i="2"/>
  <c r="Q762" i="2"/>
  <c r="R762" i="2"/>
  <c r="S762" i="2"/>
  <c r="Q763" i="2"/>
  <c r="R763" i="2"/>
  <c r="S763" i="2"/>
  <c r="Q764" i="2"/>
  <c r="R764" i="2"/>
  <c r="S764" i="2"/>
  <c r="Q765" i="2"/>
  <c r="R765" i="2"/>
  <c r="S765" i="2"/>
  <c r="Q766" i="2"/>
  <c r="R766" i="2"/>
  <c r="S766" i="2"/>
  <c r="Q767" i="2"/>
  <c r="R767" i="2"/>
  <c r="S767" i="2"/>
  <c r="Q768" i="2"/>
  <c r="R768" i="2"/>
  <c r="S768" i="2"/>
  <c r="Q769" i="2"/>
  <c r="R769" i="2"/>
  <c r="S769" i="2"/>
  <c r="Q770" i="2"/>
  <c r="R770" i="2"/>
  <c r="S770" i="2"/>
  <c r="Q771" i="2"/>
  <c r="R771" i="2"/>
  <c r="S771" i="2"/>
  <c r="V771" i="2"/>
  <c r="E42" i="17" s="1"/>
  <c r="W771" i="2"/>
  <c r="F42" i="17" s="1"/>
  <c r="X771" i="2"/>
  <c r="G42" i="17" s="1"/>
  <c r="Y771" i="2"/>
  <c r="H42" i="17" s="1"/>
  <c r="AB771" i="2"/>
  <c r="K42" i="17" s="1"/>
  <c r="AC771" i="2"/>
  <c r="L42" i="17" s="1"/>
  <c r="Q772" i="2"/>
  <c r="R772" i="2"/>
  <c r="S772" i="2"/>
  <c r="Q773" i="2"/>
  <c r="R773" i="2"/>
  <c r="S773" i="2"/>
  <c r="Q774" i="2"/>
  <c r="R774" i="2"/>
  <c r="S774" i="2"/>
  <c r="Q775" i="2"/>
  <c r="R775" i="2"/>
  <c r="S775" i="2"/>
  <c r="Q776" i="2"/>
  <c r="R776" i="2"/>
  <c r="S776" i="2"/>
  <c r="Q777" i="2"/>
  <c r="R777" i="2"/>
  <c r="S777" i="2"/>
  <c r="Q778" i="2"/>
  <c r="R778" i="2"/>
  <c r="S778" i="2"/>
  <c r="Q779" i="2"/>
  <c r="R779" i="2"/>
  <c r="S779" i="2"/>
  <c r="Q780" i="2"/>
  <c r="R780" i="2"/>
  <c r="S780" i="2"/>
  <c r="Q781" i="2"/>
  <c r="R781" i="2"/>
  <c r="S781" i="2"/>
  <c r="Q782" i="2"/>
  <c r="R782" i="2"/>
  <c r="S782" i="2"/>
  <c r="Q783" i="2"/>
  <c r="R783" i="2"/>
  <c r="S783" i="2"/>
  <c r="Q784" i="2"/>
  <c r="R784" i="2"/>
  <c r="S784" i="2"/>
  <c r="Q785" i="2"/>
  <c r="R785" i="2"/>
  <c r="S785" i="2"/>
  <c r="Q786" i="2"/>
  <c r="R786" i="2"/>
  <c r="S786" i="2"/>
  <c r="Q787" i="2"/>
  <c r="R787" i="2"/>
  <c r="S787" i="2"/>
  <c r="Q788" i="2"/>
  <c r="R788" i="2"/>
  <c r="S788" i="2"/>
  <c r="Q789" i="2"/>
  <c r="R789" i="2"/>
  <c r="S789" i="2"/>
  <c r="Q790" i="2"/>
  <c r="R790" i="2"/>
  <c r="S790" i="2"/>
  <c r="Q791" i="2"/>
  <c r="R791" i="2"/>
  <c r="S791" i="2"/>
  <c r="V791" i="2"/>
  <c r="E51" i="17" s="1"/>
  <c r="W791" i="2"/>
  <c r="F51" i="17" s="1"/>
  <c r="X791" i="2"/>
  <c r="G51" i="17" s="1"/>
  <c r="Y791" i="2"/>
  <c r="H51" i="17" s="1"/>
  <c r="AB791" i="2"/>
  <c r="K51" i="17" s="1"/>
  <c r="AC791" i="2"/>
  <c r="L51" i="17" s="1"/>
  <c r="Q792" i="2"/>
  <c r="R792" i="2"/>
  <c r="S792" i="2"/>
  <c r="Q793" i="2"/>
  <c r="R793" i="2"/>
  <c r="S793" i="2"/>
  <c r="Q794" i="2"/>
  <c r="R794" i="2"/>
  <c r="S794" i="2"/>
  <c r="Q795" i="2"/>
  <c r="R795" i="2"/>
  <c r="S795" i="2"/>
  <c r="Q796" i="2"/>
  <c r="R796" i="2"/>
  <c r="S796" i="2"/>
  <c r="Q797" i="2"/>
  <c r="R797" i="2"/>
  <c r="S797" i="2"/>
  <c r="Q798" i="2"/>
  <c r="R798" i="2"/>
  <c r="S798" i="2"/>
  <c r="Q799" i="2"/>
  <c r="R799" i="2"/>
  <c r="S799" i="2"/>
  <c r="Q800" i="2"/>
  <c r="R800" i="2"/>
  <c r="S800" i="2"/>
  <c r="Q801" i="2"/>
  <c r="R801" i="2"/>
  <c r="S801" i="2"/>
  <c r="Q802" i="2"/>
  <c r="R802" i="2"/>
  <c r="S802" i="2"/>
  <c r="Q803" i="2"/>
  <c r="R803" i="2"/>
  <c r="S803" i="2"/>
  <c r="Q804" i="2"/>
  <c r="R804" i="2"/>
  <c r="S804" i="2"/>
  <c r="Q805" i="2"/>
  <c r="R805" i="2"/>
  <c r="S805" i="2"/>
  <c r="Q806" i="2"/>
  <c r="R806" i="2"/>
  <c r="S806" i="2"/>
  <c r="Q807" i="2"/>
  <c r="R807" i="2"/>
  <c r="S807" i="2"/>
  <c r="Q808" i="2"/>
  <c r="R808" i="2"/>
  <c r="S808" i="2"/>
  <c r="Q809" i="2"/>
  <c r="R809" i="2"/>
  <c r="S809" i="2"/>
  <c r="Q810" i="2"/>
  <c r="R810" i="2"/>
  <c r="S810" i="2"/>
  <c r="Q811" i="2"/>
  <c r="R811" i="2"/>
  <c r="S811" i="2"/>
  <c r="Q812" i="2"/>
  <c r="R812" i="2"/>
  <c r="S812" i="2"/>
  <c r="Q813" i="2"/>
  <c r="R813" i="2"/>
  <c r="S813" i="2"/>
  <c r="Q814" i="2"/>
  <c r="R814" i="2"/>
  <c r="S814" i="2"/>
  <c r="Q815" i="2"/>
  <c r="R815" i="2"/>
  <c r="S815" i="2"/>
  <c r="Q816" i="2"/>
  <c r="R816" i="2"/>
  <c r="S816" i="2"/>
  <c r="Q817" i="2"/>
  <c r="R817" i="2"/>
  <c r="S817" i="2"/>
  <c r="Q818" i="2"/>
  <c r="R818" i="2"/>
  <c r="S818" i="2"/>
  <c r="Q819" i="2"/>
  <c r="R819" i="2"/>
  <c r="S819" i="2"/>
  <c r="Q820" i="2"/>
  <c r="R820" i="2"/>
  <c r="S820" i="2"/>
  <c r="Q821" i="2"/>
  <c r="R821" i="2"/>
  <c r="S821" i="2"/>
  <c r="Q822" i="2"/>
  <c r="R822" i="2"/>
  <c r="S822" i="2"/>
  <c r="Q823" i="2"/>
  <c r="R823" i="2"/>
  <c r="S823" i="2"/>
  <c r="Q824" i="2"/>
  <c r="R824" i="2"/>
  <c r="S824" i="2"/>
  <c r="Q825" i="2"/>
  <c r="R825" i="2"/>
  <c r="S825" i="2"/>
  <c r="Q826" i="2"/>
  <c r="R826" i="2"/>
  <c r="S826" i="2"/>
  <c r="V826" i="2"/>
  <c r="E49" i="17" s="1"/>
  <c r="W826" i="2"/>
  <c r="F49" i="17" s="1"/>
  <c r="X826" i="2"/>
  <c r="G49" i="17" s="1"/>
  <c r="Y826" i="2"/>
  <c r="H49" i="17" s="1"/>
  <c r="AB826" i="2"/>
  <c r="K49" i="17" s="1"/>
  <c r="AC826" i="2"/>
  <c r="L49" i="17" s="1"/>
  <c r="Q827" i="2"/>
  <c r="R827" i="2"/>
  <c r="S827" i="2"/>
  <c r="Q828" i="2"/>
  <c r="R828" i="2"/>
  <c r="S828" i="2"/>
  <c r="Q829" i="2"/>
  <c r="R829" i="2"/>
  <c r="S829" i="2"/>
  <c r="U829" i="2"/>
  <c r="D5" i="17" s="1"/>
  <c r="V829" i="2"/>
  <c r="E5" i="17" s="1"/>
  <c r="W829" i="2"/>
  <c r="F5" i="17" s="1"/>
  <c r="X829" i="2"/>
  <c r="G5" i="17" s="1"/>
  <c r="Y829" i="2"/>
  <c r="H5" i="17" s="1"/>
  <c r="AB829" i="2"/>
  <c r="K5" i="17" s="1"/>
  <c r="AC829" i="2"/>
  <c r="L5" i="17" s="1"/>
  <c r="Q830" i="2"/>
  <c r="R830" i="2"/>
  <c r="S830" i="2"/>
  <c r="Q831" i="2"/>
  <c r="R831" i="2"/>
  <c r="S831" i="2"/>
  <c r="Q832" i="2"/>
  <c r="R832" i="2"/>
  <c r="S832" i="2"/>
  <c r="Q833" i="2"/>
  <c r="R833" i="2"/>
  <c r="S833" i="2"/>
  <c r="Q834" i="2"/>
  <c r="R834" i="2"/>
  <c r="S834" i="2"/>
  <c r="Q835" i="2"/>
  <c r="R835" i="2"/>
  <c r="S835" i="2"/>
  <c r="Q836" i="2"/>
  <c r="R836" i="2"/>
  <c r="S836" i="2"/>
  <c r="Q837" i="2"/>
  <c r="R837" i="2"/>
  <c r="S837" i="2"/>
  <c r="Q838" i="2"/>
  <c r="R838" i="2"/>
  <c r="S838" i="2"/>
  <c r="Q839" i="2"/>
  <c r="R839" i="2"/>
  <c r="S839" i="2"/>
  <c r="Q840" i="2"/>
  <c r="R840" i="2"/>
  <c r="S840" i="2"/>
  <c r="Q841" i="2"/>
  <c r="R841" i="2"/>
  <c r="S841" i="2"/>
  <c r="Q842" i="2"/>
  <c r="R842" i="2"/>
  <c r="S842" i="2"/>
  <c r="Q843" i="2"/>
  <c r="R843" i="2"/>
  <c r="S843" i="2"/>
  <c r="Q844" i="2"/>
  <c r="R844" i="2"/>
  <c r="S844" i="2"/>
  <c r="Q845" i="2"/>
  <c r="R845" i="2"/>
  <c r="S845" i="2"/>
  <c r="Q846" i="2"/>
  <c r="R846" i="2"/>
  <c r="S846" i="2"/>
  <c r="Q847" i="2"/>
  <c r="R847" i="2"/>
  <c r="S847" i="2"/>
  <c r="Q848" i="2"/>
  <c r="R848" i="2"/>
  <c r="S848" i="2"/>
  <c r="Q849" i="2"/>
  <c r="R849" i="2"/>
  <c r="S849" i="2"/>
  <c r="Q850" i="2"/>
  <c r="R850" i="2"/>
  <c r="S850" i="2"/>
  <c r="Q851" i="2"/>
  <c r="R851" i="2"/>
  <c r="S851" i="2"/>
  <c r="Q852" i="2"/>
  <c r="R852" i="2"/>
  <c r="S852" i="2"/>
  <c r="Q853" i="2"/>
  <c r="R853" i="2"/>
  <c r="S853" i="2"/>
  <c r="Q854" i="2"/>
  <c r="R854" i="2"/>
  <c r="S854" i="2"/>
  <c r="Q855" i="2"/>
  <c r="R855" i="2"/>
  <c r="S855" i="2"/>
  <c r="Q856" i="2"/>
  <c r="R856" i="2"/>
  <c r="S856" i="2"/>
  <c r="Q857" i="2"/>
  <c r="R857" i="2"/>
  <c r="S857" i="2"/>
  <c r="Q858" i="2"/>
  <c r="R858" i="2"/>
  <c r="S858" i="2"/>
  <c r="Q859" i="2"/>
  <c r="R859" i="2"/>
  <c r="S859" i="2"/>
  <c r="Q860" i="2"/>
  <c r="R860" i="2"/>
  <c r="S860" i="2"/>
  <c r="Q861" i="2"/>
  <c r="R861" i="2"/>
  <c r="S861" i="2"/>
  <c r="Q862" i="2"/>
  <c r="R862" i="2"/>
  <c r="S862" i="2"/>
  <c r="Q863" i="2"/>
  <c r="R863" i="2"/>
  <c r="S863" i="2"/>
  <c r="Q864" i="2"/>
  <c r="R864" i="2"/>
  <c r="S864" i="2"/>
  <c r="Q865" i="2"/>
  <c r="R865" i="2"/>
  <c r="S865" i="2"/>
  <c r="Q866" i="2"/>
  <c r="R866" i="2"/>
  <c r="S866" i="2"/>
  <c r="Q867" i="2"/>
  <c r="R867" i="2"/>
  <c r="S867" i="2"/>
  <c r="Q868" i="2"/>
  <c r="R868" i="2"/>
  <c r="S868" i="2"/>
  <c r="Q869" i="2"/>
  <c r="R869" i="2"/>
  <c r="S869" i="2"/>
  <c r="Q870" i="2"/>
  <c r="R870" i="2"/>
  <c r="S870" i="2"/>
  <c r="Q871" i="2"/>
  <c r="R871" i="2"/>
  <c r="S871" i="2"/>
  <c r="Q872" i="2"/>
  <c r="R872" i="2"/>
  <c r="S872" i="2"/>
  <c r="Q873" i="2"/>
  <c r="R873" i="2"/>
  <c r="S873" i="2"/>
  <c r="Q874" i="2"/>
  <c r="R874" i="2"/>
  <c r="S874" i="2"/>
  <c r="Q875" i="2"/>
  <c r="R875" i="2"/>
  <c r="S875" i="2"/>
  <c r="Q876" i="2"/>
  <c r="R876" i="2"/>
  <c r="S876" i="2"/>
  <c r="Q877" i="2"/>
  <c r="R877" i="2"/>
  <c r="S877" i="2"/>
  <c r="Q878" i="2"/>
  <c r="R878" i="2"/>
  <c r="S878" i="2"/>
  <c r="Q879" i="2"/>
  <c r="R879" i="2"/>
  <c r="S879" i="2"/>
  <c r="Q880" i="2"/>
  <c r="R880" i="2"/>
  <c r="S880" i="2"/>
  <c r="Q881" i="2"/>
  <c r="R881" i="2"/>
  <c r="S881" i="2"/>
  <c r="Q882" i="2"/>
  <c r="R882" i="2"/>
  <c r="S882" i="2"/>
  <c r="Q883" i="2"/>
  <c r="R883" i="2"/>
  <c r="S883" i="2"/>
  <c r="Q884" i="2"/>
  <c r="R884" i="2"/>
  <c r="S884" i="2"/>
  <c r="Q885" i="2"/>
  <c r="R885" i="2"/>
  <c r="S885" i="2"/>
  <c r="Q886" i="2"/>
  <c r="R886" i="2"/>
  <c r="S886" i="2"/>
  <c r="Q887" i="2"/>
  <c r="R887" i="2"/>
  <c r="S887" i="2"/>
  <c r="Q888" i="2"/>
  <c r="R888" i="2"/>
  <c r="S888" i="2"/>
  <c r="Q889" i="2"/>
  <c r="R889" i="2"/>
  <c r="S889" i="2"/>
  <c r="Q890" i="2"/>
  <c r="R890" i="2"/>
  <c r="S890" i="2"/>
  <c r="Q891" i="2"/>
  <c r="R891" i="2"/>
  <c r="S891" i="2"/>
  <c r="Q892" i="2"/>
  <c r="R892" i="2"/>
  <c r="S892" i="2"/>
  <c r="V892" i="2"/>
  <c r="E4" i="17" s="1"/>
  <c r="W892" i="2"/>
  <c r="F4" i="17" s="1"/>
  <c r="X892" i="2"/>
  <c r="G4" i="17" s="1"/>
  <c r="Y892" i="2"/>
  <c r="H4" i="17" s="1"/>
  <c r="AB892" i="2"/>
  <c r="K4" i="17" s="1"/>
  <c r="AC892" i="2"/>
  <c r="L4" i="17" s="1"/>
  <c r="Q893" i="2"/>
  <c r="R893" i="2"/>
  <c r="S893" i="2"/>
  <c r="Q894" i="2"/>
  <c r="R894" i="2"/>
  <c r="S894" i="2"/>
  <c r="Q895" i="2"/>
  <c r="R895" i="2"/>
  <c r="S895" i="2"/>
  <c r="Q896" i="2"/>
  <c r="R896" i="2"/>
  <c r="S896" i="2"/>
  <c r="Q897" i="2"/>
  <c r="R897" i="2"/>
  <c r="S897" i="2"/>
  <c r="Q898" i="2"/>
  <c r="R898" i="2"/>
  <c r="S898" i="2"/>
  <c r="Q899" i="2"/>
  <c r="R899" i="2"/>
  <c r="S899" i="2"/>
  <c r="Q900" i="2"/>
  <c r="R900" i="2"/>
  <c r="S900" i="2"/>
  <c r="Q901" i="2"/>
  <c r="R901" i="2"/>
  <c r="S901" i="2"/>
  <c r="V901" i="2"/>
  <c r="E10" i="17" s="1"/>
  <c r="W901" i="2"/>
  <c r="F10" i="17" s="1"/>
  <c r="X901" i="2"/>
  <c r="G10" i="17" s="1"/>
  <c r="Y901" i="2"/>
  <c r="H10" i="17" s="1"/>
  <c r="AB901" i="2"/>
  <c r="K10" i="17" s="1"/>
  <c r="AC901" i="2"/>
  <c r="L10" i="17" s="1"/>
  <c r="Q902" i="2"/>
  <c r="R902" i="2"/>
  <c r="S902" i="2"/>
  <c r="Q903" i="2"/>
  <c r="R903" i="2"/>
  <c r="S903" i="2"/>
  <c r="Q904" i="2"/>
  <c r="R904" i="2"/>
  <c r="S904" i="2"/>
  <c r="Q905" i="2"/>
  <c r="R905" i="2"/>
  <c r="S905" i="2"/>
  <c r="Q906" i="2"/>
  <c r="R906" i="2"/>
  <c r="S906" i="2"/>
  <c r="Q907" i="2"/>
  <c r="R907" i="2"/>
  <c r="S907" i="2"/>
  <c r="Q908" i="2"/>
  <c r="R908" i="2"/>
  <c r="S908" i="2"/>
  <c r="Q909" i="2"/>
  <c r="R909" i="2"/>
  <c r="S909" i="2"/>
  <c r="Q910" i="2"/>
  <c r="R910" i="2"/>
  <c r="S910" i="2"/>
  <c r="Q911" i="2"/>
  <c r="R911" i="2"/>
  <c r="S911" i="2"/>
  <c r="V911" i="2"/>
  <c r="E6" i="17" s="1"/>
  <c r="W911" i="2"/>
  <c r="F6" i="17" s="1"/>
  <c r="X911" i="2"/>
  <c r="G6" i="17" s="1"/>
  <c r="Y911" i="2"/>
  <c r="H6" i="17" s="1"/>
  <c r="AB911" i="2"/>
  <c r="K6" i="17" s="1"/>
  <c r="AC911" i="2"/>
  <c r="L6" i="17" s="1"/>
  <c r="Q912" i="2"/>
  <c r="R912" i="2"/>
  <c r="S912" i="2"/>
  <c r="Q913" i="2"/>
  <c r="R913" i="2"/>
  <c r="S913" i="2"/>
  <c r="Q914" i="2"/>
  <c r="R914" i="2"/>
  <c r="S914" i="2"/>
  <c r="Q915" i="2"/>
  <c r="R915" i="2"/>
  <c r="S915" i="2"/>
  <c r="Q916" i="2"/>
  <c r="R916" i="2"/>
  <c r="S916" i="2"/>
  <c r="Q917" i="2"/>
  <c r="R917" i="2"/>
  <c r="S917" i="2"/>
  <c r="Q918" i="2"/>
  <c r="R918" i="2"/>
  <c r="S918" i="2"/>
  <c r="Q919" i="2"/>
  <c r="R919" i="2"/>
  <c r="S919" i="2"/>
  <c r="Q920" i="2"/>
  <c r="R920" i="2"/>
  <c r="S920" i="2"/>
  <c r="Q921" i="2"/>
  <c r="R921" i="2"/>
  <c r="S921" i="2"/>
  <c r="Q922" i="2"/>
  <c r="R922" i="2"/>
  <c r="S922" i="2"/>
  <c r="Q923" i="2"/>
  <c r="R923" i="2"/>
  <c r="S923" i="2"/>
  <c r="Q924" i="2"/>
  <c r="R924" i="2"/>
  <c r="S924" i="2"/>
  <c r="Q925" i="2"/>
  <c r="R925" i="2"/>
  <c r="S925" i="2"/>
  <c r="Q926" i="2"/>
  <c r="R926" i="2"/>
  <c r="S926" i="2"/>
  <c r="Q927" i="2"/>
  <c r="R927" i="2"/>
  <c r="S927" i="2"/>
  <c r="Q928" i="2"/>
  <c r="R928" i="2"/>
  <c r="S928" i="2"/>
  <c r="Q930" i="2"/>
  <c r="R930" i="2"/>
  <c r="S930" i="2"/>
  <c r="V930" i="2"/>
  <c r="E53" i="17" s="1"/>
  <c r="W930" i="2"/>
  <c r="F53" i="17" s="1"/>
  <c r="X930" i="2"/>
  <c r="G53" i="17" s="1"/>
  <c r="Y930" i="2"/>
  <c r="H53" i="17" s="1"/>
  <c r="AB930" i="2"/>
  <c r="K53" i="17" s="1"/>
  <c r="AC930" i="2"/>
  <c r="L53" i="17" s="1"/>
  <c r="Q931" i="2"/>
  <c r="R931" i="2"/>
  <c r="S931" i="2"/>
  <c r="Q932" i="2"/>
  <c r="R932" i="2"/>
  <c r="S932" i="2"/>
  <c r="Q933" i="2"/>
  <c r="R933" i="2"/>
  <c r="S933" i="2"/>
  <c r="Q934" i="2"/>
  <c r="R934" i="2"/>
  <c r="S934" i="2"/>
  <c r="Q935" i="2"/>
  <c r="R935" i="2"/>
  <c r="S935" i="2"/>
  <c r="Q936" i="2"/>
  <c r="R936" i="2"/>
  <c r="S936" i="2"/>
  <c r="Q937" i="2"/>
  <c r="R937" i="2"/>
  <c r="S937" i="2"/>
  <c r="Q938" i="2"/>
  <c r="R938" i="2"/>
  <c r="S938" i="2"/>
  <c r="Q939" i="2"/>
  <c r="R939" i="2"/>
  <c r="S939" i="2"/>
  <c r="Q940" i="2"/>
  <c r="R940" i="2"/>
  <c r="S940" i="2"/>
  <c r="Q941" i="2"/>
  <c r="R941" i="2"/>
  <c r="S941" i="2"/>
  <c r="Q942" i="2"/>
  <c r="R942" i="2"/>
  <c r="S942" i="2"/>
  <c r="Q943" i="2"/>
  <c r="R943" i="2"/>
  <c r="S943" i="2"/>
  <c r="Q944" i="2"/>
  <c r="R944" i="2"/>
  <c r="S944" i="2"/>
  <c r="Q945" i="2"/>
  <c r="R945" i="2"/>
  <c r="S945" i="2"/>
  <c r="Q946" i="2"/>
  <c r="R946" i="2"/>
  <c r="S946" i="2"/>
  <c r="Q947" i="2"/>
  <c r="R947" i="2"/>
  <c r="S947" i="2"/>
  <c r="Q948" i="2"/>
  <c r="R948" i="2"/>
  <c r="S948" i="2"/>
  <c r="Q949" i="2"/>
  <c r="R949" i="2"/>
  <c r="S949" i="2"/>
  <c r="Q950" i="2"/>
  <c r="R950" i="2"/>
  <c r="S950" i="2"/>
  <c r="Q951" i="2"/>
  <c r="R951" i="2"/>
  <c r="S951" i="2"/>
  <c r="Q952" i="2"/>
  <c r="R952" i="2"/>
  <c r="S952" i="2"/>
  <c r="Q953" i="2"/>
  <c r="R953" i="2"/>
  <c r="S953" i="2"/>
  <c r="Q954" i="2"/>
  <c r="R954" i="2"/>
  <c r="S954" i="2"/>
  <c r="Q955" i="2"/>
  <c r="R955" i="2"/>
  <c r="S955" i="2"/>
  <c r="Q956" i="2"/>
  <c r="R956" i="2"/>
  <c r="S956" i="2"/>
  <c r="Q957" i="2"/>
  <c r="R957" i="2"/>
  <c r="S957" i="2"/>
  <c r="Q958" i="2"/>
  <c r="R958" i="2"/>
  <c r="S958" i="2"/>
  <c r="Q959" i="2"/>
  <c r="R959" i="2"/>
  <c r="S959" i="2"/>
  <c r="Q960" i="2"/>
  <c r="R960" i="2"/>
  <c r="S960" i="2"/>
  <c r="Q961" i="2"/>
  <c r="R961" i="2"/>
  <c r="S961" i="2"/>
  <c r="Q962" i="2"/>
  <c r="R962" i="2"/>
  <c r="S962" i="2"/>
  <c r="Q963" i="2"/>
  <c r="R963" i="2"/>
  <c r="S963" i="2"/>
  <c r="Q964" i="2"/>
  <c r="R964" i="2"/>
  <c r="S964" i="2"/>
  <c r="Q965" i="2"/>
  <c r="R965" i="2"/>
  <c r="S965" i="2"/>
  <c r="Q966" i="2"/>
  <c r="R966" i="2"/>
  <c r="S966" i="2"/>
  <c r="Q967" i="2"/>
  <c r="R967" i="2"/>
  <c r="S967" i="2"/>
  <c r="Q968" i="2"/>
  <c r="R968" i="2"/>
  <c r="S968" i="2"/>
  <c r="Q969" i="2"/>
  <c r="R969" i="2"/>
  <c r="S969" i="2"/>
  <c r="Q970" i="2"/>
  <c r="R970" i="2"/>
  <c r="S970" i="2"/>
  <c r="Q971" i="2"/>
  <c r="R971" i="2"/>
  <c r="S971" i="2"/>
  <c r="Q972" i="2"/>
  <c r="R972" i="2"/>
  <c r="S972" i="2"/>
  <c r="Q973" i="2"/>
  <c r="R973" i="2"/>
  <c r="S973" i="2"/>
  <c r="Q974" i="2"/>
  <c r="R974" i="2"/>
  <c r="S974" i="2"/>
  <c r="Q975" i="2"/>
  <c r="R975" i="2"/>
  <c r="S975" i="2"/>
  <c r="Q976" i="2"/>
  <c r="R976" i="2"/>
  <c r="S976" i="2"/>
  <c r="Q977" i="2"/>
  <c r="R977" i="2"/>
  <c r="S977" i="2"/>
  <c r="Q978" i="2"/>
  <c r="R978" i="2"/>
  <c r="S978" i="2"/>
  <c r="Q979" i="2"/>
  <c r="R979" i="2"/>
  <c r="S979" i="2"/>
  <c r="Q980" i="2"/>
  <c r="R980" i="2"/>
  <c r="S980" i="2"/>
  <c r="Q981" i="2"/>
  <c r="R981" i="2"/>
  <c r="S981" i="2"/>
  <c r="Q982" i="2"/>
  <c r="R982" i="2"/>
  <c r="S982" i="2"/>
  <c r="Q983" i="2"/>
  <c r="R983" i="2"/>
  <c r="S983" i="2"/>
  <c r="Q984" i="2"/>
  <c r="R984" i="2"/>
  <c r="S984" i="2"/>
  <c r="Q985" i="2"/>
  <c r="R985" i="2"/>
  <c r="S985" i="2"/>
  <c r="Q986" i="2"/>
  <c r="R986" i="2"/>
  <c r="S986" i="2"/>
  <c r="Q987" i="2"/>
  <c r="R987" i="2"/>
  <c r="S987" i="2"/>
  <c r="Q988" i="2"/>
  <c r="R988" i="2"/>
  <c r="S988" i="2"/>
  <c r="Q989" i="2"/>
  <c r="R989" i="2"/>
  <c r="S989" i="2"/>
  <c r="Q990" i="2"/>
  <c r="R990" i="2"/>
  <c r="S990" i="2"/>
  <c r="Q991" i="2"/>
  <c r="R991" i="2"/>
  <c r="S991" i="2"/>
  <c r="Q992" i="2"/>
  <c r="R992" i="2"/>
  <c r="S992" i="2"/>
  <c r="Q993" i="2"/>
  <c r="R993" i="2"/>
  <c r="S993" i="2"/>
  <c r="Q994" i="2"/>
  <c r="R994" i="2"/>
  <c r="S994" i="2"/>
  <c r="Q995" i="2"/>
  <c r="R995" i="2"/>
  <c r="S995" i="2"/>
  <c r="Q2" i="8"/>
  <c r="W2" i="8"/>
  <c r="U20" i="17" s="1"/>
  <c r="X2" i="8"/>
  <c r="V20" i="17" s="1"/>
  <c r="Q3" i="8"/>
  <c r="Q4" i="8"/>
  <c r="Q5" i="8"/>
  <c r="Q6" i="8"/>
  <c r="Q7" i="8"/>
  <c r="Q8" i="8"/>
  <c r="Q9" i="8"/>
  <c r="Q10" i="8"/>
  <c r="Q11" i="8"/>
  <c r="Q12" i="8"/>
  <c r="Q13" i="8"/>
  <c r="Q14" i="8"/>
  <c r="Q15" i="8"/>
  <c r="Q16" i="8"/>
  <c r="Q17" i="8"/>
  <c r="Q18" i="8"/>
  <c r="Q19" i="8"/>
  <c r="Q20" i="8"/>
  <c r="Q21" i="8"/>
  <c r="Q22" i="8"/>
  <c r="Q23" i="8"/>
  <c r="Q24" i="8"/>
  <c r="Q25" i="8"/>
  <c r="Q26" i="8"/>
  <c r="Q27" i="8"/>
  <c r="Q28" i="8"/>
  <c r="R29" i="8"/>
  <c r="W29" i="8"/>
  <c r="U14" i="17" s="1"/>
  <c r="X29" i="8"/>
  <c r="V14" i="17" s="1"/>
  <c r="R30" i="8"/>
  <c r="R31" i="8"/>
  <c r="R32" i="8"/>
  <c r="R33" i="8"/>
  <c r="R34" i="8"/>
  <c r="R35" i="8"/>
  <c r="R36" i="8"/>
  <c r="R37" i="8"/>
  <c r="R38" i="8"/>
  <c r="R39" i="8"/>
  <c r="R40" i="8"/>
  <c r="R41" i="8"/>
  <c r="R42" i="8"/>
  <c r="R43" i="8"/>
  <c r="R44" i="8"/>
  <c r="R45" i="8"/>
  <c r="S46" i="8"/>
  <c r="W46" i="8"/>
  <c r="U38" i="17" s="1"/>
  <c r="X46" i="8"/>
  <c r="V38" i="17" s="1"/>
  <c r="S47" i="8"/>
  <c r="S48" i="8"/>
  <c r="S49" i="8"/>
  <c r="S50" i="8"/>
  <c r="S51" i="8"/>
  <c r="S52" i="8"/>
  <c r="S53" i="8"/>
  <c r="S54" i="8"/>
  <c r="S55" i="8"/>
  <c r="S56" i="8"/>
  <c r="S57" i="8"/>
  <c r="S58" i="8"/>
  <c r="S59" i="8"/>
  <c r="S60" i="8"/>
  <c r="S61" i="8"/>
  <c r="T62" i="8"/>
  <c r="W62" i="8"/>
  <c r="U15" i="17" s="1"/>
  <c r="X62" i="8"/>
  <c r="V15" i="17" s="1"/>
  <c r="T63" i="8"/>
  <c r="T64" i="8"/>
  <c r="T65" i="8"/>
  <c r="T66" i="8"/>
  <c r="T67" i="8"/>
  <c r="T68" i="8"/>
  <c r="U69" i="8"/>
  <c r="W69" i="8"/>
  <c r="U41" i="17" s="1"/>
  <c r="X69" i="8"/>
  <c r="V41" i="17" s="1"/>
  <c r="U70" i="8"/>
  <c r="U71" i="8"/>
  <c r="U72" i="8"/>
  <c r="U73" i="8"/>
  <c r="U74" i="8"/>
  <c r="U75" i="8"/>
  <c r="U76" i="8"/>
  <c r="U77" i="8"/>
  <c r="U78" i="8"/>
  <c r="U79" i="8"/>
  <c r="U80" i="8"/>
  <c r="U81" i="8"/>
  <c r="Q2" i="3"/>
  <c r="T2" i="3"/>
  <c r="P30" i="17" s="1"/>
  <c r="U2" i="3"/>
  <c r="Q30" i="17" s="1"/>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T65" i="3"/>
  <c r="P14" i="17" s="1"/>
  <c r="U65" i="3"/>
  <c r="Q14" i="17" s="1"/>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T132" i="3"/>
  <c r="P21" i="17" s="1"/>
  <c r="U132" i="3"/>
  <c r="Q21" i="17" s="1"/>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T190" i="3"/>
  <c r="P50" i="17" s="1"/>
  <c r="U190" i="3"/>
  <c r="Q50" i="17" s="1"/>
  <c r="Q191" i="3"/>
  <c r="Q192" i="3"/>
  <c r="Q193" i="3"/>
  <c r="Q194" i="3"/>
  <c r="Q195" i="3"/>
  <c r="Q196" i="3"/>
  <c r="Q197" i="3"/>
  <c r="Q198" i="3"/>
  <c r="Q199" i="3"/>
  <c r="Q200" i="3"/>
  <c r="Q201" i="3"/>
  <c r="Q202" i="3"/>
  <c r="T202" i="3"/>
  <c r="P38" i="17" s="1"/>
  <c r="U202" i="3"/>
  <c r="Q38" i="17" s="1"/>
  <c r="Q203" i="3"/>
  <c r="Q204" i="3"/>
  <c r="Q205" i="3"/>
  <c r="Q206" i="3"/>
  <c r="Q207" i="3"/>
  <c r="Q208" i="3"/>
  <c r="Q209" i="3"/>
  <c r="Q210" i="3"/>
  <c r="Q211" i="3"/>
  <c r="Q212" i="3"/>
  <c r="Q213" i="3"/>
  <c r="Q214" i="3"/>
  <c r="Q215" i="3"/>
  <c r="Q216" i="3"/>
  <c r="Q217" i="3"/>
  <c r="Q218" i="3"/>
  <c r="Q219" i="3"/>
  <c r="Q220" i="3"/>
  <c r="T220" i="3"/>
  <c r="P3" i="17" s="1"/>
  <c r="U220" i="3"/>
  <c r="Q3" i="17" s="1"/>
  <c r="Q221" i="3"/>
  <c r="Q222" i="3"/>
  <c r="Q223" i="3"/>
  <c r="Q224" i="3"/>
  <c r="Q225" i="3"/>
  <c r="Q226" i="3"/>
  <c r="Q227" i="3"/>
  <c r="Q228" i="3"/>
  <c r="Q229" i="3"/>
  <c r="Q230" i="3"/>
  <c r="Q231" i="3"/>
  <c r="Q232" i="3"/>
  <c r="Q233" i="3"/>
  <c r="T233" i="3"/>
  <c r="P29" i="17" s="1"/>
  <c r="U233" i="3"/>
  <c r="Q29" i="17" s="1"/>
  <c r="Q234" i="3"/>
  <c r="Q235" i="3"/>
  <c r="Q236" i="3"/>
  <c r="Q237" i="3"/>
  <c r="Q238" i="3"/>
  <c r="Q239" i="3"/>
  <c r="Q240" i="3"/>
  <c r="Q241" i="3"/>
  <c r="Q242" i="3"/>
  <c r="Q243" i="3"/>
  <c r="Q244" i="3"/>
  <c r="Q245" i="3"/>
  <c r="Q246" i="3"/>
  <c r="Q247" i="3"/>
  <c r="Q248" i="3"/>
  <c r="Q249" i="3"/>
  <c r="T249" i="3"/>
  <c r="P11" i="17" s="1"/>
  <c r="U249" i="3"/>
  <c r="Q11" i="17" s="1"/>
  <c r="Q250" i="3"/>
  <c r="Q251" i="3"/>
  <c r="Q252" i="3"/>
  <c r="Q253" i="3"/>
  <c r="Q254" i="3"/>
  <c r="Q255" i="3"/>
  <c r="Q256" i="3"/>
  <c r="Q257" i="3"/>
  <c r="Q258" i="3"/>
  <c r="Q259" i="3"/>
  <c r="Q260" i="3"/>
  <c r="Q261" i="3"/>
  <c r="Q262" i="3"/>
  <c r="Q263" i="3"/>
  <c r="T263" i="3"/>
  <c r="P32" i="17" s="1"/>
  <c r="U263" i="3"/>
  <c r="Q32" i="17" s="1"/>
  <c r="Q264" i="3"/>
  <c r="Q265" i="3"/>
  <c r="Q266" i="3"/>
  <c r="Q267" i="3"/>
  <c r="T267" i="3"/>
  <c r="P13" i="17" s="1"/>
  <c r="U267" i="3"/>
  <c r="Q13" i="17" s="1"/>
  <c r="Q268" i="3"/>
  <c r="Q269" i="3"/>
  <c r="Q270" i="3"/>
  <c r="Q271" i="3"/>
  <c r="Q272" i="3"/>
  <c r="Q273" i="3"/>
  <c r="Q274" i="3"/>
  <c r="Q275" i="3"/>
  <c r="Q276" i="3"/>
  <c r="Q277" i="3"/>
  <c r="Q278" i="3"/>
  <c r="Q279" i="3"/>
  <c r="Q280" i="3"/>
  <c r="Q281" i="3"/>
  <c r="Q282" i="3"/>
  <c r="Q283" i="3"/>
  <c r="Q284" i="3"/>
  <c r="Q285" i="3"/>
  <c r="Q286" i="3"/>
  <c r="Q287" i="3"/>
  <c r="N288" i="3"/>
  <c r="Q288" i="3"/>
  <c r="T288" i="3"/>
  <c r="P15" i="17" s="1"/>
  <c r="U288" i="3"/>
  <c r="Q15" i="17" s="1"/>
  <c r="N289" i="3"/>
  <c r="Q289" i="3"/>
  <c r="N290" i="3"/>
  <c r="Q290" i="3"/>
  <c r="N291" i="3"/>
  <c r="Q291" i="3"/>
  <c r="N292" i="3"/>
  <c r="Q292" i="3"/>
  <c r="N293" i="3"/>
  <c r="Q293" i="3"/>
  <c r="N294" i="3"/>
  <c r="Q294" i="3"/>
  <c r="N295" i="3"/>
  <c r="Q295" i="3"/>
  <c r="N296" i="3"/>
  <c r="Q296" i="3"/>
  <c r="N297" i="3"/>
  <c r="Q297" i="3"/>
  <c r="N298" i="3"/>
  <c r="Q298" i="3"/>
  <c r="N299" i="3"/>
  <c r="Q299" i="3"/>
  <c r="N300" i="3"/>
  <c r="Q300" i="3"/>
  <c r="N301" i="3"/>
  <c r="Q301" i="3"/>
  <c r="N302" i="3"/>
  <c r="Q302" i="3"/>
  <c r="N303" i="3"/>
  <c r="Q303" i="3"/>
  <c r="N304" i="3"/>
  <c r="Q304" i="3"/>
  <c r="N305" i="3"/>
  <c r="Q305" i="3"/>
  <c r="N306" i="3"/>
  <c r="Q306" i="3"/>
  <c r="N307" i="3"/>
  <c r="Q307" i="3"/>
  <c r="N308" i="3"/>
  <c r="Q308" i="3"/>
  <c r="N309" i="3"/>
  <c r="Q309" i="3"/>
  <c r="Q310" i="3"/>
  <c r="T310" i="3"/>
  <c r="P47" i="17" s="1"/>
  <c r="U310" i="3"/>
  <c r="Q47" i="17" s="1"/>
  <c r="Q311" i="3"/>
  <c r="Q312" i="3"/>
  <c r="Q313" i="3"/>
  <c r="Q314" i="3"/>
  <c r="Q315" i="3"/>
  <c r="Q316" i="3"/>
  <c r="Q317" i="3"/>
  <c r="Q318" i="3"/>
  <c r="Q319" i="3"/>
  <c r="T319" i="3"/>
  <c r="P20" i="17" s="1"/>
  <c r="U319" i="3"/>
  <c r="Q20" i="17" s="1"/>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T347" i="3"/>
  <c r="P19" i="17" s="1"/>
  <c r="U347" i="3"/>
  <c r="Q19" i="17" s="1"/>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T405" i="3"/>
  <c r="P24" i="17" s="1"/>
  <c r="U405" i="3"/>
  <c r="Q24" i="17" s="1"/>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T462" i="3"/>
  <c r="P31" i="17" s="1"/>
  <c r="U462" i="3"/>
  <c r="Q31" i="17" s="1"/>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T531" i="3"/>
  <c r="P26" i="17" s="1"/>
  <c r="U531" i="3"/>
  <c r="Q26" i="17" s="1"/>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T562" i="3"/>
  <c r="P28" i="17" s="1"/>
  <c r="U562" i="3"/>
  <c r="Q28" i="17" s="1"/>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T642" i="3"/>
  <c r="P37" i="17" s="1"/>
  <c r="U642" i="3"/>
  <c r="Q37" i="17" s="1"/>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T724" i="3"/>
  <c r="P36" i="17" s="1"/>
  <c r="U724" i="3"/>
  <c r="Q36" i="17" s="1"/>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T776" i="3"/>
  <c r="P41" i="17" s="1"/>
  <c r="U776" i="3"/>
  <c r="Q41" i="17" s="1"/>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T946" i="3"/>
  <c r="P35" i="17" s="1"/>
  <c r="U946" i="3"/>
  <c r="Q35" i="17" s="1"/>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T977" i="3"/>
  <c r="P45" i="17" s="1"/>
  <c r="U977" i="3"/>
  <c r="Q45" i="17" s="1"/>
  <c r="Q978" i="3"/>
  <c r="T978" i="3"/>
  <c r="P52" i="17" s="1"/>
  <c r="U978" i="3"/>
  <c r="Q52" i="17" s="1"/>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T1013" i="3"/>
  <c r="P40" i="17" s="1"/>
  <c r="U1013" i="3"/>
  <c r="Q40" i="17" s="1"/>
  <c r="Q1014" i="3"/>
  <c r="T1014" i="3"/>
  <c r="U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T1053" i="3"/>
  <c r="P51" i="17" s="1"/>
  <c r="U1053" i="3"/>
  <c r="Q51" i="17" s="1"/>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T1129" i="3"/>
  <c r="P4" i="17" s="1"/>
  <c r="U1129" i="3"/>
  <c r="Q4" i="17" s="1"/>
  <c r="Q1130" i="3"/>
  <c r="Q1131" i="3"/>
  <c r="Q1132" i="3"/>
  <c r="Q1133" i="3"/>
  <c r="Q1134" i="3"/>
  <c r="Q1135" i="3"/>
  <c r="Q1136" i="3"/>
  <c r="Q1137" i="3"/>
  <c r="Q1138" i="3"/>
  <c r="Q1139" i="3"/>
  <c r="Q1140" i="3"/>
  <c r="Q1141" i="3"/>
  <c r="T1141" i="3"/>
  <c r="P10" i="17" s="1"/>
  <c r="U1141" i="3"/>
  <c r="Q10" i="17" s="1"/>
  <c r="Q1142" i="3"/>
  <c r="Q1143" i="3"/>
  <c r="Q1144" i="3"/>
  <c r="Q1145" i="3"/>
  <c r="Q1146" i="3"/>
  <c r="Q1147" i="3"/>
  <c r="Q1148" i="3"/>
  <c r="Q1149" i="3"/>
  <c r="Q1150" i="3"/>
  <c r="S1150" i="3"/>
  <c r="O53" i="17" s="1"/>
  <c r="T1150" i="3"/>
  <c r="P53" i="17" s="1"/>
  <c r="U1150" i="3"/>
  <c r="Q53" i="17" s="1"/>
  <c r="V1150" i="3"/>
  <c r="R53" i="17" s="1"/>
  <c r="W1150" i="3"/>
  <c r="S53" i="17" s="1"/>
  <c r="Q1151" i="3"/>
  <c r="Q1152" i="3"/>
  <c r="Q1153" i="3"/>
  <c r="Q1154" i="3"/>
  <c r="Q1155" i="3"/>
  <c r="Q1156" i="3"/>
  <c r="Q1157" i="3"/>
  <c r="Q1158" i="3"/>
  <c r="Q1159" i="3"/>
  <c r="Q1160" i="3"/>
  <c r="Q1161" i="3"/>
  <c r="Q24" i="13"/>
  <c r="Q25" i="13"/>
  <c r="N2" i="9"/>
  <c r="S1141" i="3" l="1"/>
  <c r="O10" i="17" s="1"/>
  <c r="V1141" i="3"/>
  <c r="R10" i="17" s="1"/>
  <c r="W1141" i="3"/>
  <c r="S10" i="17" s="1"/>
  <c r="S1129" i="3"/>
  <c r="O4" i="17" s="1"/>
  <c r="V1129" i="3"/>
  <c r="R4" i="17" s="1"/>
  <c r="W1129" i="3"/>
  <c r="S4" i="17" s="1"/>
  <c r="S1053" i="3"/>
  <c r="O51" i="17" s="1"/>
  <c r="V1053" i="3"/>
  <c r="R51" i="17" s="1"/>
  <c r="W1053" i="3"/>
  <c r="S51" i="17" s="1"/>
  <c r="S977" i="3"/>
  <c r="O45" i="17" s="1"/>
  <c r="V977" i="3"/>
  <c r="R45" i="17" s="1"/>
  <c r="W977" i="3"/>
  <c r="S45" i="17" s="1"/>
  <c r="S1014" i="3"/>
  <c r="O39" i="17" s="1"/>
  <c r="V1014" i="3"/>
  <c r="R39" i="17" s="1"/>
  <c r="W1014" i="3"/>
  <c r="S39" i="17" s="1"/>
  <c r="S978" i="3"/>
  <c r="O52" i="17" s="1"/>
  <c r="V978" i="3"/>
  <c r="R52" i="17" s="1"/>
  <c r="W978" i="3"/>
  <c r="S52" i="17" s="1"/>
  <c r="S946" i="3"/>
  <c r="O35" i="17" s="1"/>
  <c r="V946" i="3"/>
  <c r="R35" i="17" s="1"/>
  <c r="W946" i="3"/>
  <c r="S35" i="17" s="1"/>
  <c r="X946" i="3"/>
  <c r="S776" i="3"/>
  <c r="O41" i="17" s="1"/>
  <c r="V776" i="3"/>
  <c r="R41" i="17" s="1"/>
  <c r="W776" i="3"/>
  <c r="S41" i="17" s="1"/>
  <c r="X776" i="3"/>
  <c r="S724" i="3"/>
  <c r="O36" i="17" s="1"/>
  <c r="V724" i="3"/>
  <c r="R36" i="17" s="1"/>
  <c r="W724" i="3"/>
  <c r="S36" i="17" s="1"/>
  <c r="X724" i="3"/>
  <c r="S642" i="3"/>
  <c r="O37" i="17" s="1"/>
  <c r="V642" i="3"/>
  <c r="R37" i="17" s="1"/>
  <c r="W642" i="3"/>
  <c r="S37" i="17" s="1"/>
  <c r="S562" i="3"/>
  <c r="O28" i="17" s="1"/>
  <c r="V562" i="3"/>
  <c r="R28" i="17" s="1"/>
  <c r="W562" i="3"/>
  <c r="S28" i="17" s="1"/>
  <c r="X562" i="3"/>
  <c r="S531" i="3"/>
  <c r="O26" i="17" s="1"/>
  <c r="V531" i="3"/>
  <c r="R26" i="17" s="1"/>
  <c r="W531" i="3"/>
  <c r="S26" i="17" s="1"/>
  <c r="X531" i="3"/>
  <c r="S462" i="3"/>
  <c r="O31" i="17" s="1"/>
  <c r="V462" i="3"/>
  <c r="R31" i="17" s="1"/>
  <c r="W462" i="3"/>
  <c r="S31" i="17" s="1"/>
  <c r="X462" i="3"/>
  <c r="S405" i="3"/>
  <c r="O24" i="17" s="1"/>
  <c r="V405" i="3"/>
  <c r="R24" i="17" s="1"/>
  <c r="W405" i="3"/>
  <c r="S24" i="17" s="1"/>
  <c r="X405" i="3"/>
  <c r="S347" i="3"/>
  <c r="O19" i="17" s="1"/>
  <c r="V347" i="3"/>
  <c r="R19" i="17" s="1"/>
  <c r="W347" i="3"/>
  <c r="S19" i="17" s="1"/>
  <c r="X347" i="3"/>
  <c r="S319" i="3"/>
  <c r="O20" i="17" s="1"/>
  <c r="V319" i="3"/>
  <c r="R20" i="17" s="1"/>
  <c r="W319" i="3"/>
  <c r="S20" i="17" s="1"/>
  <c r="S310" i="3"/>
  <c r="O47" i="17" s="1"/>
  <c r="V310" i="3"/>
  <c r="R47" i="17" s="1"/>
  <c r="W310" i="3"/>
  <c r="S47" i="17" s="1"/>
  <c r="S288" i="3"/>
  <c r="O15" i="17" s="1"/>
  <c r="V288" i="3"/>
  <c r="R15" i="17" s="1"/>
  <c r="W288" i="3"/>
  <c r="S15" i="17" s="1"/>
  <c r="S267" i="3"/>
  <c r="O13" i="17" s="1"/>
  <c r="V267" i="3"/>
  <c r="R13" i="17" s="1"/>
  <c r="W267" i="3"/>
  <c r="S13" i="17" s="1"/>
  <c r="S263" i="3"/>
  <c r="O32" i="17" s="1"/>
  <c r="V263" i="3"/>
  <c r="R32" i="17" s="1"/>
  <c r="W263" i="3"/>
  <c r="S32" i="17" s="1"/>
  <c r="S249" i="3"/>
  <c r="O11" i="17" s="1"/>
  <c r="V249" i="3"/>
  <c r="R11" i="17" s="1"/>
  <c r="W249" i="3"/>
  <c r="S11" i="17" s="1"/>
  <c r="S233" i="3"/>
  <c r="O29" i="17" s="1"/>
  <c r="V233" i="3"/>
  <c r="R29" i="17" s="1"/>
  <c r="W233" i="3"/>
  <c r="S29" i="17" s="1"/>
  <c r="S220" i="3"/>
  <c r="O3" i="17" s="1"/>
  <c r="V220" i="3"/>
  <c r="R3" i="17" s="1"/>
  <c r="W220" i="3"/>
  <c r="S3" i="17" s="1"/>
  <c r="S202" i="3"/>
  <c r="O38" i="17" s="1"/>
  <c r="V202" i="3"/>
  <c r="R38" i="17" s="1"/>
  <c r="W202" i="3"/>
  <c r="S38" i="17" s="1"/>
  <c r="S190" i="3"/>
  <c r="O50" i="17" s="1"/>
  <c r="V190" i="3"/>
  <c r="R50" i="17" s="1"/>
  <c r="W190" i="3"/>
  <c r="S50" i="17" s="1"/>
  <c r="S132" i="3"/>
  <c r="O21" i="17" s="1"/>
  <c r="V132" i="3"/>
  <c r="R21" i="17" s="1"/>
  <c r="W132" i="3"/>
  <c r="S21" i="17" s="1"/>
  <c r="W129" i="3"/>
  <c r="S101" i="3"/>
  <c r="W101" i="3"/>
  <c r="X101" i="3"/>
  <c r="S65" i="3"/>
  <c r="O14" i="17" s="1"/>
  <c r="V65" i="3"/>
  <c r="R14" i="17" s="1"/>
  <c r="W65" i="3"/>
  <c r="S14" i="17" s="1"/>
  <c r="X65" i="3"/>
  <c r="S2" i="3"/>
  <c r="O30" i="17" s="1"/>
  <c r="V2" i="3"/>
  <c r="R30" i="17" s="1"/>
  <c r="W2" i="3"/>
  <c r="S30" i="17" s="1"/>
  <c r="X2" i="3"/>
  <c r="V69" i="8"/>
  <c r="T41" i="17" s="1"/>
  <c r="Y69" i="8"/>
  <c r="W41" i="17" s="1"/>
  <c r="Z69" i="8"/>
  <c r="X41" i="17" s="1"/>
  <c r="V62" i="8"/>
  <c r="T15" i="17" s="1"/>
  <c r="Y62" i="8"/>
  <c r="W15" i="17" s="1"/>
  <c r="Z62" i="8"/>
  <c r="X15" i="17" s="1"/>
  <c r="V46" i="8"/>
  <c r="T38" i="17" s="1"/>
  <c r="Y46" i="8"/>
  <c r="W38" i="17" s="1"/>
  <c r="Z46" i="8"/>
  <c r="X38" i="17" s="1"/>
  <c r="V29" i="8"/>
  <c r="T14" i="17" s="1"/>
  <c r="Y29" i="8"/>
  <c r="W14" i="17" s="1"/>
  <c r="Z29" i="8"/>
  <c r="X14" i="17" s="1"/>
  <c r="V2" i="8"/>
  <c r="T20" i="17" s="1"/>
  <c r="Y2" i="8"/>
  <c r="W20" i="17" s="1"/>
  <c r="Z2" i="8"/>
  <c r="X20" i="17" s="1"/>
  <c r="AD930" i="2"/>
  <c r="M53" i="17" s="1"/>
  <c r="AE930" i="2"/>
  <c r="N53" i="17" s="1"/>
  <c r="Z930" i="2"/>
  <c r="I53" i="17" s="1"/>
  <c r="AA930" i="2"/>
  <c r="J53" i="17" s="1"/>
  <c r="U930" i="2"/>
  <c r="D53" i="17" s="1"/>
  <c r="AD911" i="2"/>
  <c r="M6" i="17" s="1"/>
  <c r="AE911" i="2"/>
  <c r="N6" i="17" s="1"/>
  <c r="Z911" i="2"/>
  <c r="I6" i="17" s="1"/>
  <c r="AA911" i="2"/>
  <c r="J6" i="17" s="1"/>
  <c r="U911" i="2"/>
  <c r="D6" i="17" s="1"/>
  <c r="AD901" i="2"/>
  <c r="M10" i="17" s="1"/>
  <c r="AE901" i="2"/>
  <c r="N10" i="17" s="1"/>
  <c r="Z901" i="2"/>
  <c r="I10" i="17" s="1"/>
  <c r="AA901" i="2"/>
  <c r="J10" i="17" s="1"/>
  <c r="U901" i="2"/>
  <c r="D10" i="17" s="1"/>
  <c r="AD892" i="2"/>
  <c r="M4" i="17" s="1"/>
  <c r="AE892" i="2"/>
  <c r="N4" i="17" s="1"/>
  <c r="Z892" i="2"/>
  <c r="I4" i="17" s="1"/>
  <c r="AA892" i="2"/>
  <c r="J4" i="17" s="1"/>
  <c r="U892" i="2"/>
  <c r="D4" i="17" s="1"/>
  <c r="AD829" i="2"/>
  <c r="M5" i="17" s="1"/>
  <c r="AE829" i="2"/>
  <c r="N5" i="17" s="1"/>
  <c r="Z829" i="2"/>
  <c r="I5" i="17" s="1"/>
  <c r="AA829" i="2"/>
  <c r="J5" i="17" s="1"/>
  <c r="AD826" i="2"/>
  <c r="M49" i="17" s="1"/>
  <c r="AE826" i="2"/>
  <c r="N49" i="17" s="1"/>
  <c r="U826" i="2"/>
  <c r="D49" i="17" s="1"/>
  <c r="Z826" i="2"/>
  <c r="I49" i="17" s="1"/>
  <c r="AA826" i="2"/>
  <c r="J49" i="17" s="1"/>
  <c r="AD791" i="2"/>
  <c r="M51" i="17" s="1"/>
  <c r="AE791" i="2"/>
  <c r="N51" i="17" s="1"/>
  <c r="U791" i="2"/>
  <c r="D51" i="17" s="1"/>
  <c r="Z791" i="2"/>
  <c r="I51" i="17" s="1"/>
  <c r="AA791" i="2"/>
  <c r="J51" i="17" s="1"/>
  <c r="AD771" i="2"/>
  <c r="M42" i="17" s="1"/>
  <c r="AE771" i="2"/>
  <c r="N42" i="17" s="1"/>
  <c r="U771" i="2"/>
  <c r="D42" i="17" s="1"/>
  <c r="Z771" i="2"/>
  <c r="I42" i="17" s="1"/>
  <c r="AA771" i="2"/>
  <c r="J42" i="17" s="1"/>
  <c r="AD747" i="2"/>
  <c r="M39" i="17" s="1"/>
  <c r="AE747" i="2"/>
  <c r="N39" i="17" s="1"/>
  <c r="U747" i="2"/>
  <c r="D39" i="17" s="1"/>
  <c r="Z747" i="2"/>
  <c r="I39" i="17" s="1"/>
  <c r="AA747" i="2"/>
  <c r="J39" i="17" s="1"/>
  <c r="AD737" i="2"/>
  <c r="M40" i="17" s="1"/>
  <c r="AE737" i="2"/>
  <c r="N40" i="17" s="1"/>
  <c r="U737" i="2"/>
  <c r="D40" i="17" s="1"/>
  <c r="Z737" i="2"/>
  <c r="I40" i="17" s="1"/>
  <c r="AA737" i="2"/>
  <c r="J40" i="17" s="1"/>
  <c r="AD671" i="2"/>
  <c r="M52" i="17" s="1"/>
  <c r="AE671" i="2"/>
  <c r="N52" i="17" s="1"/>
  <c r="U671" i="2"/>
  <c r="D52" i="17" s="1"/>
  <c r="Z671" i="2"/>
  <c r="I52" i="17" s="1"/>
  <c r="AA671" i="2"/>
  <c r="J52" i="17" s="1"/>
  <c r="AD650" i="2"/>
  <c r="M45" i="17" s="1"/>
  <c r="AE650" i="2"/>
  <c r="N45" i="17" s="1"/>
  <c r="U650" i="2"/>
  <c r="D45" i="17" s="1"/>
  <c r="Z650" i="2"/>
  <c r="I45" i="17" s="1"/>
  <c r="AA650" i="2"/>
  <c r="J45" i="17" s="1"/>
  <c r="AD627" i="2"/>
  <c r="M11" i="17" s="1"/>
  <c r="AE627" i="2"/>
  <c r="N11" i="17" s="1"/>
  <c r="U627" i="2"/>
  <c r="D11" i="17" s="1"/>
  <c r="Z627" i="2"/>
  <c r="I11" i="17" s="1"/>
  <c r="AA627" i="2"/>
  <c r="J11" i="17" s="1"/>
  <c r="AD598" i="2"/>
  <c r="M41" i="17" s="1"/>
  <c r="AE598" i="2"/>
  <c r="N41" i="17" s="1"/>
  <c r="U598" i="2"/>
  <c r="D41" i="17" s="1"/>
  <c r="Z598" i="2"/>
  <c r="I41" i="17" s="1"/>
  <c r="AA598" i="2"/>
  <c r="J41" i="17" s="1"/>
  <c r="AD590" i="2"/>
  <c r="M36" i="17" s="1"/>
  <c r="AE590" i="2"/>
  <c r="N36" i="17" s="1"/>
  <c r="U590" i="2"/>
  <c r="D36" i="17" s="1"/>
  <c r="Z590" i="2"/>
  <c r="I36" i="17" s="1"/>
  <c r="AA590" i="2"/>
  <c r="J36" i="17" s="1"/>
  <c r="AD588" i="2"/>
  <c r="M37" i="17" s="1"/>
  <c r="AE588" i="2"/>
  <c r="N37" i="17" s="1"/>
  <c r="U588" i="2"/>
  <c r="D37" i="17" s="1"/>
  <c r="Z588" i="2"/>
  <c r="I37" i="17" s="1"/>
  <c r="AA588" i="2"/>
  <c r="J37" i="17" s="1"/>
  <c r="AD526" i="2"/>
  <c r="AE526" i="2"/>
  <c r="U526" i="2"/>
  <c r="Z526" i="2"/>
  <c r="AA526" i="2"/>
  <c r="AD507" i="2"/>
  <c r="M34" i="17" s="1"/>
  <c r="AE507" i="2"/>
  <c r="N34" i="17" s="1"/>
  <c r="U507" i="2"/>
  <c r="D34" i="17" s="1"/>
  <c r="Z507" i="2"/>
  <c r="I34" i="17" s="1"/>
  <c r="AA507" i="2"/>
  <c r="J34" i="17" s="1"/>
  <c r="AD474" i="2"/>
  <c r="M28" i="17" s="1"/>
  <c r="AE474" i="2"/>
  <c r="N28" i="17" s="1"/>
  <c r="U474" i="2"/>
  <c r="D28" i="17" s="1"/>
  <c r="Z474" i="2"/>
  <c r="I28" i="17" s="1"/>
  <c r="AA474" i="2"/>
  <c r="J28" i="17" s="1"/>
  <c r="AD447" i="2"/>
  <c r="M26" i="17" s="1"/>
  <c r="AE447" i="2"/>
  <c r="N26" i="17" s="1"/>
  <c r="U447" i="2"/>
  <c r="D26" i="17" s="1"/>
  <c r="Z447" i="2"/>
  <c r="I26" i="17" s="1"/>
  <c r="AA447" i="2"/>
  <c r="J26" i="17" s="1"/>
  <c r="AD431" i="2"/>
  <c r="M31" i="17" s="1"/>
  <c r="AE431" i="2"/>
  <c r="N31" i="17" s="1"/>
  <c r="U431" i="2"/>
  <c r="D31" i="17" s="1"/>
  <c r="Z431" i="2"/>
  <c r="I31" i="17" s="1"/>
  <c r="AA431" i="2"/>
  <c r="J31" i="17" s="1"/>
  <c r="AD367" i="2"/>
  <c r="M24" i="17" s="1"/>
  <c r="AE367" i="2"/>
  <c r="N24" i="17" s="1"/>
  <c r="U367" i="2"/>
  <c r="D24" i="17" s="1"/>
  <c r="Z367" i="2"/>
  <c r="I24" i="17" s="1"/>
  <c r="AA367" i="2"/>
  <c r="J24" i="17" s="1"/>
  <c r="AD361" i="2"/>
  <c r="M20" i="17" s="1"/>
  <c r="AE361" i="2"/>
  <c r="N20" i="17" s="1"/>
  <c r="U361" i="2"/>
  <c r="D20" i="17" s="1"/>
  <c r="Z361" i="2"/>
  <c r="I20" i="17" s="1"/>
  <c r="AA361" i="2"/>
  <c r="J20" i="17" s="1"/>
  <c r="AD337" i="2"/>
  <c r="M15" i="17" s="1"/>
  <c r="AE337" i="2"/>
  <c r="N15" i="17" s="1"/>
  <c r="U337" i="2"/>
  <c r="D15" i="17" s="1"/>
  <c r="Z337" i="2"/>
  <c r="I15" i="17" s="1"/>
  <c r="AA337" i="2"/>
  <c r="J15" i="17" s="1"/>
  <c r="AD317" i="2"/>
  <c r="M13" i="17" s="1"/>
  <c r="AE317" i="2"/>
  <c r="N13" i="17" s="1"/>
  <c r="U317" i="2"/>
  <c r="D13" i="17" s="1"/>
  <c r="Z317" i="2"/>
  <c r="I13" i="17" s="1"/>
  <c r="AA317" i="2"/>
  <c r="J13" i="17" s="1"/>
  <c r="AD225" i="2"/>
  <c r="M32" i="17" s="1"/>
  <c r="AE225" i="2"/>
  <c r="N32" i="17" s="1"/>
  <c r="U225" i="2"/>
  <c r="D32" i="17" s="1"/>
  <c r="Z225" i="2"/>
  <c r="I32" i="17" s="1"/>
  <c r="AA225" i="2"/>
  <c r="J32" i="17" s="1"/>
  <c r="AD206" i="2"/>
  <c r="M48" i="17" s="1"/>
  <c r="AE206" i="2"/>
  <c r="N48" i="17" s="1"/>
  <c r="U206" i="2"/>
  <c r="D48" i="17" s="1"/>
  <c r="Z206" i="2"/>
  <c r="I48" i="17" s="1"/>
  <c r="AA206" i="2"/>
  <c r="J48" i="17" s="1"/>
  <c r="AD182" i="2"/>
  <c r="M29" i="17" s="1"/>
  <c r="AE182" i="2"/>
  <c r="N29" i="17" s="1"/>
  <c r="U182" i="2"/>
  <c r="D29" i="17" s="1"/>
  <c r="Z182" i="2"/>
  <c r="I29" i="17" s="1"/>
  <c r="AA182" i="2"/>
  <c r="J29" i="17" s="1"/>
  <c r="AD151" i="2"/>
  <c r="M3" i="17" s="1"/>
  <c r="AE151" i="2"/>
  <c r="N3" i="17" s="1"/>
  <c r="U151" i="2"/>
  <c r="D3" i="17" s="1"/>
  <c r="Z151" i="2"/>
  <c r="I3" i="17" s="1"/>
  <c r="AA151" i="2"/>
  <c r="J3" i="17" s="1"/>
  <c r="AD148" i="2"/>
  <c r="M38" i="17" s="1"/>
  <c r="AE148" i="2"/>
  <c r="N38" i="17" s="1"/>
  <c r="U148" i="2"/>
  <c r="D38" i="17" s="1"/>
  <c r="Z148" i="2"/>
  <c r="I38" i="17" s="1"/>
  <c r="AA148" i="2"/>
  <c r="J38" i="17" s="1"/>
  <c r="AD103" i="2"/>
  <c r="M19" i="17" s="1"/>
  <c r="AE103" i="2"/>
  <c r="N19" i="17" s="1"/>
  <c r="U103" i="2"/>
  <c r="D19" i="17" s="1"/>
  <c r="Z103" i="2"/>
  <c r="I19" i="17" s="1"/>
  <c r="AA103" i="2"/>
  <c r="J19" i="17" s="1"/>
  <c r="AD85" i="2"/>
  <c r="M50" i="17" s="1"/>
  <c r="AE85" i="2"/>
  <c r="N50" i="17" s="1"/>
  <c r="U85" i="2"/>
  <c r="D50" i="17" s="1"/>
  <c r="Z85" i="2"/>
  <c r="I50" i="17" s="1"/>
  <c r="AA85" i="2"/>
  <c r="J50" i="17" s="1"/>
  <c r="AD26" i="2"/>
  <c r="M21" i="17" s="1"/>
  <c r="AE26" i="2"/>
  <c r="N21" i="17" s="1"/>
  <c r="U26" i="2"/>
  <c r="D21" i="17" s="1"/>
  <c r="Z26" i="2"/>
  <c r="I21" i="17" s="1"/>
  <c r="AA26" i="2"/>
  <c r="J21" i="17" s="1"/>
  <c r="AD11" i="2"/>
  <c r="M14" i="17" s="1"/>
  <c r="AE11" i="2"/>
  <c r="N14" i="17" s="1"/>
  <c r="U11" i="2"/>
  <c r="D14" i="17" s="1"/>
  <c r="Z11" i="2"/>
  <c r="I14" i="17" s="1"/>
  <c r="AA11" i="2"/>
  <c r="J14" i="17" s="1"/>
  <c r="AD7" i="2"/>
  <c r="M33" i="17" s="1"/>
  <c r="AE7" i="2"/>
  <c r="N33" i="17" s="1"/>
  <c r="U7" i="2"/>
  <c r="D33" i="17" s="1"/>
  <c r="Z7" i="2"/>
  <c r="I33" i="17" s="1"/>
  <c r="AA7" i="2"/>
  <c r="J33" i="17" s="1"/>
  <c r="AD2" i="2"/>
  <c r="M30" i="17" s="1"/>
  <c r="AE2" i="2"/>
  <c r="N30" i="17" s="1"/>
  <c r="U2" i="2"/>
  <c r="D30" i="17" s="1"/>
  <c r="Z2" i="2"/>
  <c r="I30" i="17" s="1"/>
  <c r="AA2" i="2"/>
  <c r="J30" i="17" s="1"/>
  <c r="U87" i="1"/>
  <c r="Y45" i="17" s="1"/>
  <c r="X87" i="1"/>
  <c r="AB45" i="17" s="1"/>
  <c r="Y87" i="1"/>
  <c r="AC45" i="17" s="1"/>
  <c r="U37" i="1"/>
  <c r="Y15" i="17" s="1"/>
  <c r="X37" i="1"/>
  <c r="AB15" i="17" s="1"/>
  <c r="Y37" i="1"/>
  <c r="AC15" i="17" s="1"/>
  <c r="U77" i="1"/>
  <c r="Y25" i="17" s="1"/>
  <c r="X77" i="1"/>
  <c r="AB25" i="17" s="1"/>
  <c r="Y77" i="1"/>
  <c r="AC25" i="17" s="1"/>
  <c r="U71" i="1"/>
  <c r="Y14" i="17" s="1"/>
  <c r="X71" i="1"/>
  <c r="AB14" i="17" s="1"/>
  <c r="Y71" i="1"/>
  <c r="AC14" i="17" s="1"/>
  <c r="U68" i="1"/>
  <c r="Y37" i="17" s="1"/>
  <c r="X68" i="1"/>
  <c r="AB37" i="17" s="1"/>
  <c r="Y68" i="1"/>
  <c r="AC37" i="17" s="1"/>
  <c r="U13" i="1"/>
  <c r="Y21" i="17" s="1"/>
  <c r="X13" i="1"/>
  <c r="AB21" i="17" s="1"/>
  <c r="Y13" i="1"/>
  <c r="AC21" i="17" s="1"/>
  <c r="U49" i="1"/>
  <c r="Y41" i="17" s="1"/>
  <c r="X49" i="1"/>
  <c r="AB41" i="17" s="1"/>
  <c r="Y49" i="1"/>
  <c r="AC41" i="17" s="1"/>
  <c r="U47" i="1"/>
  <c r="Y35" i="17" s="1"/>
  <c r="X47" i="1"/>
  <c r="AB35" i="17" s="1"/>
  <c r="Y47" i="1"/>
  <c r="AC35" i="17" s="1"/>
  <c r="U42" i="1"/>
  <c r="Y29" i="17" s="1"/>
  <c r="X42" i="1"/>
  <c r="AB29" i="17" s="1"/>
  <c r="Y42" i="1"/>
  <c r="AC29" i="17" s="1"/>
  <c r="U38" i="1"/>
  <c r="Y13" i="17" s="1"/>
  <c r="X38" i="1"/>
  <c r="AB13" i="17" s="1"/>
  <c r="Y38" i="1"/>
  <c r="AC13" i="17" s="1"/>
  <c r="U19" i="1"/>
  <c r="Y19" i="17" s="1"/>
  <c r="X19" i="1"/>
  <c r="AB19" i="17" s="1"/>
  <c r="Y19" i="1"/>
  <c r="AC19" i="17" s="1"/>
  <c r="U17" i="1"/>
  <c r="Y31" i="17" s="1"/>
  <c r="X17" i="1"/>
  <c r="AB31" i="17" s="1"/>
  <c r="Y17" i="1"/>
  <c r="AC31" i="17" s="1"/>
</calcChain>
</file>

<file path=xl/sharedStrings.xml><?xml version="1.0" encoding="utf-8"?>
<sst xmlns="http://schemas.openxmlformats.org/spreadsheetml/2006/main" count="7168" uniqueCount="700">
  <si>
    <t xml:space="preserve">   No. </t>
  </si>
  <si>
    <t xml:space="preserve">   As    </t>
  </si>
  <si>
    <t xml:space="preserve">   Ga    </t>
  </si>
  <si>
    <t xml:space="preserve">   S     </t>
  </si>
  <si>
    <t xml:space="preserve">   Ag    </t>
  </si>
  <si>
    <t xml:space="preserve">   Sb    </t>
  </si>
  <si>
    <t xml:space="preserve">   Cd    </t>
  </si>
  <si>
    <t xml:space="preserve">   Fe    </t>
  </si>
  <si>
    <t xml:space="preserve">   In    </t>
  </si>
  <si>
    <t xml:space="preserve">   Cu    </t>
  </si>
  <si>
    <t xml:space="preserve">   Sn    </t>
  </si>
  <si>
    <t xml:space="preserve">   Zn    </t>
  </si>
  <si>
    <t xml:space="preserve">   Pb    </t>
  </si>
  <si>
    <t xml:space="preserve">  Total  </t>
  </si>
  <si>
    <t xml:space="preserve">Comment  </t>
  </si>
  <si>
    <t>Location</t>
  </si>
  <si>
    <t xml:space="preserve">CL-07 CuS digenite (light blue) </t>
  </si>
  <si>
    <t>Cligga Head</t>
  </si>
  <si>
    <t xml:space="preserve">CL-07 CuS pink (in digenite) </t>
  </si>
  <si>
    <t xml:space="preserve">CL-07 CuS(Fe,As) light blue coating? </t>
  </si>
  <si>
    <t xml:space="preserve">CN-02 chalcocite? </t>
  </si>
  <si>
    <t>East Caradon</t>
  </si>
  <si>
    <t xml:space="preserve">CN-04 chalcocite </t>
  </si>
  <si>
    <t xml:space="preserve">Crofty 13 chalcocite grey </t>
  </si>
  <si>
    <t>Dolcoath</t>
  </si>
  <si>
    <t xml:space="preserve">Crofty 13 chalcocite? </t>
  </si>
  <si>
    <t xml:space="preserve">Crofty 13 CuFeS brown </t>
  </si>
  <si>
    <t xml:space="preserve">Crofty 13 CuFeS grey chalcocite? </t>
  </si>
  <si>
    <t xml:space="preserve">Crofty 13 grey chalcocite </t>
  </si>
  <si>
    <t xml:space="preserve">Crofty 13 grey chalcocite? </t>
  </si>
  <si>
    <t xml:space="preserve">Crofty 14 bornite? rim to ccp </t>
  </si>
  <si>
    <t xml:space="preserve">DC-02 chalcocite rim </t>
  </si>
  <si>
    <t xml:space="preserve">HD-03 chalcocite </t>
  </si>
  <si>
    <t>Hingston Down</t>
  </si>
  <si>
    <t xml:space="preserve">HD-03 sphalerite </t>
  </si>
  <si>
    <t xml:space="preserve">KH-02 digenite? </t>
  </si>
  <si>
    <t>Duchy Peru</t>
  </si>
  <si>
    <t xml:space="preserve">RJS-GV-04 chalcopyrite </t>
  </si>
  <si>
    <t>Geevor</t>
  </si>
  <si>
    <t xml:space="preserve">RJS-GV12 bornite </t>
  </si>
  <si>
    <t xml:space="preserve">RJS-GV5-CuS </t>
  </si>
  <si>
    <t xml:space="preserve">RJS-GV5-pyrite? </t>
  </si>
  <si>
    <t xml:space="preserve">RJS-GV-7 CuFeS </t>
  </si>
  <si>
    <t xml:space="preserve">RM82-21-273 CuFeS rim to ccp </t>
  </si>
  <si>
    <t>Redmoor</t>
  </si>
  <si>
    <t xml:space="preserve">CW-05 Cu-bearing rim </t>
  </si>
  <si>
    <t>Great Condurrow</t>
  </si>
  <si>
    <t>Sample</t>
  </si>
  <si>
    <t xml:space="preserve">RJS-BK4 Cu-As-S </t>
  </si>
  <si>
    <t>Botallack</t>
  </si>
  <si>
    <t xml:space="preserve">RJS-BK4-Cu-As-S </t>
  </si>
  <si>
    <t xml:space="preserve">RJS-GV12 CuS? </t>
  </si>
  <si>
    <t xml:space="preserve">RJS-WC-02 stannite </t>
  </si>
  <si>
    <t>Wheal Charlotte</t>
  </si>
  <si>
    <t xml:space="preserve">CW-06 cct </t>
  </si>
  <si>
    <t xml:space="preserve">RED-03-Lollingite </t>
  </si>
  <si>
    <t xml:space="preserve">RM82-21-274.6 lollingite </t>
  </si>
  <si>
    <t xml:space="preserve">RM82-21-273 lollingite </t>
  </si>
  <si>
    <t xml:space="preserve">CL-10 lollingite </t>
  </si>
  <si>
    <t xml:space="preserve">MP-1 lollingite </t>
  </si>
  <si>
    <t>Red-a-Ven</t>
  </si>
  <si>
    <t xml:space="preserve">MP-2 lollingite </t>
  </si>
  <si>
    <t xml:space="preserve">21-315.6 lollingite </t>
  </si>
  <si>
    <t xml:space="preserve">206-208. </t>
  </si>
  <si>
    <t xml:space="preserve">CW-06 cst </t>
  </si>
  <si>
    <t xml:space="preserve">CW-06 stn </t>
  </si>
  <si>
    <t xml:space="preserve">WC-01 arsenopyrite </t>
  </si>
  <si>
    <t xml:space="preserve">RM82-25-185.6 lollingite </t>
  </si>
  <si>
    <t xml:space="preserve">RM82-21-274.6 arsenopyrite </t>
  </si>
  <si>
    <t xml:space="preserve">RM82-21-273 arsenopyrite </t>
  </si>
  <si>
    <t xml:space="preserve">RJS-WJ01-arsenopyrite </t>
  </si>
  <si>
    <t>Wheal Jane</t>
  </si>
  <si>
    <t xml:space="preserve">RJS-BK4 pyrite </t>
  </si>
  <si>
    <t xml:space="preserve">RJS-BK4 arsenopyrite </t>
  </si>
  <si>
    <t xml:space="preserve">RJS-BK-1 arsenopyrite </t>
  </si>
  <si>
    <t xml:space="preserve">RJS-BK-05 arsenopyrite </t>
  </si>
  <si>
    <t xml:space="preserve">RED-03-Arsenopyrite </t>
  </si>
  <si>
    <t xml:space="preserve">RED-03-arsenopyrite </t>
  </si>
  <si>
    <t xml:space="preserve">PSG-05 arsenopyrite </t>
  </si>
  <si>
    <t>Perran St George (skarn)</t>
  </si>
  <si>
    <t xml:space="preserve">NJD3-pyrite </t>
  </si>
  <si>
    <t>Nangiles</t>
  </si>
  <si>
    <t xml:space="preserve">LOC5-sphalerite </t>
  </si>
  <si>
    <t>Creegbrawse</t>
  </si>
  <si>
    <t xml:space="preserve">LOC5-pyrite </t>
  </si>
  <si>
    <t xml:space="preserve">HD-01 arsenopyrite </t>
  </si>
  <si>
    <t xml:space="preserve">DC-01 arsenopyrite </t>
  </si>
  <si>
    <t xml:space="preserve">Crofty 19B arsenopyrite </t>
  </si>
  <si>
    <t xml:space="preserve">Crofty 15 arsenopyrite </t>
  </si>
  <si>
    <t xml:space="preserve">Crofty 13 arsenopyrite </t>
  </si>
  <si>
    <t xml:space="preserve">Crofty 11 grey arsenopyrite? </t>
  </si>
  <si>
    <t xml:space="preserve">Crofty 11 grey arsenopyrite </t>
  </si>
  <si>
    <t xml:space="preserve">Crofty 11 arsenopyrite (bright, yellow) </t>
  </si>
  <si>
    <t xml:space="preserve">CL-10 arsenopyrite </t>
  </si>
  <si>
    <t xml:space="preserve">CL-07 arsenopyrite </t>
  </si>
  <si>
    <t xml:space="preserve">3JD4-arsenopyrite </t>
  </si>
  <si>
    <t xml:space="preserve">DC-03 arsenopyrite </t>
  </si>
  <si>
    <t xml:space="preserve">21-315.6 arsenopyrite </t>
  </si>
  <si>
    <t xml:space="preserve">HD-03 ? </t>
  </si>
  <si>
    <t xml:space="preserve">HD-03 ccp </t>
  </si>
  <si>
    <t xml:space="preserve">MP-04-? </t>
  </si>
  <si>
    <t xml:space="preserve">DGC-04 apy </t>
  </si>
  <si>
    <t>Devon Great Consols</t>
  </si>
  <si>
    <t xml:space="preserve">DA-01 apy </t>
  </si>
  <si>
    <t>South Caradon</t>
  </si>
  <si>
    <t xml:space="preserve">DGC-05 arsenopyrite </t>
  </si>
  <si>
    <t xml:space="preserve">DGC-06 aspy </t>
  </si>
  <si>
    <t xml:space="preserve">DA-03 sph? </t>
  </si>
  <si>
    <t xml:space="preserve">CN-03 aspy </t>
  </si>
  <si>
    <t xml:space="preserve">DGC-03 arsenopyrite </t>
  </si>
  <si>
    <t xml:space="preserve">DGC-03 pyrite </t>
  </si>
  <si>
    <t xml:space="preserve">GM02A arsenopyrite </t>
  </si>
  <si>
    <t>Gonamena</t>
  </si>
  <si>
    <t xml:space="preserve">DGC-02 arsenopyrite </t>
  </si>
  <si>
    <t xml:space="preserve">GM-03 arsenopyrite </t>
  </si>
  <si>
    <t xml:space="preserve">DGC-01 arsenopyrite </t>
  </si>
  <si>
    <t xml:space="preserve">DGC-02 apy </t>
  </si>
  <si>
    <t xml:space="preserve">Devon Great Consols apy </t>
  </si>
  <si>
    <t xml:space="preserve">SSK36006 ? </t>
  </si>
  <si>
    <t>Egloskerry</t>
  </si>
  <si>
    <t xml:space="preserve">HT-01-apy </t>
  </si>
  <si>
    <t>Haytor Vale</t>
  </si>
  <si>
    <t xml:space="preserve">WE 01A arsenopyrite? </t>
  </si>
  <si>
    <t>Wheal Exmouth</t>
  </si>
  <si>
    <t xml:space="preserve">CW-05 arsenopyrite </t>
  </si>
  <si>
    <t xml:space="preserve">WE 01A sphalerite </t>
  </si>
  <si>
    <t xml:space="preserve">CW-06 apy </t>
  </si>
  <si>
    <t xml:space="preserve">21-315.6 pyrite </t>
  </si>
  <si>
    <t xml:space="preserve">29-636 pyrite </t>
  </si>
  <si>
    <t xml:space="preserve">29-636. </t>
  </si>
  <si>
    <t xml:space="preserve">3JD1 pyrite </t>
  </si>
  <si>
    <t>Wheal Fortune</t>
  </si>
  <si>
    <t xml:space="preserve">3JD4-chalcopyrite </t>
  </si>
  <si>
    <t xml:space="preserve">3JD4-pyrite </t>
  </si>
  <si>
    <t xml:space="preserve">BH-01 pyrite </t>
  </si>
  <si>
    <t>Blue Hills</t>
  </si>
  <si>
    <t xml:space="preserve">BH-02 pyrite </t>
  </si>
  <si>
    <t xml:space="preserve">CAL-01 Pyrite </t>
  </si>
  <si>
    <t>West Chiverton</t>
  </si>
  <si>
    <t xml:space="preserve">CAL-01 Pyrite (As rich rim) </t>
  </si>
  <si>
    <t xml:space="preserve">CAL-01 Pyrite (As-rich rim) </t>
  </si>
  <si>
    <t xml:space="preserve">CL-03 chalcopyrite </t>
  </si>
  <si>
    <t xml:space="preserve">CL-03 pyrite </t>
  </si>
  <si>
    <t xml:space="preserve">CN-02 pyrite </t>
  </si>
  <si>
    <t xml:space="preserve">CN-05 py </t>
  </si>
  <si>
    <t xml:space="preserve">Crofty 14 pyrite </t>
  </si>
  <si>
    <t xml:space="preserve">Crofty 19B pyrite </t>
  </si>
  <si>
    <t xml:space="preserve">DA-02 pyrite </t>
  </si>
  <si>
    <t xml:space="preserve">DC-01 pyrite </t>
  </si>
  <si>
    <t xml:space="preserve">DC-02 pyrite </t>
  </si>
  <si>
    <t>Devond Great Consols</t>
  </si>
  <si>
    <t xml:space="preserve">DGC-06 py </t>
  </si>
  <si>
    <t xml:space="preserve">DGC-06 pyrite </t>
  </si>
  <si>
    <t xml:space="preserve">GM-02 ? </t>
  </si>
  <si>
    <t xml:space="preserve">GM-02 pyrite </t>
  </si>
  <si>
    <t xml:space="preserve">GM02A pyrite </t>
  </si>
  <si>
    <t xml:space="preserve">GS-1 pyrite </t>
  </si>
  <si>
    <t>Greystone</t>
  </si>
  <si>
    <t xml:space="preserve">GS-3 pyrite </t>
  </si>
  <si>
    <t xml:space="preserve">GV-2 chalcopyrite </t>
  </si>
  <si>
    <t xml:space="preserve">GV-2 pyrite </t>
  </si>
  <si>
    <t xml:space="preserve">GV-7-pyrite </t>
  </si>
  <si>
    <t xml:space="preserve">HD-01 pyrite </t>
  </si>
  <si>
    <t xml:space="preserve">HD-03 pyrite </t>
  </si>
  <si>
    <t xml:space="preserve">KH-02 pyrite </t>
  </si>
  <si>
    <t xml:space="preserve">Ludcott pyrite </t>
  </si>
  <si>
    <t>Wrey-Ludcott</t>
  </si>
  <si>
    <t xml:space="preserve">MP-1 pyrite </t>
  </si>
  <si>
    <t xml:space="preserve">MP-2 pyrite </t>
  </si>
  <si>
    <t xml:space="preserve">NJD2-pyrite </t>
  </si>
  <si>
    <t xml:space="preserve">PSG-01 pyrite </t>
  </si>
  <si>
    <t>Perran St George</t>
  </si>
  <si>
    <t xml:space="preserve">RJS-BK-1 pyrite </t>
  </si>
  <si>
    <t xml:space="preserve">RJS-BK2 pyrite </t>
  </si>
  <si>
    <t xml:space="preserve">RJS-GV-04 pyrite </t>
  </si>
  <si>
    <t xml:space="preserve">RJS-GV12 pyrite </t>
  </si>
  <si>
    <t xml:space="preserve">RJS-WC1-chalcopyrite </t>
  </si>
  <si>
    <t xml:space="preserve">RJS-WC1-c-pyrite </t>
  </si>
  <si>
    <t xml:space="preserve">RJS-WC1-pyrite </t>
  </si>
  <si>
    <t xml:space="preserve">RJS-WC1-sphalerite </t>
  </si>
  <si>
    <t xml:space="preserve">RJS-WJ01-pyrite </t>
  </si>
  <si>
    <t xml:space="preserve">RM82-21-273 pyrite </t>
  </si>
  <si>
    <t xml:space="preserve">RM82-21-274.6 pyrite </t>
  </si>
  <si>
    <t xml:space="preserve">RM82-25-185.6 pyrite </t>
  </si>
  <si>
    <t xml:space="preserve">SC-01B pyrite </t>
  </si>
  <si>
    <t>South Crofty</t>
  </si>
  <si>
    <t xml:space="preserve">TL-03 pyrite </t>
  </si>
  <si>
    <t>Trevellas Coombe</t>
  </si>
  <si>
    <t xml:space="preserve">WC-01 pyrite </t>
  </si>
  <si>
    <t>Wheal Concord</t>
  </si>
  <si>
    <t xml:space="preserve">WD01-pyrite </t>
  </si>
  <si>
    <t>Wilsey Down</t>
  </si>
  <si>
    <t xml:space="preserve">WD02-pyrite </t>
  </si>
  <si>
    <t xml:space="preserve">Wrey pyrite </t>
  </si>
  <si>
    <t xml:space="preserve">CW-05 py </t>
  </si>
  <si>
    <t xml:space="preserve">CW-05 pyrite </t>
  </si>
  <si>
    <t xml:space="preserve">WE 01A pyrite </t>
  </si>
  <si>
    <t xml:space="preserve">RM82-21-273 pyrrhotite? </t>
  </si>
  <si>
    <t xml:space="preserve">MP-1 pyrrhotite </t>
  </si>
  <si>
    <t xml:space="preserve">MP-2 pyrrhotite? </t>
  </si>
  <si>
    <t xml:space="preserve">WD02-ccp </t>
  </si>
  <si>
    <t>In (corrected)</t>
  </si>
  <si>
    <t>N</t>
  </si>
  <si>
    <t>Zn [max]</t>
  </si>
  <si>
    <t>Zn [ave]</t>
  </si>
  <si>
    <t>In [max]</t>
  </si>
  <si>
    <t>In [ave]</t>
  </si>
  <si>
    <t>Std.dev.</t>
  </si>
  <si>
    <t xml:space="preserve">3JD1 chalcopyrite </t>
  </si>
  <si>
    <t xml:space="preserve">3JD1 chalcopyrite? </t>
  </si>
  <si>
    <t xml:space="preserve">CL-02 chalcopyrite </t>
  </si>
  <si>
    <t xml:space="preserve">CL-02 pyrite </t>
  </si>
  <si>
    <t xml:space="preserve">CL-03 Chalcopyrite </t>
  </si>
  <si>
    <t xml:space="preserve">CL-10 chalcopyrite </t>
  </si>
  <si>
    <t xml:space="preserve">Crofty 13 chalcopyrite </t>
  </si>
  <si>
    <t xml:space="preserve">Crofty 13 CuFeS bright yellow </t>
  </si>
  <si>
    <t xml:space="preserve">Crofty 14 chalcopyrite </t>
  </si>
  <si>
    <t xml:space="preserve">Crofty 19B chalcopyrite </t>
  </si>
  <si>
    <t xml:space="preserve">DC-02 chalcopyrite </t>
  </si>
  <si>
    <t xml:space="preserve">DC-03 chalcopyrite </t>
  </si>
  <si>
    <t xml:space="preserve">GS-1 chalcopyrite </t>
  </si>
  <si>
    <t xml:space="preserve">GS-1. chalcopyrite </t>
  </si>
  <si>
    <t xml:space="preserve">GS-3 chalcopyrite </t>
  </si>
  <si>
    <t xml:space="preserve">HD-01 chalcopyrite </t>
  </si>
  <si>
    <t xml:space="preserve">HD-03 chalcopyrite </t>
  </si>
  <si>
    <t xml:space="preserve">KH-02 chalcopyrite </t>
  </si>
  <si>
    <t xml:space="preserve">LOC5-chalcopyrite </t>
  </si>
  <si>
    <t xml:space="preserve">MP-1 chalcopyrite </t>
  </si>
  <si>
    <t xml:space="preserve">MP-2 chalcopyrite </t>
  </si>
  <si>
    <t xml:space="preserve">NJD2-ccp in sph </t>
  </si>
  <si>
    <t xml:space="preserve">PSG-05 chalcopyrite </t>
  </si>
  <si>
    <t>Perran Skarn</t>
  </si>
  <si>
    <t xml:space="preserve">PSG-05-chalcopyrite </t>
  </si>
  <si>
    <t xml:space="preserve">RED-02-ccp </t>
  </si>
  <si>
    <t xml:space="preserve">RED-02-chaLCOPYRITE </t>
  </si>
  <si>
    <t xml:space="preserve">RED-03-Chalcopyrite </t>
  </si>
  <si>
    <t xml:space="preserve">RED-03-chalcopyrite </t>
  </si>
  <si>
    <t xml:space="preserve">RED-22-chalco </t>
  </si>
  <si>
    <t xml:space="preserve">RED-22-chalcopyrite </t>
  </si>
  <si>
    <t xml:space="preserve">RJS WP-2-chalcopyrite </t>
  </si>
  <si>
    <t>Wheal Penrose</t>
  </si>
  <si>
    <t xml:space="preserve">RJS-BK-1 chalcopyrite </t>
  </si>
  <si>
    <t xml:space="preserve">RJS-BK-1 dark blue CuFeS mineral in sph </t>
  </si>
  <si>
    <t xml:space="preserve">RJS-BK4 chalcopyrite </t>
  </si>
  <si>
    <t xml:space="preserve">RJS-BK4-chalcopyrite </t>
  </si>
  <si>
    <t xml:space="preserve">RJS-GV12 chalcopyrite </t>
  </si>
  <si>
    <t xml:space="preserve">RJS-GV-7 chalcopyrite </t>
  </si>
  <si>
    <t xml:space="preserve">RJS-WC-02 chalcopyrite </t>
  </si>
  <si>
    <t xml:space="preserve">RJS-WC1-c-chalcopyrite </t>
  </si>
  <si>
    <t xml:space="preserve">RJS-WJ01-chalcopyite </t>
  </si>
  <si>
    <t xml:space="preserve">RJS-WJ01-chalcopyrite </t>
  </si>
  <si>
    <t xml:space="preserve">RM82-21-273 chalcopyrite </t>
  </si>
  <si>
    <t xml:space="preserve">RM82-21-274.6 chalcopyrite </t>
  </si>
  <si>
    <t xml:space="preserve">RM82-25-185.6 chalcopyrite </t>
  </si>
  <si>
    <t xml:space="preserve">SC-01B chalcopyrite </t>
  </si>
  <si>
    <t xml:space="preserve">TL-01 bornite? </t>
  </si>
  <si>
    <t xml:space="preserve">TL-01 chalcopyrite </t>
  </si>
  <si>
    <t xml:space="preserve">TL-03 chalcopyrite </t>
  </si>
  <si>
    <t xml:space="preserve">WC-01 chalcopyrite </t>
  </si>
  <si>
    <t xml:space="preserve">WJ-01 chalcopyrite </t>
  </si>
  <si>
    <t xml:space="preserve">21-315.6 chalcopyrite </t>
  </si>
  <si>
    <t xml:space="preserve">21-315.6 Chalcopyrite </t>
  </si>
  <si>
    <t xml:space="preserve">29-636 chalcopyrite </t>
  </si>
  <si>
    <t xml:space="preserve">CN-02 chalcopyrite </t>
  </si>
  <si>
    <t xml:space="preserve">CN-03 ccp </t>
  </si>
  <si>
    <t xml:space="preserve">CN-04 ccp </t>
  </si>
  <si>
    <t xml:space="preserve">CN-06 ccp </t>
  </si>
  <si>
    <t xml:space="preserve">CN-07 ccp </t>
  </si>
  <si>
    <t xml:space="preserve">CN-08 ccp </t>
  </si>
  <si>
    <t xml:space="preserve">DA-01 ccp </t>
  </si>
  <si>
    <t xml:space="preserve">DA-02 chalcopyrite </t>
  </si>
  <si>
    <t xml:space="preserve">DA-03 ccp </t>
  </si>
  <si>
    <t xml:space="preserve">DGC-01 chalcopyrite </t>
  </si>
  <si>
    <t xml:space="preserve">DGC-02 ccp </t>
  </si>
  <si>
    <t xml:space="preserve">DGC-02 chalcopyrite </t>
  </si>
  <si>
    <t xml:space="preserve">DGC-03 chalcopyrite </t>
  </si>
  <si>
    <t xml:space="preserve">DGC-04 ccp </t>
  </si>
  <si>
    <t xml:space="preserve">DGC-04 sphalerite </t>
  </si>
  <si>
    <t xml:space="preserve">DGC-05 chalcopyrite </t>
  </si>
  <si>
    <t xml:space="preserve">DGC-06 ccp </t>
  </si>
  <si>
    <t xml:space="preserve">DGC-06 chalcopyrite </t>
  </si>
  <si>
    <t xml:space="preserve">DGC-06 sph </t>
  </si>
  <si>
    <t xml:space="preserve">GM-02 ccp </t>
  </si>
  <si>
    <t xml:space="preserve">GM-02 chalcopyrite </t>
  </si>
  <si>
    <t xml:space="preserve">HD-03 ccp host to stannite </t>
  </si>
  <si>
    <t xml:space="preserve">HD-03 stannite </t>
  </si>
  <si>
    <t xml:space="preserve">MP-03-chalcopyrite </t>
  </si>
  <si>
    <t xml:space="preserve">MP-04-chalcopyrite </t>
  </si>
  <si>
    <t xml:space="preserve">MP-04-sphalerite </t>
  </si>
  <si>
    <t xml:space="preserve">112 chalcopyrite </t>
  </si>
  <si>
    <t>Tavy Consols</t>
  </si>
  <si>
    <t xml:space="preserve">120 chalcopyrite </t>
  </si>
  <si>
    <t>Wheal Betsy</t>
  </si>
  <si>
    <t xml:space="preserve">121 chalcopyrite </t>
  </si>
  <si>
    <t xml:space="preserve">157 chalcopyrite </t>
  </si>
  <si>
    <t xml:space="preserve">158 chalcopyrite </t>
  </si>
  <si>
    <t xml:space="preserve">161 chalcopyrite </t>
  </si>
  <si>
    <t>Great Sheba Consols</t>
  </si>
  <si>
    <t xml:space="preserve">173 chalcopyrite </t>
  </si>
  <si>
    <t>Capel Tor</t>
  </si>
  <si>
    <t xml:space="preserve">174 chalcopyrite </t>
  </si>
  <si>
    <t xml:space="preserve">202 chalcopyrite </t>
  </si>
  <si>
    <t>Buttspill</t>
  </si>
  <si>
    <t xml:space="preserve">227 chalcopyrite </t>
  </si>
  <si>
    <t xml:space="preserve">227 chalcopyrite? yellow-orange </t>
  </si>
  <si>
    <t xml:space="preserve">BB-120 chalcopyrite </t>
  </si>
  <si>
    <t xml:space="preserve">BB-121 ccp </t>
  </si>
  <si>
    <t xml:space="preserve">BB-121 chalcopyrite </t>
  </si>
  <si>
    <t xml:space="preserve">BB-121 sph </t>
  </si>
  <si>
    <t xml:space="preserve">BB-225 ccp </t>
  </si>
  <si>
    <t xml:space="preserve">WD01-ccp </t>
  </si>
  <si>
    <t xml:space="preserve">HT-01-ccp </t>
  </si>
  <si>
    <t xml:space="preserve">WE 01A chalcopyrite? </t>
  </si>
  <si>
    <t xml:space="preserve">CW-06 ccp </t>
  </si>
  <si>
    <t>n</t>
  </si>
  <si>
    <t xml:space="preserve">RJS-BK-1 stannite inc in ccp </t>
  </si>
  <si>
    <t xml:space="preserve">RJS-BK-1 stannite inc in sphalerite </t>
  </si>
  <si>
    <t xml:space="preserve">RJS-BK-1 stannite rim to ccp </t>
  </si>
  <si>
    <t xml:space="preserve">CL-10 kesterite </t>
  </si>
  <si>
    <t xml:space="preserve">HD-01 stannite </t>
  </si>
  <si>
    <t xml:space="preserve">HD-01 stannite? </t>
  </si>
  <si>
    <t xml:space="preserve">DGC-04 stannite </t>
  </si>
  <si>
    <t xml:space="preserve">DGC-05 stannite </t>
  </si>
  <si>
    <t xml:space="preserve">DGC-06 stannite </t>
  </si>
  <si>
    <t xml:space="preserve">DGC-01 stannite </t>
  </si>
  <si>
    <t>Zn+Fe</t>
  </si>
  <si>
    <t>Ga corrected</t>
  </si>
  <si>
    <t>Number</t>
  </si>
  <si>
    <t>Fe [max]</t>
  </si>
  <si>
    <t>Fe [ave]</t>
  </si>
  <si>
    <t>Cu [max]</t>
  </si>
  <si>
    <t>Cu [ave]</t>
  </si>
  <si>
    <t>Cd [max]</t>
  </si>
  <si>
    <t>Cd [ave]</t>
  </si>
  <si>
    <t>Ga [max]</t>
  </si>
  <si>
    <t>Ga [ave]</t>
  </si>
  <si>
    <t xml:space="preserve">3JD1 sph in ccp </t>
  </si>
  <si>
    <t xml:space="preserve">3JD1 sphalerite </t>
  </si>
  <si>
    <t xml:space="preserve">CAL-01 Sphalerite </t>
  </si>
  <si>
    <t xml:space="preserve">CAL-01 sphalerite </t>
  </si>
  <si>
    <t xml:space="preserve">CL-10 sphalerite </t>
  </si>
  <si>
    <t xml:space="preserve">Crofty 13 grey sphalerite </t>
  </si>
  <si>
    <t xml:space="preserve">Crofty 13 sphalerite </t>
  </si>
  <si>
    <t xml:space="preserve">Crofty 14 sph in py </t>
  </si>
  <si>
    <t xml:space="preserve">Crofty 14 sphalerite (w ccp disease) </t>
  </si>
  <si>
    <t xml:space="preserve">Crofty 15 Fe-rich sphalerite dark grey </t>
  </si>
  <si>
    <t xml:space="preserve">Crofty 15 sphalerite </t>
  </si>
  <si>
    <t xml:space="preserve">DC-02 sphalerite </t>
  </si>
  <si>
    <t xml:space="preserve">GS-1 sphalerite </t>
  </si>
  <si>
    <t xml:space="preserve">GV-2 sphalerite (w ccp disease) </t>
  </si>
  <si>
    <t xml:space="preserve">HD-01 sphalerite </t>
  </si>
  <si>
    <t xml:space="preserve">HD-01 sphalerite? </t>
  </si>
  <si>
    <t xml:space="preserve">KH-02 sphalerite </t>
  </si>
  <si>
    <t xml:space="preserve">KH-02 Sphalerite </t>
  </si>
  <si>
    <t xml:space="preserve">Ludcott sphalerite </t>
  </si>
  <si>
    <t xml:space="preserve">NJD2-sphalerite </t>
  </si>
  <si>
    <t xml:space="preserve">NJD3-ccp in sph </t>
  </si>
  <si>
    <t xml:space="preserve">NJD3-sphalerite </t>
  </si>
  <si>
    <t xml:space="preserve">NJD4-sphalerite </t>
  </si>
  <si>
    <t xml:space="preserve">PSG-05 sphalerite </t>
  </si>
  <si>
    <t xml:space="preserve">PSG-05-sphalerite </t>
  </si>
  <si>
    <t xml:space="preserve">RED-02-sph </t>
  </si>
  <si>
    <t xml:space="preserve">RED-02-sphal </t>
  </si>
  <si>
    <t xml:space="preserve">RED-02-sphalerite </t>
  </si>
  <si>
    <t xml:space="preserve">RED-03-Sphalerite </t>
  </si>
  <si>
    <t xml:space="preserve">RED-03-sphalerite </t>
  </si>
  <si>
    <t xml:space="preserve">RED-22-sphal </t>
  </si>
  <si>
    <t xml:space="preserve">RED-22-Sphalerite </t>
  </si>
  <si>
    <t xml:space="preserve">RJS-BK-1 sphalerite </t>
  </si>
  <si>
    <t xml:space="preserve">RJS-WC1-c-sphalerite </t>
  </si>
  <si>
    <t xml:space="preserve">RJS-WJ01-sphalerite </t>
  </si>
  <si>
    <t xml:space="preserve">RM82-21-273 sphalerite </t>
  </si>
  <si>
    <t xml:space="preserve">RM82-21-274.6 sphalerite </t>
  </si>
  <si>
    <t xml:space="preserve">RM82-25-185.6 sphalerite </t>
  </si>
  <si>
    <t xml:space="preserve">SC-01B sphalerite </t>
  </si>
  <si>
    <t xml:space="preserve">TL-01 sphalerite </t>
  </si>
  <si>
    <t xml:space="preserve">TL-03 sphalerite </t>
  </si>
  <si>
    <t xml:space="preserve">WC-01 Sphalerite </t>
  </si>
  <si>
    <t xml:space="preserve">WJ-01 sphalerite </t>
  </si>
  <si>
    <t xml:space="preserve">WR-01 sphalerite </t>
  </si>
  <si>
    <t>East Wheal Rose</t>
  </si>
  <si>
    <t xml:space="preserve">WR-01 sphalerite (high bse) </t>
  </si>
  <si>
    <t xml:space="preserve">Wrey sphalerite </t>
  </si>
  <si>
    <t xml:space="preserve">29-636 sphalerite </t>
  </si>
  <si>
    <t xml:space="preserve">21-315.6 sphalerite </t>
  </si>
  <si>
    <t xml:space="preserve">CN-03 sph </t>
  </si>
  <si>
    <t xml:space="preserve">DA-02 sphalerite </t>
  </si>
  <si>
    <t xml:space="preserve">DGC-01 sphalerite </t>
  </si>
  <si>
    <t xml:space="preserve">DGC-02 sph </t>
  </si>
  <si>
    <t xml:space="preserve">DGC-02 sphalerite </t>
  </si>
  <si>
    <t xml:space="preserve">DGC-06 sphalerite </t>
  </si>
  <si>
    <t xml:space="preserve">MP-03-sphalerite </t>
  </si>
  <si>
    <t xml:space="preserve">112 sphalerite </t>
  </si>
  <si>
    <t xml:space="preserve">120 sphalerite </t>
  </si>
  <si>
    <t xml:space="preserve">121 sphalerite </t>
  </si>
  <si>
    <t xml:space="preserve">125 sphalerite </t>
  </si>
  <si>
    <t xml:space="preserve">157 sphalerite </t>
  </si>
  <si>
    <t xml:space="preserve">160 sphalerite </t>
  </si>
  <si>
    <t xml:space="preserve">161 sphalerite </t>
  </si>
  <si>
    <t xml:space="preserve">161 sphalerite inc in pyrite </t>
  </si>
  <si>
    <t xml:space="preserve">173 sphalerite </t>
  </si>
  <si>
    <t xml:space="preserve">174 sphalerite inc in chalcopyrite </t>
  </si>
  <si>
    <t xml:space="preserve">174 sphalerite inc in pyrite </t>
  </si>
  <si>
    <t xml:space="preserve">202 sphalerite </t>
  </si>
  <si>
    <t xml:space="preserve">223 sphalerite </t>
  </si>
  <si>
    <t>Cotehele Consols</t>
  </si>
  <si>
    <t xml:space="preserve">227 spalerite </t>
  </si>
  <si>
    <t xml:space="preserve">227 sphalerite </t>
  </si>
  <si>
    <t xml:space="preserve">BB-121 cc </t>
  </si>
  <si>
    <t xml:space="preserve">BB-121 chalcocite? </t>
  </si>
  <si>
    <t xml:space="preserve">BB-121 sph? </t>
  </si>
  <si>
    <t xml:space="preserve">BB-121 sphalerite </t>
  </si>
  <si>
    <t xml:space="preserve">BB-121 sphalerite rim </t>
  </si>
  <si>
    <t xml:space="preserve">BB-226 sph </t>
  </si>
  <si>
    <t xml:space="preserve">BB-226 sph? </t>
  </si>
  <si>
    <t xml:space="preserve">M41 sphalerite </t>
  </si>
  <si>
    <t>Holmbush</t>
  </si>
  <si>
    <t xml:space="preserve">SSK36010 sphalerite </t>
  </si>
  <si>
    <t xml:space="preserve">SSK36006 sphalerite </t>
  </si>
  <si>
    <t xml:space="preserve">SSK36015 sphalerite </t>
  </si>
  <si>
    <t xml:space="preserve">SSK36016 sphalerite </t>
  </si>
  <si>
    <t xml:space="preserve">Analysis 2 rerun </t>
  </si>
  <si>
    <t xml:space="preserve">WD02-sphalerite </t>
  </si>
  <si>
    <t xml:space="preserve">WD02-sph </t>
  </si>
  <si>
    <t xml:space="preserve">HT-01-sph </t>
  </si>
  <si>
    <t xml:space="preserve">LY-14 sph </t>
  </si>
  <si>
    <t>Lundy</t>
  </si>
  <si>
    <t xml:space="preserve">WE 02 sphalerite </t>
  </si>
  <si>
    <t xml:space="preserve">WE 03 sphalerite </t>
  </si>
  <si>
    <t xml:space="preserve">WE 01A sphalerite? </t>
  </si>
  <si>
    <t xml:space="preserve">CW-05 sphalerite </t>
  </si>
  <si>
    <t xml:space="preserve">CW-05 sph </t>
  </si>
  <si>
    <t xml:space="preserve">CW-06 sph </t>
  </si>
  <si>
    <t>In (ppm)</t>
  </si>
  <si>
    <t>In/Sn</t>
  </si>
  <si>
    <t xml:space="preserve">Sn-std </t>
  </si>
  <si>
    <t xml:space="preserve">Sn standard </t>
  </si>
  <si>
    <t xml:space="preserve">RM82-25-185.6 cassiterite </t>
  </si>
  <si>
    <t xml:space="preserve">RM82-21-273 cassiterite </t>
  </si>
  <si>
    <t xml:space="preserve">RJS-WJ01-cassiterite </t>
  </si>
  <si>
    <t xml:space="preserve">RJS-GV-7 cassiterite </t>
  </si>
  <si>
    <t xml:space="preserve">RJS-GV5-cassiterite </t>
  </si>
  <si>
    <t xml:space="preserve">RJS-GV12 cassiterite </t>
  </si>
  <si>
    <t xml:space="preserve">RED-03-Cassiterite </t>
  </si>
  <si>
    <t xml:space="preserve">PSG-05 cassiterite (low-bse) </t>
  </si>
  <si>
    <t xml:space="preserve">PSG-05 cassiterite (high-bse) </t>
  </si>
  <si>
    <t xml:space="preserve">LOC5-cassiterite </t>
  </si>
  <si>
    <t xml:space="preserve">GM-03 cassiterite </t>
  </si>
  <si>
    <t xml:space="preserve">GM-02 cassiterite </t>
  </si>
  <si>
    <t xml:space="preserve">DGC-03 cassiterite </t>
  </si>
  <si>
    <t xml:space="preserve">DC-02 cassiterite </t>
  </si>
  <si>
    <t xml:space="preserve">DA-02 cassiterite </t>
  </si>
  <si>
    <t xml:space="preserve">Crofty 19b cassiterite </t>
  </si>
  <si>
    <t xml:space="preserve">Crofty 15 cassiterite </t>
  </si>
  <si>
    <t xml:space="preserve">Crofty 14 cassiterite </t>
  </si>
  <si>
    <t xml:space="preserve">Crofty 13 cassiterite </t>
  </si>
  <si>
    <t xml:space="preserve">Crofty 11 cassiterite </t>
  </si>
  <si>
    <t xml:space="preserve">CN-07 cass </t>
  </si>
  <si>
    <t xml:space="preserve">CN-03 cass </t>
  </si>
  <si>
    <t xml:space="preserve">CN-02 cassiterite </t>
  </si>
  <si>
    <t xml:space="preserve">CL-10 cassiterite </t>
  </si>
  <si>
    <t xml:space="preserve">CL-07 cassiterite </t>
  </si>
  <si>
    <t xml:space="preserve">BH-01 sphalerite </t>
  </si>
  <si>
    <t xml:space="preserve">3JD4-cassiterite </t>
  </si>
  <si>
    <t xml:space="preserve">112 cassiterite </t>
  </si>
  <si>
    <t xml:space="preserve">NJD4-galena </t>
  </si>
  <si>
    <t xml:space="preserve">NJD2-galena </t>
  </si>
  <si>
    <t xml:space="preserve">LOC5-galena </t>
  </si>
  <si>
    <t xml:space="preserve">RJS WP-2-galena </t>
  </si>
  <si>
    <t xml:space="preserve">RJS WP-2-galena? </t>
  </si>
  <si>
    <t xml:space="preserve">RM82-21-274.6 galena </t>
  </si>
  <si>
    <t xml:space="preserve">3JD1 galena </t>
  </si>
  <si>
    <t xml:space="preserve">GV-2 galena </t>
  </si>
  <si>
    <t xml:space="preserve">GS-1 galena </t>
  </si>
  <si>
    <t xml:space="preserve">GS-3 galena </t>
  </si>
  <si>
    <t xml:space="preserve">WD02-galena </t>
  </si>
  <si>
    <t xml:space="preserve">LY-14 galena </t>
  </si>
  <si>
    <t xml:space="preserve">WE 01A bright sphalerite </t>
  </si>
  <si>
    <t xml:space="preserve">WE 02 stannite? </t>
  </si>
  <si>
    <t xml:space="preserve">WE 03 galena </t>
  </si>
  <si>
    <t xml:space="preserve">CL-07 FeAs-O? </t>
  </si>
  <si>
    <t xml:space="preserve">227 acanthite </t>
  </si>
  <si>
    <t xml:space="preserve">227 Ag-Sb-S? </t>
  </si>
  <si>
    <t xml:space="preserve">InAs std </t>
  </si>
  <si>
    <t>Interference correction</t>
  </si>
  <si>
    <t>by linear approximation to minimum indium in cassiterite and stannite</t>
  </si>
  <si>
    <t>Name</t>
  </si>
  <si>
    <t>Latitude (ºN)</t>
  </si>
  <si>
    <t>Longitude (ºW)</t>
  </si>
  <si>
    <t>Type</t>
  </si>
  <si>
    <t>Samples</t>
  </si>
  <si>
    <t>Oxide and sulphide minerals</t>
  </si>
  <si>
    <t>Associated gangue</t>
  </si>
  <si>
    <t>Notes</t>
  </si>
  <si>
    <t>Pre-granite</t>
  </si>
  <si>
    <t>bv</t>
  </si>
  <si>
    <t>KH-02</t>
  </si>
  <si>
    <t>1: Cst                                           2: Py, Ccp, Sp, Hem, Gn                 3: Cct</t>
  </si>
  <si>
    <t>1: Qz, Bt, Chl, Ms, Ksp                           2: Cc, Chl, Sd</t>
  </si>
  <si>
    <t>Breccia vein cross-cutting metapelite of the Porthtowan formation. Clasts of qz, slate, ksp in a hematite-siderite matrix 1: clast assemblage, 2: matrix, 3: alteration</t>
  </si>
  <si>
    <t>sts</t>
  </si>
  <si>
    <t>WD-01, WD-02</t>
  </si>
  <si>
    <t>Py, Po, Ccp, Sp, Gn</t>
  </si>
  <si>
    <t>Cc, Qz, Chl, Bt</t>
  </si>
  <si>
    <t>Metapelite / metapsammite with folded stratiform sulphides in calcareous black shale</t>
  </si>
  <si>
    <t>SSK36005 to SSK36020</t>
  </si>
  <si>
    <t>1: Gn, Sp, Py, (Apy), Hem                       2: Gn,Py                                     3: Sp</t>
  </si>
  <si>
    <t>Qz, Chl, Bt, Ms, Ksp, Cc</t>
  </si>
  <si>
    <t>Stratiform sulphides in laminated shale and siltstone with interbedded carbonates and metavolcanics. Some evidence of mobilisation of sulphides into tensile fractures, Riedel shears and cross-cutting veins. Sample SSK36015 is cross-cut by an undeformed quartz-hematite (crosscourse) vein.</t>
  </si>
  <si>
    <t>LY-14</t>
  </si>
  <si>
    <t>Py, Po, Sp (Ccp)</t>
  </si>
  <si>
    <t>Cc, Qz, Chl</t>
  </si>
  <si>
    <t>Sulphide-bearing metacarbonate interbedded with Upper Devonian metapelites and metapsammites. Sphalerite has exsolved chalcopyrite, but chalcopyrite has not been observed as a discrete mineral.</t>
  </si>
  <si>
    <t>Granite related</t>
  </si>
  <si>
    <t>Grylls Bunny</t>
  </si>
  <si>
    <t>msk</t>
  </si>
  <si>
    <t>GBN-01 to GBN-04</t>
  </si>
  <si>
    <t>Mt, Cst</t>
  </si>
  <si>
    <t>Grt, Tur</t>
  </si>
  <si>
    <t>Banded magnetite-garnet and tourmaline skarns in contact-metamorphic succession of Devonian metapelite and metabasalt of the Mylor Slate Formation</t>
  </si>
  <si>
    <t>Magdalen Mine</t>
  </si>
  <si>
    <t>MAG-01, MAG-02</t>
  </si>
  <si>
    <t>Hbl, Bt</t>
  </si>
  <si>
    <t>Magnetite-silicate skarn associated with metabasalt and metapelite of the Mylor Slate Formation.</t>
  </si>
  <si>
    <t>HT-01</t>
  </si>
  <si>
    <t>Mt, Apy, Py, Ccp, Sp</t>
  </si>
  <si>
    <t>Qz, Chl, Bt, Ms, Ksp</t>
  </si>
  <si>
    <t>Sulphide-bearing metapelite of the Crackington Formation (Ashton Shale equivalent) associated with magnetite-skarn</t>
  </si>
  <si>
    <t>ssk</t>
  </si>
  <si>
    <t>MP-01 to MP-04</t>
  </si>
  <si>
    <t>Po, Py, Lo, Ccp, (Sp), (Apy)</t>
  </si>
  <si>
    <t>Grt, Mly, Chl, Cpx, Fl, (Qz)</t>
  </si>
  <si>
    <t>Silicate-sulphide skarn in calc-silicate bearing metasediment of the Meldon Chert Formation. Pyrrhotite, pyrite, sphalerite and löllingite in bands and lenses with minor chalcopyrite. Arsenopyrite, sphalerite, chalcopyrite and pyrite variably developed in transgressive veins</t>
  </si>
  <si>
    <t>Ramsley</t>
  </si>
  <si>
    <t>RS-01 to RS-05</t>
  </si>
  <si>
    <t>Po, Ccp</t>
  </si>
  <si>
    <t>Silicate-sulphide skarn in calc-silicate bearing metasediment of the Meldon Chert Formation.</t>
  </si>
  <si>
    <t>PSG-05</t>
  </si>
  <si>
    <t>Cst, Ccp, Py, Po, (Sp), (Apy)</t>
  </si>
  <si>
    <t>Grt, cpx, Qz, Fl, Ap, (Chl)</t>
  </si>
  <si>
    <t>Pyrrhotite cores surrounded by pyrite in matrix of chalcopyrite. Cassiterite as &lt;1 mm large crystals. Sphalerite as minute grains in chalcopyrite. Provenanced in collection to Perran St George, but location unverified.</t>
  </si>
  <si>
    <t>gbsv (psl)</t>
  </si>
  <si>
    <t>CL-02, CL-03, CL-07, CL-10</t>
  </si>
  <si>
    <t>Apy, Ccp, Wf, Cst, Stn, Cct, Py, Ttr, (Lo)</t>
  </si>
  <si>
    <t>Ms, Qz, Tur, Kln, Chl</t>
  </si>
  <si>
    <t>Greisen-bordered veins with polymetallic sulphides in kaolinised biotite granite</t>
  </si>
  <si>
    <t>gbsv - psl</t>
  </si>
  <si>
    <t>RED-02, RED-03, RED-22, RM82-21-273, RM82-21-274.6, RM82-21-315.6, RM82-24-636, RM82-25-185.6</t>
  </si>
  <si>
    <t>Apy, Lo, Wf, Cst, Stn, Ccp, Sp, Py,</t>
  </si>
  <si>
    <t>Greisen-bordered veins with polymetallic sulphides in folded succession of metapelite and metapsammite</t>
  </si>
  <si>
    <t>Ding Dong</t>
  </si>
  <si>
    <t>qtv</t>
  </si>
  <si>
    <t>DD01 - DD06</t>
  </si>
  <si>
    <t>Cst, Hem</t>
  </si>
  <si>
    <t>Qz, Tur</t>
  </si>
  <si>
    <t>Cassiterite bearing quartz-tourmaline (-hematite) veins cross-cutting megacrystic biotite granite</t>
  </si>
  <si>
    <t>Wheal Remfry</t>
  </si>
  <si>
    <t>WRE01 - WRE05</t>
  </si>
  <si>
    <t>Rt, Cst</t>
  </si>
  <si>
    <t>Extremely large (800 m diameter) tourmaline-quartz diatreme breccia with clasts of granite and metasediments. No sulphides, but with tin hosted by rutile (and sporadically cassiterite)</t>
  </si>
  <si>
    <t>Vitifer Mine</t>
  </si>
  <si>
    <t>VI01 - VI06</t>
  </si>
  <si>
    <t>psl</t>
  </si>
  <si>
    <t>GV-02, GV-04, GV-05, GV-07, GV-12</t>
  </si>
  <si>
    <t>Apy, Cst, Ccp, Bn, Sp-III, Py, (Gn), (Cct)</t>
  </si>
  <si>
    <t>Qz, Chl, Ksp, (Bt), (Cc)</t>
  </si>
  <si>
    <t xml:space="preserve">Polymetallic sulphide lodes with quartz and chlorite cross-cutting granite, hornfels, slate and metabasalt </t>
  </si>
  <si>
    <t>BK-01, BK-02, BK-04, BK-05</t>
  </si>
  <si>
    <t>Cst, Apy, Py, Ccp, Sp-II, Stn, Gn</t>
  </si>
  <si>
    <t>Qz, Tur, Chl, Ksp, (Ms)</t>
  </si>
  <si>
    <t>Polymetallic sulphide lodes with quartz and chlorite cross-cutting granite, hornfels, slate and metabasalt</t>
  </si>
  <si>
    <t>DC-01, DC-02, DC-03, 11, 13, 14, 15, 19b</t>
  </si>
  <si>
    <t>Cst, Wf, Apy, Ccp, Sp-II, Sp-III, (Bn), (Lo)</t>
  </si>
  <si>
    <t>Qz, (Tur), Chl, Fl, Ms</t>
  </si>
  <si>
    <t>Very variable and complex polymetallic sulphide lode stystem developed at the northern contact of the Carnmenellis granite. Locally showing skarn development in metabasites.</t>
  </si>
  <si>
    <t>CW-01 to CW-06</t>
  </si>
  <si>
    <t>Sp-I, Ccp, Py, Apy, Cst, Wf, Bn, Fe-ox</t>
  </si>
  <si>
    <t>Qz, Chl, Ms</t>
  </si>
  <si>
    <t>Quartz-chlorite lodes with sulphide minerals. Löllingite and wolframite inclusions in arsenopyrite. Arsenopyrite, cassiterite and pyrite appear to be followed by chalcopyrite. Apart from separate grains, chalcopyrite rims arsenopyrite and occur in fractures in pyrite. Bornite and chalcocite locally rim chalcopyrite and are associated with kaolinite.</t>
  </si>
  <si>
    <t>Holmans Test Mine</t>
  </si>
  <si>
    <t>qtv - psl</t>
  </si>
  <si>
    <t>Rt, Cst, Apy, Py, Ccp, Sp-II</t>
  </si>
  <si>
    <t>Qz, Tur, Chl, Fl</t>
  </si>
  <si>
    <t>Polymetallic sulphides in quartz-tourmaline breccia veins and quartz-chlorite lodes cross-cutting megacrystic biotite granite</t>
  </si>
  <si>
    <t>WCH-01, WCH-02</t>
  </si>
  <si>
    <t>Sp-III, Ccp, Py, Apy, Bi, (Po), Fe-ox</t>
  </si>
  <si>
    <t>Qz, Chl</t>
  </si>
  <si>
    <t>Polymetallic sulphide lode with quartz and chlorite cross cutting metapelites of the Porthtowan Formation</t>
  </si>
  <si>
    <t>BH-01, BH-02</t>
  </si>
  <si>
    <t>Py, Cst, (Ccp)</t>
  </si>
  <si>
    <t>Qz, Chl, Bt</t>
  </si>
  <si>
    <t>TL-01, TL-03</t>
  </si>
  <si>
    <t>Py, Ccp, Sp-I, Sp-II, (Gn), (Bi), (Cct)</t>
  </si>
  <si>
    <t>PSG-01</t>
  </si>
  <si>
    <t>Py, Rt</t>
  </si>
  <si>
    <t>Qz, Chl, (Bt)</t>
  </si>
  <si>
    <t>Polymetallic sulphides in quartz-chlorite lode</t>
  </si>
  <si>
    <t>WC-01</t>
  </si>
  <si>
    <t>Apy, Cst, Sp-II, Ccp, Py, (Gn)</t>
  </si>
  <si>
    <t>Polymetallic sulphides in quartz-chlorite lode cross cutting metapelite</t>
  </si>
  <si>
    <t>LOC 5</t>
  </si>
  <si>
    <t>Apy, Ccp, Sp-II, (Py), (Gn)</t>
  </si>
  <si>
    <t>Qz, Tur, Chl, (Bt), (Ms)</t>
  </si>
  <si>
    <t>Polymetallic sulphide lode with quartz and tourmaline gangue cross cutting metapelites</t>
  </si>
  <si>
    <t>3JD1, 3JD2, 3JD4</t>
  </si>
  <si>
    <t>Ccp, Py, Sp-I, (Apy), (Gn)</t>
  </si>
  <si>
    <t>Qz, Chl, (Ms), (Bt)</t>
  </si>
  <si>
    <t>Polymetallic sulphide lode with quartz and chlorite cross cutting metapelites, ore dominated by chalcopyrite and pyrite in a chlorite – quartz gangue. Very fine disseminated cassiterite and sphalerite.</t>
  </si>
  <si>
    <t>WJ-01, WJ-02</t>
  </si>
  <si>
    <t>Apy, Py, Cpy, Sp-I, Sp-II, Cst</t>
  </si>
  <si>
    <t>Qz, Tur, Chl</t>
  </si>
  <si>
    <t>Polymetallic sulphide lode cross cutting the Devonian Mylor Slate Formation.</t>
  </si>
  <si>
    <t>NJD-02, NJD-03, NJD-04</t>
  </si>
  <si>
    <t>Py, Sp-II, Ccp, Apy, Wf</t>
  </si>
  <si>
    <t>CAL-01</t>
  </si>
  <si>
    <t>Py, Sp</t>
  </si>
  <si>
    <t>Qz, Ms, Ksp</t>
  </si>
  <si>
    <t>Polymetallic sulphide lode cross cutting the Devonian slates of the Ladock Beds.</t>
  </si>
  <si>
    <t>WR-01</t>
  </si>
  <si>
    <t>Sp, Py, (Po), (Ccp), (Gn)</t>
  </si>
  <si>
    <t>Qz</t>
  </si>
  <si>
    <t>Polymetallic sulphide lode cross cutting the Lower Devonian calcareous slates of the Meadfoot Beds.</t>
  </si>
  <si>
    <t>GM-01, GM-02, GM-03</t>
  </si>
  <si>
    <t>Apy, Ccp, Cst, Py, Cob, (Cct), (Lo)</t>
  </si>
  <si>
    <t>Polymetallic sulphide lode cross cutting the Bodmin Moor biotite granite to the west of Caradon Hill</t>
  </si>
  <si>
    <t>DA-01, DA-02, DA-03</t>
  </si>
  <si>
    <t>Apy, Ccp, Cst, (Py), (Lo), (Bi)</t>
  </si>
  <si>
    <t>Qz, Chl, Fl, (Bt)</t>
  </si>
  <si>
    <t>Polymetallic sulphide lode at the boundary between the Bodmin Moor biotite granite and interbedded metasediments and metavolcanics of the Brendon Formation to the North of Darite.</t>
  </si>
  <si>
    <t>CN-01 to CN-08</t>
  </si>
  <si>
    <t>Apy, Ccp, Cst, Py, (Cct), (Cob), (Bi)</t>
  </si>
  <si>
    <t>Polymetallic sulphide lode at the boundary between the Bodmin Moor biotite granite and interbedded metasediments and metavolcanics of the Brendon Formation on the southern side of Caradon Hill, NE of Crows Nest.</t>
  </si>
  <si>
    <t>HD-01, HD-03</t>
  </si>
  <si>
    <t>1: Apy, Py, Ccp, Cst, Stn, Wf, Ttr      2: Bn, Cct</t>
  </si>
  <si>
    <t>Qz, Ms, Tpz</t>
  </si>
  <si>
    <t xml:space="preserve">Primary sulphide assemblage in muscovite - quartz gangue, locally with topaz. No tourmaline or chlorite in the investigated samples. Bornite and chalcocite development along fractures in chalcopyrite </t>
  </si>
  <si>
    <t>qtv - psl - (gbsv)</t>
  </si>
  <si>
    <t>M168, M173, M174, M176</t>
  </si>
  <si>
    <t>Apy, Cst, Ccp, Py, Sp-I, (Lo)</t>
  </si>
  <si>
    <t>Tur, Qz, Ms, (Bt)</t>
  </si>
  <si>
    <t>Complex ore paragenesis with early tourmaline-quartz breccias cross cut by polymetallic sulphides. Some localised development of greisen borders</t>
  </si>
  <si>
    <t>M161, M163</t>
  </si>
  <si>
    <t>Sp-II, Py, Apy, Ccp, (Gn)</t>
  </si>
  <si>
    <t>Qz, Tur, Kln</t>
  </si>
  <si>
    <t>Polymetallic sulphide lodes cross-cutting metapelites and metapsammites of the Upper Devonian Kate Brook Slate Formation.</t>
  </si>
  <si>
    <t>DGC-01 to DGC-06</t>
  </si>
  <si>
    <t>Apy, Ccp, Cst, Stn, Py, Fe-ox, (Lo), (Gn)</t>
  </si>
  <si>
    <t>Tur, Ms, Ksp, Bt, Qz, Fl</t>
  </si>
  <si>
    <t>Polymetallic sulphide lodes cross-cutting metapelites and metapsammites of the Upper Devonian Kate Brook Slate Formation. Localised greisen development at depth.</t>
  </si>
  <si>
    <t xml:space="preserve">M223 </t>
  </si>
  <si>
    <t>Apy, Cst, Ccp, Py, Sp-II</t>
  </si>
  <si>
    <t>Qz Chl, Fl, (Bt)</t>
  </si>
  <si>
    <t>Okeltor</t>
  </si>
  <si>
    <t>M195</t>
  </si>
  <si>
    <t>Apy, Cst, Ccp, Py, Sp-II, Fe-ox</t>
  </si>
  <si>
    <t>Qz, Chl, Tur, Kln</t>
  </si>
  <si>
    <t>William and Mary</t>
  </si>
  <si>
    <t>M-56</t>
  </si>
  <si>
    <t>Ccp, Py, Sp-II</t>
  </si>
  <si>
    <t>Qz, Ksp, Bt, Chl, Ms</t>
  </si>
  <si>
    <t>M112</t>
  </si>
  <si>
    <t>Apy, Cst, Ccp, Sp-II, (Sp-I), Py</t>
  </si>
  <si>
    <t>Qz, Chl, Tur, Fl, (Ms)</t>
  </si>
  <si>
    <t>Post-granite</t>
  </si>
  <si>
    <t>ccv</t>
  </si>
  <si>
    <t>WP-02</t>
  </si>
  <si>
    <t>Ccp, Py, Gn, Hem, (Apy)</t>
  </si>
  <si>
    <t>Qz, Ksp, Mnz</t>
  </si>
  <si>
    <t>N-S trending vein of banded hematite and quartz cross-cutting metapelite of the Mylor Slate Formation.</t>
  </si>
  <si>
    <t>Wrey-Ludcott United</t>
  </si>
  <si>
    <t>WL-01 (Wrey), WL-02 (Ludcott)</t>
  </si>
  <si>
    <t>1: Cst, Apy,                                 2: Sp, Py, Fe-ox, (Ccp), (Gn)</t>
  </si>
  <si>
    <t>1: Qz, Tur, Ksp, Chl                    2: Fl, Cc, Ap</t>
  </si>
  <si>
    <t>Two N-S trending crosscourse veins crosscutting the Upper Devonian Burraton and Saltash Formations and historically mined for Pb and Ag.</t>
  </si>
  <si>
    <t>Holmbush Mine</t>
  </si>
  <si>
    <t>M-41</t>
  </si>
  <si>
    <t>Ga, Sp, Fe-ox, (Py)</t>
  </si>
  <si>
    <t>N-S trending crosscourse vein emplaced into the Kate Brook Slate formation and intersecting the greisen-bordered sheeted vein complex at Redmoor.</t>
  </si>
  <si>
    <t>Greystone Quarry</t>
  </si>
  <si>
    <t>GS-01, GS-03</t>
  </si>
  <si>
    <t>Py, Gn, Ccp, Sp, (Po)</t>
  </si>
  <si>
    <t>Crosscourse vein in Lower Carboniferous metapelite and metadolerite with interbedded chert.</t>
  </si>
  <si>
    <t>Buttspill Mine</t>
  </si>
  <si>
    <t>M-225, M-226, M-227</t>
  </si>
  <si>
    <t>Ccp, Gn, Sp, Py, Cob, (Fe-ox), (Lo)</t>
  </si>
  <si>
    <t>Qz, Fl, Ksp</t>
  </si>
  <si>
    <t>N-S trending crosscourse vein originally mined for Ag and cross cutting the Lower Carboniferous Kate Brook Slate and Cotehele Sandstone Formations</t>
  </si>
  <si>
    <t>ccv - (psl)</t>
  </si>
  <si>
    <t>M-119, M-120, M-121, M-186</t>
  </si>
  <si>
    <t>Apy, Lo, Ccp, Sp, Py, Gn, Sd, Hem</t>
  </si>
  <si>
    <t>Qz, Chl, Bt, Ksp</t>
  </si>
  <si>
    <t>N-S trending vein with complexly banded ores cross cutting the Lower Carboniferous Greystone and Bealsmill Formations and generally assumed to be of crosscourse origin. Mined for Pb and Ag.</t>
  </si>
  <si>
    <t>WE-01, WE-03, WE-03</t>
  </si>
  <si>
    <t>Gn, Sp, Py, Apy, Ccp</t>
  </si>
  <si>
    <t>Qz, Chl, Ms, Kln</t>
  </si>
  <si>
    <t>N-S trending crosscourse vein cross cutting the Lower Carboniferous Combe Shale and Teign Chert Formations.</t>
  </si>
  <si>
    <t>Sphalerite</t>
  </si>
  <si>
    <t>Chalcopyrite</t>
  </si>
  <si>
    <t>Stannite-group</t>
  </si>
  <si>
    <t>Cassiterite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</si>
</sst>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font>
      <sz val="10"/>
      <name val="Arial"/>
    </font>
    <font>
      <sz val="8"/>
      <name val="Arial"/>
    </font>
    <font>
      <b/>
      <sz val="10"/>
      <name val="Arial"/>
      <family val="2"/>
    </font>
    <font>
      <sz val="10"/>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libri Light"/>
      <family val="2"/>
      <scheme val="major"/>
    </font>
    <font>
      <b/>
      <sz val="10"/>
      <color theme="1"/>
      <name val="Arial"/>
      <family val="2"/>
    </font>
    <font>
      <sz val="10"/>
      <color rgb="FFFF0000"/>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s>
  <borders count="13">
    <border>
      <left/>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3">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6" fillId="26" borderId="0" applyNumberFormat="0" applyBorder="0" applyAlignment="0" applyProtection="0"/>
    <xf numFmtId="0" fontId="7" fillId="27" borderId="4" applyNumberFormat="0" applyAlignment="0" applyProtection="0"/>
    <xf numFmtId="0" fontId="8" fillId="28" borderId="5" applyNumberFormat="0" applyAlignment="0" applyProtection="0"/>
    <xf numFmtId="0" fontId="9" fillId="0" borderId="0" applyNumberFormat="0" applyFill="0" applyBorder="0" applyAlignment="0" applyProtection="0"/>
    <xf numFmtId="0" fontId="10" fillId="29" borderId="0" applyNumberFormat="0" applyBorder="0" applyAlignment="0" applyProtection="0"/>
    <xf numFmtId="0" fontId="11" fillId="0" borderId="6" applyNumberFormat="0" applyFill="0" applyAlignment="0" applyProtection="0"/>
    <xf numFmtId="0" fontId="12" fillId="0" borderId="7" applyNumberFormat="0" applyFill="0" applyAlignment="0" applyProtection="0"/>
    <xf numFmtId="0" fontId="13" fillId="0" borderId="8" applyNumberFormat="0" applyFill="0" applyAlignment="0" applyProtection="0"/>
    <xf numFmtId="0" fontId="13" fillId="0" borderId="0" applyNumberFormat="0" applyFill="0" applyBorder="0" applyAlignment="0" applyProtection="0"/>
    <xf numFmtId="0" fontId="14" fillId="30" borderId="4" applyNumberFormat="0" applyAlignment="0" applyProtection="0"/>
    <xf numFmtId="0" fontId="15" fillId="0" borderId="9" applyNumberFormat="0" applyFill="0" applyAlignment="0" applyProtection="0"/>
    <xf numFmtId="0" fontId="16" fillId="31" borderId="0" applyNumberFormat="0" applyBorder="0" applyAlignment="0" applyProtection="0"/>
    <xf numFmtId="0" fontId="4" fillId="0" borderId="0"/>
    <xf numFmtId="0" fontId="4" fillId="32" borderId="10" applyNumberFormat="0" applyFont="0" applyAlignment="0" applyProtection="0"/>
    <xf numFmtId="0" fontId="17" fillId="27" borderId="11" applyNumberFormat="0" applyAlignment="0" applyProtection="0"/>
    <xf numFmtId="0" fontId="18" fillId="0" borderId="0" applyNumberFormat="0" applyFill="0" applyBorder="0" applyAlignment="0" applyProtection="0"/>
    <xf numFmtId="0" fontId="19" fillId="0" borderId="12" applyNumberFormat="0" applyFill="0" applyAlignment="0" applyProtection="0"/>
    <xf numFmtId="0" fontId="20" fillId="0" borderId="0" applyNumberFormat="0" applyFill="0" applyBorder="0" applyAlignment="0" applyProtection="0"/>
  </cellStyleXfs>
  <cellXfs count="38">
    <xf numFmtId="0" fontId="0" fillId="0" borderId="0" xfId="0"/>
    <xf numFmtId="0" fontId="2" fillId="0" borderId="0" xfId="0" applyFont="1" applyFill="1" applyBorder="1" applyAlignment="1">
      <alignment vertical="top" wrapText="1"/>
    </xf>
    <xf numFmtId="0" fontId="3" fillId="0" borderId="0" xfId="0" applyFont="1" applyFill="1" applyBorder="1" applyAlignment="1">
      <alignment vertical="top" wrapText="1"/>
    </xf>
    <xf numFmtId="0" fontId="0" fillId="0" borderId="0" xfId="0" applyAlignment="1">
      <alignment vertical="top"/>
    </xf>
    <xf numFmtId="0" fontId="3" fillId="0" borderId="0" xfId="0" applyFont="1" applyAlignment="1">
      <alignment vertical="top"/>
    </xf>
    <xf numFmtId="0" fontId="0" fillId="0" borderId="0" xfId="0" applyBorder="1" applyAlignment="1">
      <alignment vertical="top" wrapText="1"/>
    </xf>
    <xf numFmtId="0" fontId="0" fillId="0" borderId="0" xfId="0" applyFill="1" applyBorder="1" applyAlignment="1">
      <alignment vertical="top" wrapText="1"/>
    </xf>
    <xf numFmtId="0" fontId="3" fillId="0" borderId="0" xfId="0" applyFont="1" applyBorder="1" applyAlignment="1">
      <alignment vertical="top" wrapText="1"/>
    </xf>
    <xf numFmtId="0" fontId="2" fillId="0" borderId="0" xfId="0" applyFont="1" applyAlignment="1">
      <alignment vertical="top"/>
    </xf>
    <xf numFmtId="164" fontId="2" fillId="0" borderId="0" xfId="0" applyNumberFormat="1" applyFont="1" applyFill="1" applyBorder="1" applyAlignment="1">
      <alignment vertical="top" wrapText="1"/>
    </xf>
    <xf numFmtId="164" fontId="0" fillId="0" borderId="0" xfId="0" applyNumberFormat="1" applyBorder="1" applyAlignment="1">
      <alignment vertical="top" wrapText="1"/>
    </xf>
    <xf numFmtId="164" fontId="3" fillId="0" borderId="0" xfId="0" applyNumberFormat="1" applyFont="1" applyFill="1" applyBorder="1" applyAlignment="1">
      <alignment vertical="top" wrapText="1"/>
    </xf>
    <xf numFmtId="1" fontId="0" fillId="0" borderId="0" xfId="0" applyNumberFormat="1" applyAlignment="1">
      <alignment vertical="top"/>
    </xf>
    <xf numFmtId="1" fontId="3" fillId="0" borderId="0" xfId="0" applyNumberFormat="1" applyFont="1" applyAlignment="1">
      <alignment vertical="top"/>
    </xf>
    <xf numFmtId="1" fontId="3" fillId="0" borderId="0" xfId="0" applyNumberFormat="1" applyFont="1" applyFill="1" applyBorder="1" applyAlignment="1">
      <alignment vertical="top" wrapText="1"/>
    </xf>
    <xf numFmtId="2" fontId="3" fillId="0" borderId="0" xfId="0" applyNumberFormat="1" applyFont="1" applyFill="1" applyBorder="1" applyAlignment="1">
      <alignment vertical="top" wrapText="1"/>
    </xf>
    <xf numFmtId="2" fontId="3" fillId="0" borderId="0" xfId="0" applyNumberFormat="1" applyFont="1" applyAlignment="1">
      <alignment vertical="top"/>
    </xf>
    <xf numFmtId="2" fontId="0" fillId="0" borderId="0" xfId="0" applyNumberFormat="1" applyAlignment="1">
      <alignment vertical="top"/>
    </xf>
    <xf numFmtId="0" fontId="0" fillId="0" borderId="0" xfId="0" applyAlignment="1">
      <alignment horizontal="left"/>
    </xf>
    <xf numFmtId="1" fontId="2" fillId="0" borderId="0" xfId="0" applyNumberFormat="1" applyFont="1" applyAlignment="1">
      <alignment vertical="top"/>
    </xf>
    <xf numFmtId="1" fontId="0" fillId="0" borderId="1" xfId="0" applyNumberFormat="1" applyBorder="1" applyAlignment="1">
      <alignment vertical="top"/>
    </xf>
    <xf numFmtId="2" fontId="2" fillId="0" borderId="0" xfId="0" applyNumberFormat="1" applyFont="1" applyAlignment="1">
      <alignment vertical="top"/>
    </xf>
    <xf numFmtId="0" fontId="0" fillId="0" borderId="2" xfId="0" applyBorder="1"/>
    <xf numFmtId="0" fontId="0" fillId="0" borderId="3" xfId="0" applyBorder="1"/>
    <xf numFmtId="2" fontId="0" fillId="0" borderId="0" xfId="0" applyNumberFormat="1"/>
    <xf numFmtId="1" fontId="0" fillId="0" borderId="0" xfId="0" applyNumberFormat="1"/>
    <xf numFmtId="0" fontId="3" fillId="0" borderId="0" xfId="0" applyFont="1" applyAlignment="1">
      <alignment vertical="center" wrapText="1"/>
    </xf>
    <xf numFmtId="0" fontId="4" fillId="0" borderId="0" xfId="37"/>
    <xf numFmtId="164" fontId="3" fillId="0" borderId="0" xfId="0" applyNumberFormat="1" applyFont="1" applyBorder="1" applyAlignment="1">
      <alignment vertical="top" wrapText="1"/>
    </xf>
    <xf numFmtId="0" fontId="3" fillId="33" borderId="0" xfId="0" applyFont="1" applyFill="1" applyBorder="1" applyAlignment="1">
      <alignment vertical="top" wrapText="1"/>
    </xf>
    <xf numFmtId="0" fontId="4" fillId="0" borderId="0" xfId="37" applyFill="1"/>
    <xf numFmtId="0" fontId="0" fillId="0" borderId="0" xfId="0" applyFill="1"/>
    <xf numFmtId="0" fontId="2" fillId="0" borderId="0" xfId="0" applyFont="1" applyBorder="1" applyAlignment="1">
      <alignment vertical="top" wrapText="1"/>
    </xf>
    <xf numFmtId="0" fontId="3" fillId="0" borderId="0" xfId="0" applyFont="1" applyAlignment="1">
      <alignment vertical="top" wrapText="1"/>
    </xf>
    <xf numFmtId="0" fontId="0" fillId="0" borderId="0" xfId="0" applyAlignment="1">
      <alignment vertical="top" wrapText="1"/>
    </xf>
    <xf numFmtId="0" fontId="2" fillId="0" borderId="0" xfId="0" applyFont="1" applyBorder="1" applyAlignment="1">
      <alignment vertical="top" wrapText="1"/>
    </xf>
    <xf numFmtId="0" fontId="3" fillId="0" borderId="0" xfId="0" applyFont="1" applyAlignment="1">
      <alignment vertical="top" wrapText="1"/>
    </xf>
    <xf numFmtId="0" fontId="0" fillId="0" borderId="0" xfId="0" applyAlignment="1">
      <alignment vertical="top" wrapText="1"/>
    </xf>
  </cellXfs>
  <cellStyles count="43">
    <cellStyle name="20% - Accent1 2" xfId="1" xr:uid="{7B532AAD-F666-4EB7-8F8E-514DE6E31E44}"/>
    <cellStyle name="20% - Accent2 2" xfId="2" xr:uid="{D354033D-A4A7-4B1F-98AC-4C588B979A9F}"/>
    <cellStyle name="20% - Accent3 2" xfId="3" xr:uid="{10DFB9E3-AAB7-4897-A7D9-8065ED08D3FB}"/>
    <cellStyle name="20% - Accent4 2" xfId="4" xr:uid="{3CC54CCA-DB4D-438D-8C22-67B5569921FD}"/>
    <cellStyle name="20% - Accent5 2" xfId="5" xr:uid="{C37313E1-685C-4272-B18D-A64323776F4F}"/>
    <cellStyle name="20% - Accent6 2" xfId="6" xr:uid="{30FEB07D-DE3B-42F8-A451-74379806CA30}"/>
    <cellStyle name="40% - Accent1 2" xfId="7" xr:uid="{DEEF8EBC-F91F-4726-8C08-21BDE7C6530A}"/>
    <cellStyle name="40% - Accent2 2" xfId="8" xr:uid="{F055EDC2-60E7-4340-BBA7-310FD1BC6670}"/>
    <cellStyle name="40% - Accent3 2" xfId="9" xr:uid="{9EE3437D-2972-4E37-90AC-3A33298A2DB5}"/>
    <cellStyle name="40% - Accent4 2" xfId="10" xr:uid="{A3F5F8FE-AF7A-4AD7-BD85-99CC20E8D279}"/>
    <cellStyle name="40% - Accent5 2" xfId="11" xr:uid="{345C1D0D-9AAC-42FC-9D05-0FA3F67DDA7F}"/>
    <cellStyle name="40% - Accent6 2" xfId="12" xr:uid="{BD8175FD-4B07-4187-B6BA-BB54077DC626}"/>
    <cellStyle name="60% - Accent1 2" xfId="13" xr:uid="{2805019E-9D6E-4F87-B973-18FE843BC3DB}"/>
    <cellStyle name="60% - Accent2 2" xfId="14" xr:uid="{BE274961-A428-4E2B-9956-8DC3E15977DA}"/>
    <cellStyle name="60% - Accent3 2" xfId="15" xr:uid="{2D105AE8-DCA4-4775-A706-97DCE5530922}"/>
    <cellStyle name="60% - Accent4 2" xfId="16" xr:uid="{C487AC4C-A7DC-43BC-A568-14807B02DA7F}"/>
    <cellStyle name="60% - Accent5 2" xfId="17" xr:uid="{E2FE9D33-0CA0-468E-A8DE-8FDC888091F7}"/>
    <cellStyle name="60% - Accent6 2" xfId="18" xr:uid="{91162FA4-C091-4D63-BC97-A3E532A63466}"/>
    <cellStyle name="Accent1 2" xfId="19" xr:uid="{768AC1E2-24CF-4E24-95F3-FFF1FC22B851}"/>
    <cellStyle name="Accent2 2" xfId="20" xr:uid="{2E921D26-E431-49ED-A805-1D2FA0A18915}"/>
    <cellStyle name="Accent3 2" xfId="21" xr:uid="{A4AF408D-57F9-4D9B-ACB8-5CBF6F176241}"/>
    <cellStyle name="Accent4 2" xfId="22" xr:uid="{73EE05A9-AFE6-4F3B-90C3-A41CBEB585A2}"/>
    <cellStyle name="Accent5 2" xfId="23" xr:uid="{13DABB2F-11B7-4FC4-8300-EE7C8BF8BB69}"/>
    <cellStyle name="Accent6 2" xfId="24" xr:uid="{4A4B6BA6-E89D-4E04-BE9F-94A5F734BAD4}"/>
    <cellStyle name="Bad 2" xfId="25" xr:uid="{8F20FF0B-2E2B-4955-B195-7697D85910B1}"/>
    <cellStyle name="Calculation 2" xfId="26" xr:uid="{52AADA0F-6A7E-4F06-82A0-AFBF1CEA5B7A}"/>
    <cellStyle name="Check Cell 2" xfId="27" xr:uid="{698C9044-C06F-4E78-8FFB-CE9D5AD6EF8A}"/>
    <cellStyle name="Explanatory Text 2" xfId="28" xr:uid="{FA19A428-9E6B-4375-997E-197B18EEE3F8}"/>
    <cellStyle name="Good 2" xfId="29" xr:uid="{1E38E6CF-39EE-49A3-9A38-E1C22892F7F5}"/>
    <cellStyle name="Heading 1 2" xfId="30" xr:uid="{FB9A4F32-8C57-49A6-9FC1-3A480464E586}"/>
    <cellStyle name="Heading 2 2" xfId="31" xr:uid="{63FF9D58-68A8-4762-A001-FBAC2CAB6867}"/>
    <cellStyle name="Heading 3 2" xfId="32" xr:uid="{492A19FA-C1D3-440E-80C8-D2F8950C19EB}"/>
    <cellStyle name="Heading 4 2" xfId="33" xr:uid="{8CF1D7FF-DE99-49D6-9F68-BC96D92AAD1A}"/>
    <cellStyle name="Input 2" xfId="34" xr:uid="{DDA8AE07-008A-4859-9279-88E58F91DD08}"/>
    <cellStyle name="Linked Cell 2" xfId="35" xr:uid="{CFFC3E56-A871-456C-A47B-FC61A8E46263}"/>
    <cellStyle name="Neutral 2" xfId="36" xr:uid="{F666757D-7722-49BF-998C-A317221F8E20}"/>
    <cellStyle name="Normal" xfId="0" builtinId="0"/>
    <cellStyle name="Normal 2" xfId="37" xr:uid="{D7CF1D13-4641-4B37-A6F5-31995F775D5E}"/>
    <cellStyle name="Note 2" xfId="38" xr:uid="{5752D53B-31A2-43FD-909C-3C96A2CCDB88}"/>
    <cellStyle name="Output 2" xfId="39" xr:uid="{A25AD317-D7D6-4FD6-A55C-7A725883ED1B}"/>
    <cellStyle name="Title 2" xfId="40" xr:uid="{FF440E84-2223-4056-B4AF-C4FC277F12ED}"/>
    <cellStyle name="Total 2" xfId="41" xr:uid="{A9FE3DD7-DC90-48AC-ADBA-E782709DFE02}"/>
    <cellStyle name="Warning Text 2" xfId="42" xr:uid="{B8AAC909-55D6-4A17-84D5-8936755804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8468515759854341"/>
          <c:y val="2.6054590570719603E-2"/>
        </c:manualLayout>
      </c:layout>
      <c:overlay val="0"/>
      <c:spPr>
        <a:noFill/>
        <a:ln w="25400">
          <a:noFill/>
        </a:ln>
      </c:spPr>
      <c:txPr>
        <a:bodyPr/>
        <a:lstStyle/>
        <a:p>
          <a:pPr>
            <a:defRPr sz="1200" b="0"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4.4144182981579905E-2"/>
          <c:y val="0.10669975186104218"/>
          <c:w val="0.86396472406806379"/>
          <c:h val="0.83126550868486349"/>
        </c:manualLayout>
      </c:layout>
      <c:scatterChart>
        <c:scatterStyle val="lineMarker"/>
        <c:varyColors val="0"/>
        <c:ser>
          <c:idx val="0"/>
          <c:order val="0"/>
          <c:tx>
            <c:strRef>
              <c:f>'Stannite-kesterite'!$L$1</c:f>
              <c:strCache>
                <c:ptCount val="1"/>
                <c:pt idx="0">
                  <c:v>   Zn    </c:v>
                </c:pt>
              </c:strCache>
            </c:strRef>
          </c:tx>
          <c:spPr>
            <a:ln w="19050">
              <a:noFill/>
            </a:ln>
          </c:spPr>
          <c:marker>
            <c:symbol val="diamond"/>
            <c:size val="5"/>
            <c:spPr>
              <a:solidFill>
                <a:srgbClr val="000080"/>
              </a:solidFill>
              <a:ln>
                <a:solidFill>
                  <a:srgbClr val="000080"/>
                </a:solidFill>
                <a:prstDash val="solid"/>
              </a:ln>
            </c:spPr>
          </c:marker>
          <c:dLbls>
            <c:dLbl>
              <c:idx val="0"/>
              <c:tx>
                <c:strRef>
                  <c:f>'Stannite-kesterite'!$O$2</c:f>
                  <c:strCache>
                    <c:ptCount val="1"/>
                    <c:pt idx="0">
                      <c:v>RJS-BK-1 stannite inc in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{55915398-08A1-4421-AD98-72695A16BBF0}</c15:txfldGUID>
                      <c15:f>'Stannite-kesterite'!$O$2</c15:f>
                      <c15:dlblFieldTableCache>
                        <c:ptCount val="1"/>
                        <c:pt idx="0">
                          <c:v>RJS-BK-1 stannite inc in ccp </c:v>
                        </c:pt>
                      </c15:dlblFieldTableCache>
                    </c15:dlblFTEntry>
                  </c15:dlblFieldTable>
                  <c15:showDataLabelsRange val="0"/>
                </c:ext>
                <c:ext xmlns:c16="http://schemas.microsoft.com/office/drawing/2014/chart" uri="{C3380CC4-5D6E-409C-BE32-E72D297353CC}">
                  <c16:uniqueId val="{00000000-20B6-4C81-A7D7-F3716F0FC414}"/>
                </c:ext>
              </c:extLst>
            </c:dLbl>
            <c:dLbl>
              <c:idx val="1"/>
              <c:tx>
                <c:strRef>
                  <c:f>'Stannite-kesterite'!$O$3</c:f>
                  <c:strCache>
                    <c:ptCount val="1"/>
                    <c:pt idx="0">
                      <c:v>RJS-BK-1 stannite inc in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{8B3C0BF8-1AF3-461A-8F18-A772EBF06156}</c15:txfldGUID>
                      <c15:f>'Stannite-kesterite'!$O$3</c15:f>
                      <c15:dlblFieldTableCache>
                        <c:ptCount val="1"/>
                        <c:pt idx="0">
                          <c:v>RJS-BK-1 stannite inc in ccp </c:v>
                        </c:pt>
                      </c15:dlblFieldTableCache>
                    </c15:dlblFTEntry>
                  </c15:dlblFieldTable>
                  <c15:showDataLabelsRange val="0"/>
                </c:ext>
                <c:ext xmlns:c16="http://schemas.microsoft.com/office/drawing/2014/chart" uri="{C3380CC4-5D6E-409C-BE32-E72D297353CC}">
                  <c16:uniqueId val="{00000001-20B6-4C81-A7D7-F3716F0FC414}"/>
                </c:ext>
              </c:extLst>
            </c:dLbl>
            <c:dLbl>
              <c:idx val="2"/>
              <c:tx>
                <c:strRef>
                  <c:f>'Stannite-kesterite'!$O$4</c:f>
                  <c:strCache>
                    <c:ptCount val="1"/>
                    <c:pt idx="0">
                      <c:v>RJS-BK-1 stannite inc in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{E21AC5A2-D2B2-4E44-A00C-94431A706F3C}</c15:txfldGUID>
                      <c15:f>'Stannite-kesterite'!$O$4</c15:f>
                      <c15:dlblFieldTableCache>
                        <c:ptCount val="1"/>
                        <c:pt idx="0">
                          <c:v>RJS-BK-1 stannite inc in ccp </c:v>
                        </c:pt>
                      </c15:dlblFieldTableCache>
                    </c15:dlblFTEntry>
                  </c15:dlblFieldTable>
                  <c15:showDataLabelsRange val="0"/>
                </c:ext>
                <c:ext xmlns:c16="http://schemas.microsoft.com/office/drawing/2014/chart" uri="{C3380CC4-5D6E-409C-BE32-E72D297353CC}">
                  <c16:uniqueId val="{00000002-20B6-4C81-A7D7-F3716F0FC414}"/>
                </c:ext>
              </c:extLst>
            </c:dLbl>
            <c:dLbl>
              <c:idx val="3"/>
              <c:tx>
                <c:strRef>
                  <c:f>'Stannite-kesterite'!$O$5</c:f>
                  <c:strCache>
                    <c:ptCount val="1"/>
                    <c:pt idx="0">
                      <c:v>RJS-BK-1 stannite inc in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{52C7C194-1FAC-4BDA-8E82-30028DFF0918}</c15:txfldGUID>
                      <c15:f>'Stannite-kesterite'!$O$5</c15:f>
                      <c15:dlblFieldTableCache>
                        <c:ptCount val="1"/>
                        <c:pt idx="0">
                          <c:v>RJS-BK-1 stannite inc in ccp </c:v>
                        </c:pt>
                      </c15:dlblFieldTableCache>
                    </c15:dlblFTEntry>
                  </c15:dlblFieldTable>
                  <c15:showDataLabelsRange val="0"/>
                </c:ext>
                <c:ext xmlns:c16="http://schemas.microsoft.com/office/drawing/2014/chart" uri="{C3380CC4-5D6E-409C-BE32-E72D297353CC}">
                  <c16:uniqueId val="{00000003-20B6-4C81-A7D7-F3716F0FC414}"/>
                </c:ext>
              </c:extLst>
            </c:dLbl>
            <c:dLbl>
              <c:idx val="4"/>
              <c:tx>
                <c:strRef>
                  <c:f>'Stannite-kesterite'!$O$6</c:f>
                  <c:strCache>
                    <c:ptCount val="1"/>
                    <c:pt idx="0">
                      <c:v>RJS-BK-1 stannite inc in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{12C2B2C8-56D5-44CC-AD75-4272B2585635}</c15:txfldGUID>
                      <c15:f>'Stannite-kesterite'!$O$6</c15:f>
                      <c15:dlblFieldTableCache>
                        <c:ptCount val="1"/>
                        <c:pt idx="0">
                          <c:v>RJS-BK-1 stannite inc in ccp </c:v>
                        </c:pt>
                      </c15:dlblFieldTableCache>
                    </c15:dlblFTEntry>
                  </c15:dlblFieldTable>
                  <c15:showDataLabelsRange val="0"/>
                </c:ext>
                <c:ext xmlns:c16="http://schemas.microsoft.com/office/drawing/2014/chart" uri="{C3380CC4-5D6E-409C-BE32-E72D297353CC}">
                  <c16:uniqueId val="{00000004-20B6-4C81-A7D7-F3716F0FC414}"/>
                </c:ext>
              </c:extLst>
            </c:dLbl>
            <c:dLbl>
              <c:idx val="5"/>
              <c:tx>
                <c:strRef>
                  <c:f>'Stannite-kesterite'!$O$7</c:f>
                  <c:strCache>
                    <c:ptCount val="1"/>
                    <c:pt idx="0">
                      <c:v>RJS-BK-1 stannite inc in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{143B3528-16A1-4CF1-BE85-39C8E1256732}</c15:txfldGUID>
                      <c15:f>'Stannite-kesterite'!$O$7</c15:f>
                      <c15:dlblFieldTableCache>
                        <c:ptCount val="1"/>
                        <c:pt idx="0">
                          <c:v>RJS-BK-1 stannite inc in ccp </c:v>
                        </c:pt>
                      </c15:dlblFieldTableCache>
                    </c15:dlblFTEntry>
                  </c15:dlblFieldTable>
                  <c15:showDataLabelsRange val="0"/>
                </c:ext>
                <c:ext xmlns:c16="http://schemas.microsoft.com/office/drawing/2014/chart" uri="{C3380CC4-5D6E-409C-BE32-E72D297353CC}">
                  <c16:uniqueId val="{00000005-20B6-4C81-A7D7-F3716F0FC414}"/>
                </c:ext>
              </c:extLst>
            </c:dLbl>
            <c:dLbl>
              <c:idx val="6"/>
              <c:tx>
                <c:strRef>
                  <c:f>'Stannite-kesterite'!$O$8</c:f>
                  <c:strCache>
                    <c:ptCount val="1"/>
                    <c:pt idx="0">
                      <c:v>RJS-BK-1 stannite inc in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{06FC7255-21F0-4633-8D1A-9383BC95D7E6}</c15:txfldGUID>
                      <c15:f>'Stannite-kesterite'!$O$8</c15:f>
                      <c15:dlblFieldTableCache>
                        <c:ptCount val="1"/>
                        <c:pt idx="0">
                          <c:v>RJS-BK-1 stannite inc in ccp </c:v>
                        </c:pt>
                      </c15:dlblFieldTableCache>
                    </c15:dlblFTEntry>
                  </c15:dlblFieldTable>
                  <c15:showDataLabelsRange val="0"/>
                </c:ext>
                <c:ext xmlns:c16="http://schemas.microsoft.com/office/drawing/2014/chart" uri="{C3380CC4-5D6E-409C-BE32-E72D297353CC}">
                  <c16:uniqueId val="{00000006-20B6-4C81-A7D7-F3716F0FC414}"/>
                </c:ext>
              </c:extLst>
            </c:dLbl>
            <c:dLbl>
              <c:idx val="7"/>
              <c:tx>
                <c:strRef>
                  <c:f>'Stannite-kesterite'!$O$9</c:f>
                  <c:strCache>
                    <c:ptCount val="1"/>
                    <c:pt idx="0">
                      <c:v>RJS-BK-1 stannite inc in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{757C91C0-4AFE-4F95-88DA-B420BC46146A}</c15:txfldGUID>
                      <c15:f>'Stannite-kesterite'!$O$9</c15:f>
                      <c15:dlblFieldTableCache>
                        <c:ptCount val="1"/>
                        <c:pt idx="0">
                          <c:v>RJS-BK-1 stannite inc in ccp </c:v>
                        </c:pt>
                      </c15:dlblFieldTableCache>
                    </c15:dlblFTEntry>
                  </c15:dlblFieldTable>
                  <c15:showDataLabelsRange val="0"/>
                </c:ext>
                <c:ext xmlns:c16="http://schemas.microsoft.com/office/drawing/2014/chart" uri="{C3380CC4-5D6E-409C-BE32-E72D297353CC}">
                  <c16:uniqueId val="{00000007-20B6-4C81-A7D7-F3716F0FC414}"/>
                </c:ext>
              </c:extLst>
            </c:dLbl>
            <c:dLbl>
              <c:idx val="8"/>
              <c:tx>
                <c:strRef>
                  <c:f>'Stannite-kesterite'!$O$10</c:f>
                  <c:strCache>
                    <c:ptCount val="1"/>
                    <c:pt idx="0">
                      <c:v>RJS-BK-1 stannite inc in sphalerite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{6D365CEB-B186-44B4-9E18-713ED462502D}</c15:txfldGUID>
                      <c15:f>'Stannite-kesterite'!$O$10</c15:f>
                      <c15:dlblFieldTableCache>
                        <c:ptCount val="1"/>
                        <c:pt idx="0">
                          <c:v>RJS-BK-1 stannite inc in sphalerite </c:v>
                        </c:pt>
                      </c15:dlblFieldTableCache>
                    </c15:dlblFTEntry>
                  </c15:dlblFieldTable>
                  <c15:showDataLabelsRange val="0"/>
                </c:ext>
                <c:ext xmlns:c16="http://schemas.microsoft.com/office/drawing/2014/chart" uri="{C3380CC4-5D6E-409C-BE32-E72D297353CC}">
                  <c16:uniqueId val="{00000008-20B6-4C81-A7D7-F3716F0FC414}"/>
                </c:ext>
              </c:extLst>
            </c:dLbl>
            <c:dLbl>
              <c:idx val="9"/>
              <c:tx>
                <c:strRef>
                  <c:f>'Stannite-kesterite'!$O$11</c:f>
                  <c:strCache>
                    <c:ptCount val="1"/>
                    <c:pt idx="0">
                      <c:v>RJS-BK-1 stannite inc in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{D498C79B-9C19-4E8E-8383-3201580DE2D9}</c15:txfldGUID>
                      <c15:f>'Stannite-kesterite'!$O$11</c15:f>
                      <c15:dlblFieldTableCache>
                        <c:ptCount val="1"/>
                        <c:pt idx="0">
                          <c:v>RJS-BK-1 stannite inc in ccp </c:v>
                        </c:pt>
                      </c15:dlblFieldTableCache>
                    </c15:dlblFTEntry>
                  </c15:dlblFieldTable>
                  <c15:showDataLabelsRange val="0"/>
                </c:ext>
                <c:ext xmlns:c16="http://schemas.microsoft.com/office/drawing/2014/chart" uri="{C3380CC4-5D6E-409C-BE32-E72D297353CC}">
                  <c16:uniqueId val="{00000009-20B6-4C81-A7D7-F3716F0FC414}"/>
                </c:ext>
              </c:extLst>
            </c:dLbl>
            <c:dLbl>
              <c:idx val="10"/>
              <c:tx>
                <c:strRef>
                  <c:f>'Stannite-kesterite'!$O$12</c:f>
                  <c:strCache>
                    <c:ptCount val="1"/>
                    <c:pt idx="0">
                      <c:v>RJS-BK-1 stannite rim to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{707AC64B-5A91-4CC3-8534-B5BD2D40D3D8}</c15:txfldGUID>
                      <c15:f>'Stannite-kesterite'!$O$12</c15:f>
                      <c15:dlblFieldTableCache>
                        <c:ptCount val="1"/>
                        <c:pt idx="0">
                          <c:v>RJS-BK-1 stannite rim to ccp </c:v>
                        </c:pt>
                      </c15:dlblFieldTableCache>
                    </c15:dlblFTEntry>
                  </c15:dlblFieldTable>
                  <c15:showDataLabelsRange val="0"/>
                </c:ext>
                <c:ext xmlns:c16="http://schemas.microsoft.com/office/drawing/2014/chart" uri="{C3380CC4-5D6E-409C-BE32-E72D297353CC}">
                  <c16:uniqueId val="{0000000A-20B6-4C81-A7D7-F3716F0FC414}"/>
                </c:ext>
              </c:extLst>
            </c:dLbl>
            <c:dLbl>
              <c:idx val="11"/>
              <c:tx>
                <c:strRef>
                  <c:f>'Stannite-kesterite'!$O$13</c:f>
                  <c:strCache>
                    <c:ptCount val="1"/>
                    <c:pt idx="0">
                      <c:v>RJS-BK-1 stannite rim to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{2231C85E-9A4C-40F5-B97D-8B824F813A0F}</c15:txfldGUID>
                      <c15:f>'Stannite-kesterite'!$O$13</c15:f>
                      <c15:dlblFieldTableCache>
                        <c:ptCount val="1"/>
                        <c:pt idx="0">
                          <c:v>RJS-BK-1 stannite rim to ccp </c:v>
                        </c:pt>
                      </c15:dlblFieldTableCache>
                    </c15:dlblFTEntry>
                  </c15:dlblFieldTable>
                  <c15:showDataLabelsRange val="0"/>
                </c:ext>
                <c:ext xmlns:c16="http://schemas.microsoft.com/office/drawing/2014/chart" uri="{C3380CC4-5D6E-409C-BE32-E72D297353CC}">
                  <c16:uniqueId val="{0000000B-20B6-4C81-A7D7-F3716F0FC414}"/>
                </c:ext>
              </c:extLst>
            </c:dLbl>
            <c:dLbl>
              <c:idx val="12"/>
              <c:tx>
                <c:strRef>
                  <c:f>'Stannite-kesterite'!$O$14</c:f>
                  <c:strCache>
                    <c:ptCount val="1"/>
                    <c:pt idx="0">
                      <c:v>RJS-BK-1 stannite inc in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{D4B09351-0B61-4769-A81D-96CB1DCF153C}</c15:txfldGUID>
                      <c15:f>'Stannite-kesterite'!$O$14</c15:f>
                      <c15:dlblFieldTableCache>
                        <c:ptCount val="1"/>
                        <c:pt idx="0">
                          <c:v>RJS-BK-1 stannite inc in ccp </c:v>
                        </c:pt>
                      </c15:dlblFieldTableCache>
                    </c15:dlblFTEntry>
                  </c15:dlblFieldTable>
                  <c15:showDataLabelsRange val="0"/>
                </c:ext>
                <c:ext xmlns:c16="http://schemas.microsoft.com/office/drawing/2014/chart" uri="{C3380CC4-5D6E-409C-BE32-E72D297353CC}">
                  <c16:uniqueId val="{0000000C-20B6-4C81-A7D7-F3716F0FC414}"/>
                </c:ext>
              </c:extLst>
            </c:dLbl>
            <c:dLbl>
              <c:idx val="13"/>
              <c:tx>
                <c:strRef>
                  <c:f>'Stannite-kesterite'!$O$15</c:f>
                  <c:strCache>
                    <c:ptCount val="1"/>
                    <c:pt idx="0">
                      <c:v>RJS-BK-1 stannite rim to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{60BF8958-FE4C-4A3E-A23F-04ACEEE9CDC1}</c15:txfldGUID>
                      <c15:f>'Stannite-kesterite'!$O$15</c15:f>
                      <c15:dlblFieldTableCache>
                        <c:ptCount val="1"/>
                        <c:pt idx="0">
                          <c:v>RJS-BK-1 stannite rim to ccp </c:v>
                        </c:pt>
                      </c15:dlblFieldTableCache>
                    </c15:dlblFTEntry>
                  </c15:dlblFieldTable>
                  <c15:showDataLabelsRange val="0"/>
                </c:ext>
                <c:ext xmlns:c16="http://schemas.microsoft.com/office/drawing/2014/chart" uri="{C3380CC4-5D6E-409C-BE32-E72D297353CC}">
                  <c16:uniqueId val="{0000000D-20B6-4C81-A7D7-F3716F0FC414}"/>
                </c:ext>
              </c:extLst>
            </c:dLbl>
            <c:dLbl>
              <c:idx val="14"/>
              <c:tx>
                <c:strRef>
                  <c:f>'Stannite-kesterite'!$O$16</c:f>
                  <c:strCache>
                    <c:ptCount val="1"/>
                    <c:pt idx="0">
                      <c:v>RJS-BK-1 stannite inc in sphalerite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{15A70059-93D4-4030-9520-647FC25AFC9C}</c15:txfldGUID>
                      <c15:f>'Stannite-kesterite'!$O$16</c15:f>
                      <c15:dlblFieldTableCache>
                        <c:ptCount val="1"/>
                        <c:pt idx="0">
                          <c:v>RJS-BK-1 stannite inc in sphalerite </c:v>
                        </c:pt>
                      </c15:dlblFieldTableCache>
                    </c15:dlblFTEntry>
                  </c15:dlblFieldTable>
                  <c15:showDataLabelsRange val="0"/>
                </c:ext>
                <c:ext xmlns:c16="http://schemas.microsoft.com/office/drawing/2014/chart" uri="{C3380CC4-5D6E-409C-BE32-E72D297353CC}">
                  <c16:uniqueId val="{0000000E-20B6-4C81-A7D7-F3716F0FC414}"/>
                </c:ext>
              </c:extLst>
            </c:dLbl>
            <c:dLbl>
              <c:idx val="15"/>
              <c:tx>
                <c:strRef>
                  <c:f>'Stannite-kesterite'!$O$17</c:f>
                  <c:strCache>
                    <c:ptCount val="1"/>
                    <c:pt idx="0">
                      <c:v>RJS-BK-1 stannite rim to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{4B3B22A1-B912-4B7D-B08F-896F83F33529}</c15:txfldGUID>
                      <c15:f>'Stannite-kesterite'!$O$17</c15:f>
                      <c15:dlblFieldTableCache>
                        <c:ptCount val="1"/>
                        <c:pt idx="0">
                          <c:v>RJS-BK-1 stannite rim to ccp </c:v>
                        </c:pt>
                      </c15:dlblFieldTableCache>
                    </c15:dlblFTEntry>
                  </c15:dlblFieldTable>
                  <c15:showDataLabelsRange val="0"/>
                </c:ext>
                <c:ext xmlns:c16="http://schemas.microsoft.com/office/drawing/2014/chart" uri="{C3380CC4-5D6E-409C-BE32-E72D297353CC}">
                  <c16:uniqueId val="{0000000F-20B6-4C81-A7D7-F3716F0FC414}"/>
                </c:ext>
              </c:extLst>
            </c:dLbl>
            <c:dLbl>
              <c:idx val="16"/>
              <c:tx>
                <c:strRef>
                  <c:f>'Stannite-kesterite'!$O$18</c:f>
                  <c:strCache>
                    <c:ptCount val="1"/>
                    <c:pt idx="0">
                      <c:v>RJS-BK-1 stannite inc in sphalerite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{19C84C0D-EF03-4E15-B495-5160B7628259}</c15:txfldGUID>
                      <c15:f>'Stannite-kesterite'!$O$18</c15:f>
                      <c15:dlblFieldTableCache>
                        <c:ptCount val="1"/>
                        <c:pt idx="0">
                          <c:v>RJS-BK-1 stannite inc in sphalerite </c:v>
                        </c:pt>
                      </c15:dlblFieldTableCache>
                    </c15:dlblFTEntry>
                  </c15:dlblFieldTable>
                  <c15:showDataLabelsRange val="0"/>
                </c:ext>
                <c:ext xmlns:c16="http://schemas.microsoft.com/office/drawing/2014/chart" uri="{C3380CC4-5D6E-409C-BE32-E72D297353CC}">
                  <c16:uniqueId val="{00000010-20B6-4C81-A7D7-F3716F0FC414}"/>
                </c:ext>
              </c:extLst>
            </c:dLbl>
            <c:dLbl>
              <c:idx val="17"/>
              <c:tx>
                <c:strRef>
                  <c:f>'Stannite-kesterite'!$O$19</c:f>
                  <c:strCache>
                    <c:ptCount val="1"/>
                    <c:pt idx="0">
                      <c:v>RJS-BK-1 stannite rim to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{4D9CC07F-2B61-47EE-9F3A-CADD0360B6E6}</c15:txfldGUID>
                      <c15:f>'Stannite-kesterite'!$O$19</c15:f>
                      <c15:dlblFieldTableCache>
                        <c:ptCount val="1"/>
                        <c:pt idx="0">
                          <c:v>RJS-BK-1 stannite rim to ccp </c:v>
                        </c:pt>
                      </c15:dlblFieldTableCache>
                    </c15:dlblFTEntry>
                  </c15:dlblFieldTable>
                  <c15:showDataLabelsRange val="0"/>
                </c:ext>
                <c:ext xmlns:c16="http://schemas.microsoft.com/office/drawing/2014/chart" uri="{C3380CC4-5D6E-409C-BE32-E72D297353CC}">
                  <c16:uniqueId val="{00000011-20B6-4C81-A7D7-F3716F0FC414}"/>
                </c:ext>
              </c:extLst>
            </c:dLbl>
            <c:dLbl>
              <c:idx val="18"/>
              <c:tx>
                <c:strRef>
                  <c:f>'Stannite-kesterite'!$O$20</c:f>
                  <c:strCache>
                    <c:ptCount val="1"/>
                    <c:pt idx="0">
                      <c:v>RJS-BK-1 stannite inc in sphalerite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{39D3CA34-F56D-4E43-8709-604CD510D699}</c15:txfldGUID>
                      <c15:f>'Stannite-kesterite'!$O$20</c15:f>
                      <c15:dlblFieldTableCache>
                        <c:ptCount val="1"/>
                        <c:pt idx="0">
                          <c:v>RJS-BK-1 stannite inc in sphalerite </c:v>
                        </c:pt>
                      </c15:dlblFieldTableCache>
                    </c15:dlblFTEntry>
                  </c15:dlblFieldTable>
                  <c15:showDataLabelsRange val="0"/>
                </c:ext>
                <c:ext xmlns:c16="http://schemas.microsoft.com/office/drawing/2014/chart" uri="{C3380CC4-5D6E-409C-BE32-E72D297353CC}">
                  <c16:uniqueId val="{00000012-20B6-4C81-A7D7-F3716F0FC414}"/>
                </c:ext>
              </c:extLst>
            </c:dLbl>
            <c:dLbl>
              <c:idx val="19"/>
              <c:tx>
                <c:strRef>
                  <c:f>'Stannite-kesterite'!$O$21</c:f>
                  <c:strCache>
                    <c:ptCount val="1"/>
                    <c:pt idx="0">
                      <c:v>RJS-BK-1 stannite rim to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{1663923B-DB02-4618-9ACE-FBCBAC2EAC6E}</c15:txfldGUID>
                      <c15:f>'Stannite-kesterite'!$O$21</c15:f>
                      <c15:dlblFieldTableCache>
                        <c:ptCount val="1"/>
                        <c:pt idx="0">
                          <c:v>RJS-BK-1 stannite rim to ccp </c:v>
                        </c:pt>
                      </c15:dlblFieldTableCache>
                    </c15:dlblFTEntry>
                  </c15:dlblFieldTable>
                  <c15:showDataLabelsRange val="0"/>
                </c:ext>
                <c:ext xmlns:c16="http://schemas.microsoft.com/office/drawing/2014/chart" uri="{C3380CC4-5D6E-409C-BE32-E72D297353CC}">
                  <c16:uniqueId val="{00000013-20B6-4C81-A7D7-F3716F0FC414}"/>
                </c:ext>
              </c:extLst>
            </c:dLbl>
            <c:dLbl>
              <c:idx val="20"/>
              <c:tx>
                <c:strRef>
                  <c:f>'Stannite-kesterite'!$O$22</c:f>
                  <c:strCache>
                    <c:ptCount val="1"/>
                    <c:pt idx="0">
                      <c:v>RJS-BK-1 stannite rim to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{B120499C-B1C5-4AA7-B366-998A9AA3FA9A}</c15:txfldGUID>
                      <c15:f>'Stannite-kesterite'!$O$22</c15:f>
                      <c15:dlblFieldTableCache>
                        <c:ptCount val="1"/>
                        <c:pt idx="0">
                          <c:v>RJS-BK-1 stannite rim to ccp </c:v>
                        </c:pt>
                      </c15:dlblFieldTableCache>
                    </c15:dlblFTEntry>
                  </c15:dlblFieldTable>
                  <c15:showDataLabelsRange val="0"/>
                </c:ext>
                <c:ext xmlns:c16="http://schemas.microsoft.com/office/drawing/2014/chart" uri="{C3380CC4-5D6E-409C-BE32-E72D297353CC}">
                  <c16:uniqueId val="{00000014-20B6-4C81-A7D7-F3716F0FC414}"/>
                </c:ext>
              </c:extLst>
            </c:dLbl>
            <c:dLbl>
              <c:idx val="21"/>
              <c:tx>
                <c:strRef>
                  <c:f>'Stannite-kesterite'!$O$23</c:f>
                  <c:strCache>
                    <c:ptCount val="1"/>
                    <c:pt idx="0">
                      <c:v>RJS-BK-1 stannite rim to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{9624104A-2C66-4199-BB59-AB0913EB1FF5}</c15:txfldGUID>
                      <c15:f>'Stannite-kesterite'!$O$23</c15:f>
                      <c15:dlblFieldTableCache>
                        <c:ptCount val="1"/>
                        <c:pt idx="0">
                          <c:v>RJS-BK-1 stannite rim to ccp </c:v>
                        </c:pt>
                      </c15:dlblFieldTableCache>
                    </c15:dlblFTEntry>
                  </c15:dlblFieldTable>
                  <c15:showDataLabelsRange val="0"/>
                </c:ext>
                <c:ext xmlns:c16="http://schemas.microsoft.com/office/drawing/2014/chart" uri="{C3380CC4-5D6E-409C-BE32-E72D297353CC}">
                  <c16:uniqueId val="{00000015-20B6-4C81-A7D7-F3716F0FC414}"/>
                </c:ext>
              </c:extLst>
            </c:dLbl>
            <c:dLbl>
              <c:idx val="22"/>
              <c:tx>
                <c:strRef>
                  <c:f>'Stannite-kesterite'!$O$24</c:f>
                  <c:strCache>
                    <c:ptCount val="1"/>
                    <c:pt idx="0">
                      <c:v>RJS-BK-1 stannite rim to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{26F6A469-8275-4387-9D56-62890413259E}</c15:txfldGUID>
                      <c15:f>'Stannite-kesterite'!$O$24</c15:f>
                      <c15:dlblFieldTableCache>
                        <c:ptCount val="1"/>
                        <c:pt idx="0">
                          <c:v>RJS-BK-1 stannite rim to ccp </c:v>
                        </c:pt>
                      </c15:dlblFieldTableCache>
                    </c15:dlblFTEntry>
                  </c15:dlblFieldTable>
                  <c15:showDataLabelsRange val="0"/>
                </c:ext>
                <c:ext xmlns:c16="http://schemas.microsoft.com/office/drawing/2014/chart" uri="{C3380CC4-5D6E-409C-BE32-E72D297353CC}">
                  <c16:uniqueId val="{00000016-20B6-4C81-A7D7-F3716F0FC414}"/>
                </c:ext>
              </c:extLst>
            </c:dLbl>
            <c:dLbl>
              <c:idx val="23"/>
              <c:tx>
                <c:strRef>
                  <c:f>'Stannite-kesterite'!$O$25</c:f>
                  <c:strCache>
                    <c:ptCount val="1"/>
                    <c:pt idx="0">
                      <c:v>RJS-BK-1 stannite rim to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{0C0FE626-85DC-475E-9E61-A6D6FB6E7AEE}</c15:txfldGUID>
                      <c15:f>'Stannite-kesterite'!$O$25</c15:f>
                      <c15:dlblFieldTableCache>
                        <c:ptCount val="1"/>
                        <c:pt idx="0">
                          <c:v>RJS-BK-1 stannite rim to ccp </c:v>
                        </c:pt>
                      </c15:dlblFieldTableCache>
                    </c15:dlblFTEntry>
                  </c15:dlblFieldTable>
                  <c15:showDataLabelsRange val="0"/>
                </c:ext>
                <c:ext xmlns:c16="http://schemas.microsoft.com/office/drawing/2014/chart" uri="{C3380CC4-5D6E-409C-BE32-E72D297353CC}">
                  <c16:uniqueId val="{00000017-20B6-4C81-A7D7-F3716F0FC414}"/>
                </c:ext>
              </c:extLst>
            </c:dLbl>
            <c:dLbl>
              <c:idx val="24"/>
              <c:tx>
                <c:strRef>
                  <c:f>'Stannite-kesterite'!$O$26</c:f>
                  <c:strCache>
                    <c:ptCount val="1"/>
                    <c:pt idx="0">
                      <c:v>RJS-BK-1 stannite rim to ccp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{55A287F9-9598-4D16-91CD-5A95DC7C7997}</c15:txfldGUID>
                      <c15:f>'Stannite-kesterite'!$O$26</c15:f>
                      <c15:dlblFieldTableCache>
                        <c:ptCount val="1"/>
                        <c:pt idx="0">
                          <c:v>RJS-BK-1 stannite rim to ccp </c:v>
                        </c:pt>
                      </c15:dlblFieldTableCache>
                    </c15:dlblFTEntry>
                  </c15:dlblFieldTable>
                  <c15:showDataLabelsRange val="0"/>
                </c:ext>
                <c:ext xmlns:c16="http://schemas.microsoft.com/office/drawing/2014/chart" uri="{C3380CC4-5D6E-409C-BE32-E72D297353CC}">
                  <c16:uniqueId val="{00000018-20B6-4C81-A7D7-F3716F0FC414}"/>
                </c:ext>
              </c:extLst>
            </c:dLbl>
            <c:dLbl>
              <c:idx val="25"/>
              <c:tx>
                <c:strRef>
                  <c:f>'Stannite-kesterite'!$O$27</c:f>
                  <c:strCache>
                    <c:ptCount val="1"/>
                    <c:pt idx="0">
                      <c:v>RJS-BK-1 stannite inc in sphalerite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{0DD1A3C5-4E49-44F6-BD23-C4A36944CB38}</c15:txfldGUID>
                      <c15:f>'Stannite-kesterite'!$O$27</c15:f>
                      <c15:dlblFieldTableCache>
                        <c:ptCount val="1"/>
                        <c:pt idx="0">
                          <c:v>RJS-BK-1 stannite inc in sphalerite </c:v>
                        </c:pt>
                      </c15:dlblFieldTableCache>
                    </c15:dlblFTEntry>
                  </c15:dlblFieldTable>
                  <c15:showDataLabelsRange val="0"/>
                </c:ext>
                <c:ext xmlns:c16="http://schemas.microsoft.com/office/drawing/2014/chart" uri="{C3380CC4-5D6E-409C-BE32-E72D297353CC}">
                  <c16:uniqueId val="{00000019-20B6-4C81-A7D7-F3716F0FC414}"/>
                </c:ext>
              </c:extLst>
            </c:dLbl>
            <c:dLbl>
              <c:idx val="26"/>
              <c:tx>
                <c:strRef>
                  <c:f>'Stannite-kesterite'!$O$28</c:f>
                  <c:strCache>
                    <c:ptCount val="1"/>
                    <c:pt idx="0">
                      <c:v>RJS-BK-1 stannite inc in sphalerite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{D75B59D0-7D54-4AB4-AAFE-BE687017847E}</c15:txfldGUID>
                      <c15:f>'Stannite-kesterite'!$O$28</c15:f>
                      <c15:dlblFieldTableCache>
                        <c:ptCount val="1"/>
                        <c:pt idx="0">
                          <c:v>RJS-BK-1 stannite inc in sphalerite </c:v>
                        </c:pt>
                      </c15:dlblFieldTableCache>
                    </c15:dlblFTEntry>
                  </c15:dlblFieldTable>
                  <c15:showDataLabelsRange val="0"/>
                </c:ext>
                <c:ext xmlns:c16="http://schemas.microsoft.com/office/drawing/2014/chart" uri="{C3380CC4-5D6E-409C-BE32-E72D297353CC}">
                  <c16:uniqueId val="{0000001A-20B6-4C81-A7D7-F3716F0FC414}"/>
                </c:ext>
              </c:extLst>
            </c:dLbl>
            <c:dLbl>
              <c:idx val="27"/>
              <c:tx>
                <c:strRef>
                  <c:f>'Stannite-kesterite'!$O$29</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{CB225C9D-C1CC-456E-AC0E-41A33B81EFB7}</c15:txfldGUID>
                      <c15:f>'Stannite-kesterite'!$O$29</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1B-20B6-4C81-A7D7-F3716F0FC414}"/>
                </c:ext>
              </c:extLst>
            </c:dLbl>
            <c:dLbl>
              <c:idx val="28"/>
              <c:tx>
                <c:strRef>
                  <c:f>'Stannite-kesterite'!$O$30</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{6882AFEE-AFA8-4EB6-B49E-AA2B390D2989}</c15:txfldGUID>
                      <c15:f>'Stannite-kesterite'!$O$30</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1C-20B6-4C81-A7D7-F3716F0FC414}"/>
                </c:ext>
              </c:extLst>
            </c:dLbl>
            <c:dLbl>
              <c:idx val="29"/>
              <c:tx>
                <c:strRef>
                  <c:f>'Stannite-kesterite'!$O$31</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{23DE9898-9CF0-4B5B-BDB2-418798CFD5AD}</c15:txfldGUID>
                      <c15:f>'Stannite-kesterite'!$O$31</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1D-20B6-4C81-A7D7-F3716F0FC414}"/>
                </c:ext>
              </c:extLst>
            </c:dLbl>
            <c:dLbl>
              <c:idx val="30"/>
              <c:tx>
                <c:strRef>
                  <c:f>'Stannite-kesterite'!$O$32</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{AE3710CC-D005-4D7E-B177-619B6A9BD716}</c15:txfldGUID>
                      <c15:f>'Stannite-kesterite'!$O$32</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1E-20B6-4C81-A7D7-F3716F0FC414}"/>
                </c:ext>
              </c:extLst>
            </c:dLbl>
            <c:dLbl>
              <c:idx val="31"/>
              <c:tx>
                <c:strRef>
                  <c:f>'Stannite-kesterite'!$O$33</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{140DFBA1-C732-42E5-8ABB-C1E91DA9FBA8}</c15:txfldGUID>
                      <c15:f>'Stannite-kesterite'!$O$33</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1F-20B6-4C81-A7D7-F3716F0FC414}"/>
                </c:ext>
              </c:extLst>
            </c:dLbl>
            <c:dLbl>
              <c:idx val="32"/>
              <c:tx>
                <c:strRef>
                  <c:f>'Stannite-kesterite'!$O$34</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{FC78616E-1450-4901-8B1D-4AA709855878}</c15:txfldGUID>
                      <c15:f>'Stannite-kesterite'!$O$34</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20-20B6-4C81-A7D7-F3716F0FC414}"/>
                </c:ext>
              </c:extLst>
            </c:dLbl>
            <c:dLbl>
              <c:idx val="33"/>
              <c:tx>
                <c:strRef>
                  <c:f>'Stannite-kesterite'!$O$35</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{C357A844-006D-4843-809B-EAAFB8A2D441}</c15:txfldGUID>
                      <c15:f>'Stannite-kesterite'!$O$35</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21-20B6-4C81-A7D7-F3716F0FC414}"/>
                </c:ext>
              </c:extLst>
            </c:dLbl>
            <c:dLbl>
              <c:idx val="34"/>
              <c:tx>
                <c:strRef>
                  <c:f>'Stannite-kesterite'!$O$36</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{24B09F0E-EDC9-4049-90D0-882F053CC1E4}</c15:txfldGUID>
                      <c15:f>'Stannite-kesterite'!$O$36</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22-20B6-4C81-A7D7-F3716F0FC414}"/>
                </c:ext>
              </c:extLst>
            </c:dLbl>
            <c:dLbl>
              <c:idx val="35"/>
              <c:tx>
                <c:strRef>
                  <c:f>'Stannite-kesterite'!$O$37</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{EA58DF89-16B8-404A-ACD0-B3205013C2D1}</c15:txfldGUID>
                      <c15:f>'Stannite-kesterite'!$O$37</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23-20B6-4C81-A7D7-F3716F0FC414}"/>
                </c:ext>
              </c:extLst>
            </c:dLbl>
            <c:dLbl>
              <c:idx val="36"/>
              <c:tx>
                <c:strRef>
                  <c:f>'Stannite-kesterite'!$O$38</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{7CB214B1-CCD6-4AC8-90C6-DD4BAB69A931}</c15:txfldGUID>
                      <c15:f>'Stannite-kesterite'!$O$38</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24-20B6-4C81-A7D7-F3716F0FC414}"/>
                </c:ext>
              </c:extLst>
            </c:dLbl>
            <c:dLbl>
              <c:idx val="37"/>
              <c:tx>
                <c:strRef>
                  <c:f>'Stannite-kesterite'!$O$39</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{6C84F624-C23D-45F8-9FBC-FFB86FC411B4}</c15:txfldGUID>
                      <c15:f>'Stannite-kesterite'!$O$39</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25-20B6-4C81-A7D7-F3716F0FC414}"/>
                </c:ext>
              </c:extLst>
            </c:dLbl>
            <c:dLbl>
              <c:idx val="38"/>
              <c:tx>
                <c:strRef>
                  <c:f>'Stannite-kesterite'!$O$40</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{B1A1B505-C702-44C5-BD27-0451E258D0FB}</c15:txfldGUID>
                      <c15:f>'Stannite-kesterite'!$O$40</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26-20B6-4C81-A7D7-F3716F0FC414}"/>
                </c:ext>
              </c:extLst>
            </c:dLbl>
            <c:dLbl>
              <c:idx val="39"/>
              <c:tx>
                <c:strRef>
                  <c:f>'Stannite-kesterite'!$O$41</c:f>
                  <c:strCache>
                    <c:ptCount val="1"/>
                    <c:pt idx="0">
                      <c:v>CL-10 lollingite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{3A865EFD-1398-4535-978F-50D278268DCD}</c15:txfldGUID>
                      <c15:f>'Stannite-kesterite'!$O$41</c15:f>
                      <c15:dlblFieldTableCache>
                        <c:ptCount val="1"/>
                        <c:pt idx="0">
                          <c:v>CL-10 lollingite </c:v>
                        </c:pt>
                      </c15:dlblFieldTableCache>
                    </c15:dlblFTEntry>
                  </c15:dlblFieldTable>
                  <c15:showDataLabelsRange val="0"/>
                </c:ext>
                <c:ext xmlns:c16="http://schemas.microsoft.com/office/drawing/2014/chart" uri="{C3380CC4-5D6E-409C-BE32-E72D297353CC}">
                  <c16:uniqueId val="{00000027-20B6-4C81-A7D7-F3716F0FC414}"/>
                </c:ext>
              </c:extLst>
            </c:dLbl>
            <c:dLbl>
              <c:idx val="40"/>
              <c:tx>
                <c:strRef>
                  <c:f>'Stannite-kesterite'!$O$42</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{7FB4FAB3-803B-46C5-9080-329CF936219F}</c15:txfldGUID>
                      <c15:f>'Stannite-kesterite'!$O$42</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28-20B6-4C81-A7D7-F3716F0FC414}"/>
                </c:ext>
              </c:extLst>
            </c:dLbl>
            <c:dLbl>
              <c:idx val="41"/>
              <c:tx>
                <c:strRef>
                  <c:f>'Stannite-kesterite'!$O$43</c:f>
                  <c:strCache>
                    <c:ptCount val="1"/>
                    <c:pt idx="0">
                      <c:v>CL-10 kesterite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{C4FA60D1-4698-46D2-AF90-7BCCEFD00B3A}</c15:txfldGUID>
                      <c15:f>'Stannite-kesterite'!$O$43</c15:f>
                      <c15:dlblFieldTableCache>
                        <c:ptCount val="1"/>
                        <c:pt idx="0">
                          <c:v>CL-10 kesterite </c:v>
                        </c:pt>
                      </c15:dlblFieldTableCache>
                    </c15:dlblFTEntry>
                  </c15:dlblFieldTable>
                  <c15:showDataLabelsRange val="0"/>
                </c:ext>
                <c:ext xmlns:c16="http://schemas.microsoft.com/office/drawing/2014/chart" uri="{C3380CC4-5D6E-409C-BE32-E72D297353CC}">
                  <c16:uniqueId val="{00000029-20B6-4C81-A7D7-F3716F0FC414}"/>
                </c:ext>
              </c:extLst>
            </c:dLbl>
            <c:dLbl>
              <c:idx val="42"/>
              <c:tx>
                <c:strRef>
                  <c:f>'Stannite-kesterite'!$O$44</c:f>
                  <c:strCache>
                    <c:ptCount val="1"/>
                    <c:pt idx="0">
                      <c:v>CL-10 lollingite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{546DB588-6E8E-46A2-9B95-316C43547512}</c15:txfldGUID>
                      <c15:f>'Stannite-kesterite'!$O$44</c15:f>
                      <c15:dlblFieldTableCache>
                        <c:ptCount val="1"/>
                        <c:pt idx="0">
                          <c:v>CL-10 lollingite </c:v>
                        </c:pt>
                      </c15:dlblFieldTableCache>
                    </c15:dlblFTEntry>
                  </c15:dlblFieldTable>
                  <c15:showDataLabelsRange val="0"/>
                </c:ext>
                <c:ext xmlns:c16="http://schemas.microsoft.com/office/drawing/2014/chart" uri="{C3380CC4-5D6E-409C-BE32-E72D297353CC}">
                  <c16:uniqueId val="{0000002A-20B6-4C81-A7D7-F3716F0FC414}"/>
                </c:ext>
              </c:extLst>
            </c:dLbl>
            <c:dLbl>
              <c:idx val="43"/>
              <c:tx>
                <c:strRef>
                  <c:f>'Stannite-kesterite'!$O$45</c:f>
                  <c:strCache>
                    <c:ptCount val="1"/>
                    <c:pt idx="0">
                      <c:v>CL-10 lollingite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{B97AC290-3A38-4A8A-A573-2DA68E39CD2E}</c15:txfldGUID>
                      <c15:f>'Stannite-kesterite'!$O$45</c15:f>
                      <c15:dlblFieldTableCache>
                        <c:ptCount val="1"/>
                        <c:pt idx="0">
                          <c:v>CL-10 lollingite </c:v>
                        </c:pt>
                      </c15:dlblFieldTableCache>
                    </c15:dlblFTEntry>
                  </c15:dlblFieldTable>
                  <c15:showDataLabelsRange val="0"/>
                </c:ext>
                <c:ext xmlns:c16="http://schemas.microsoft.com/office/drawing/2014/chart" uri="{C3380CC4-5D6E-409C-BE32-E72D297353CC}">
                  <c16:uniqueId val="{0000002B-20B6-4C81-A7D7-F3716F0FC414}"/>
                </c:ext>
              </c:extLst>
            </c:dLbl>
            <c:dLbl>
              <c:idx val="44"/>
              <c:tx>
                <c:strRef>
                  <c:f>'Stannite-kesterite'!$O$46</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{5B0585F9-D80F-4472-BB93-F3C6161BB92D}</c15:txfldGUID>
                      <c15:f>'Stannite-kesterite'!$O$46</c15:f>
                      <c15:dlblFieldTableCache>
                        <c:ptCount val="1"/>
                        <c:pt idx="0">
                          <c:v>HD-01 stannite </c:v>
                        </c:pt>
                      </c15:dlblFieldTableCache>
                    </c15:dlblFTEntry>
                  </c15:dlblFieldTable>
                  <c15:showDataLabelsRange val="0"/>
                </c:ext>
                <c:ext xmlns:c16="http://schemas.microsoft.com/office/drawing/2014/chart" uri="{C3380CC4-5D6E-409C-BE32-E72D297353CC}">
                  <c16:uniqueId val="{0000002C-20B6-4C81-A7D7-F3716F0FC414}"/>
                </c:ext>
              </c:extLst>
            </c:dLbl>
            <c:dLbl>
              <c:idx val="45"/>
              <c:tx>
                <c:strRef>
                  <c:f>'Stannite-kesterite'!$O$47</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{A0B13945-8624-49A0-BF39-A4006B50B36A}</c15:txfldGUID>
                      <c15:f>'Stannite-kesterite'!$O$47</c15:f>
                      <c15:dlblFieldTableCache>
                        <c:ptCount val="1"/>
                        <c:pt idx="0">
                          <c:v>HD-01 stannite? </c:v>
                        </c:pt>
                      </c15:dlblFieldTableCache>
                    </c15:dlblFTEntry>
                  </c15:dlblFieldTable>
                  <c15:showDataLabelsRange val="0"/>
                </c:ext>
                <c:ext xmlns:c16="http://schemas.microsoft.com/office/drawing/2014/chart" uri="{C3380CC4-5D6E-409C-BE32-E72D297353CC}">
                  <c16:uniqueId val="{0000002D-20B6-4C81-A7D7-F3716F0FC414}"/>
                </c:ext>
              </c:extLst>
            </c:dLbl>
            <c:dLbl>
              <c:idx val="46"/>
              <c:tx>
                <c:strRef>
                  <c:f>'Stannite-kesterite'!$O$48</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{81A7C74E-21A1-4A4D-8A1F-F3696B5AA0F6}</c15:txfldGUID>
                      <c15:f>'Stannite-kesterite'!$O$48</c15:f>
                      <c15:dlblFieldTableCache>
                        <c:ptCount val="1"/>
                        <c:pt idx="0">
                          <c:v>HD-01 stannite? </c:v>
                        </c:pt>
                      </c15:dlblFieldTableCache>
                    </c15:dlblFTEntry>
                  </c15:dlblFieldTable>
                  <c15:showDataLabelsRange val="0"/>
                </c:ext>
                <c:ext xmlns:c16="http://schemas.microsoft.com/office/drawing/2014/chart" uri="{C3380CC4-5D6E-409C-BE32-E72D297353CC}">
                  <c16:uniqueId val="{0000002E-20B6-4C81-A7D7-F3716F0FC414}"/>
                </c:ext>
              </c:extLst>
            </c:dLbl>
            <c:dLbl>
              <c:idx val="47"/>
              <c:tx>
                <c:strRef>
                  <c:f>'Stannite-kesterite'!$O$49</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{68AF8775-A570-4065-984C-C90DF7EBF14C}</c15:txfldGUID>
                      <c15:f>'Stannite-kesterite'!$O$49</c15:f>
                      <c15:dlblFieldTableCache>
                        <c:ptCount val="1"/>
                        <c:pt idx="0">
                          <c:v>HD-01 stannite? </c:v>
                        </c:pt>
                      </c15:dlblFieldTableCache>
                    </c15:dlblFTEntry>
                  </c15:dlblFieldTable>
                  <c15:showDataLabelsRange val="0"/>
                </c:ext>
                <c:ext xmlns:c16="http://schemas.microsoft.com/office/drawing/2014/chart" uri="{C3380CC4-5D6E-409C-BE32-E72D297353CC}">
                  <c16:uniqueId val="{0000002F-20B6-4C81-A7D7-F3716F0FC414}"/>
                </c:ext>
              </c:extLst>
            </c:dLbl>
            <c:dLbl>
              <c:idx val="48"/>
              <c:tx>
                <c:strRef>
                  <c:f>'Stannite-kesterite'!$O$50</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{BBF299ED-6F8E-4F77-A644-80BC6D550CC5}</c15:txfldGUID>
                      <c15:f>'Stannite-kesterite'!$O$50</c15:f>
                      <c15:dlblFieldTableCache>
                        <c:ptCount val="1"/>
                        <c:pt idx="0">
                          <c:v>HD-01 stannite? </c:v>
                        </c:pt>
                      </c15:dlblFieldTableCache>
                    </c15:dlblFTEntry>
                  </c15:dlblFieldTable>
                  <c15:showDataLabelsRange val="0"/>
                </c:ext>
                <c:ext xmlns:c16="http://schemas.microsoft.com/office/drawing/2014/chart" uri="{C3380CC4-5D6E-409C-BE32-E72D297353CC}">
                  <c16:uniqueId val="{00000030-20B6-4C81-A7D7-F3716F0FC414}"/>
                </c:ext>
              </c:extLst>
            </c:dLbl>
            <c:dLbl>
              <c:idx val="49"/>
              <c:tx>
                <c:strRef>
                  <c:f>'Stannite-kesterite'!$O$51</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{CBFA0F3B-B312-48A4-80E1-37B5D2DD0AA0}</c15:txfldGUID>
                      <c15:f>'Stannite-kesterite'!$O$51</c15:f>
                      <c15:dlblFieldTableCache>
                        <c:ptCount val="1"/>
                        <c:pt idx="0">
                          <c:v>HD-01 stannite </c:v>
                        </c:pt>
                      </c15:dlblFieldTableCache>
                    </c15:dlblFTEntry>
                  </c15:dlblFieldTable>
                  <c15:showDataLabelsRange val="0"/>
                </c:ext>
                <c:ext xmlns:c16="http://schemas.microsoft.com/office/drawing/2014/chart" uri="{C3380CC4-5D6E-409C-BE32-E72D297353CC}">
                  <c16:uniqueId val="{00000031-20B6-4C81-A7D7-F3716F0FC414}"/>
                </c:ext>
              </c:extLst>
            </c:dLbl>
            <c:dLbl>
              <c:idx val="50"/>
              <c:tx>
                <c:strRef>
                  <c:f>'Stannite-kesterite'!$O$52</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{27111197-5537-41BC-AAAF-D09664E737E6}</c15:txfldGUID>
                      <c15:f>'Stannite-kesterite'!$O$52</c15:f>
                      <c15:dlblFieldTableCache>
                        <c:ptCount val="1"/>
                        <c:pt idx="0">
                          <c:v>HD-01 stannite </c:v>
                        </c:pt>
                      </c15:dlblFieldTableCache>
                    </c15:dlblFTEntry>
                  </c15:dlblFieldTable>
                  <c15:showDataLabelsRange val="0"/>
                </c:ext>
                <c:ext xmlns:c16="http://schemas.microsoft.com/office/drawing/2014/chart" uri="{C3380CC4-5D6E-409C-BE32-E72D297353CC}">
                  <c16:uniqueId val="{00000032-20B6-4C81-A7D7-F3716F0FC414}"/>
                </c:ext>
              </c:extLst>
            </c:dLbl>
            <c:dLbl>
              <c:idx val="51"/>
              <c:tx>
                <c:strRef>
                  <c:f>'Stannite-kesterite'!$O$53</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{41682F7B-B43D-4EF8-9E79-EC1BB86805A1}</c15:txfldGUID>
                      <c15:f>'Stannite-kesterite'!$O$53</c15:f>
                      <c15:dlblFieldTableCache>
                        <c:ptCount val="1"/>
                        <c:pt idx="0">
                          <c:v>HD-01 stannite? </c:v>
                        </c:pt>
                      </c15:dlblFieldTableCache>
                    </c15:dlblFTEntry>
                  </c15:dlblFieldTable>
                  <c15:showDataLabelsRange val="0"/>
                </c:ext>
                <c:ext xmlns:c16="http://schemas.microsoft.com/office/drawing/2014/chart" uri="{C3380CC4-5D6E-409C-BE32-E72D297353CC}">
                  <c16:uniqueId val="{00000033-20B6-4C81-A7D7-F3716F0FC414}"/>
                </c:ext>
              </c:extLst>
            </c:dLbl>
            <c:dLbl>
              <c:idx val="52"/>
              <c:tx>
                <c:strRef>
                  <c:f>'Stannite-kesterite'!$O$54</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{704C6EC7-4BCA-4D9A-B82D-502E7193E0DF}</c15:txfldGUID>
                      <c15:f>'Stannite-kesterite'!$O$54</c15:f>
                      <c15:dlblFieldTableCache>
                        <c:ptCount val="1"/>
                        <c:pt idx="0">
                          <c:v>HD-01 stannite </c:v>
                        </c:pt>
                      </c15:dlblFieldTableCache>
                    </c15:dlblFTEntry>
                  </c15:dlblFieldTable>
                  <c15:showDataLabelsRange val="0"/>
                </c:ext>
                <c:ext xmlns:c16="http://schemas.microsoft.com/office/drawing/2014/chart" uri="{C3380CC4-5D6E-409C-BE32-E72D297353CC}">
                  <c16:uniqueId val="{00000034-20B6-4C81-A7D7-F3716F0FC414}"/>
                </c:ext>
              </c:extLst>
            </c:dLbl>
            <c:dLbl>
              <c:idx val="53"/>
              <c:tx>
                <c:strRef>
                  <c:f>'Stannite-kesterite'!$O$55</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{7E832A35-688B-4331-AE51-15E1601049C2}</c15:txfldGUID>
                      <c15:f>'Stannite-kesterite'!$O$55</c15:f>
                      <c15:dlblFieldTableCache>
                        <c:ptCount val="1"/>
                        <c:pt idx="0">
                          <c:v>HD-01 stannite? </c:v>
                        </c:pt>
                      </c15:dlblFieldTableCache>
                    </c15:dlblFTEntry>
                  </c15:dlblFieldTable>
                  <c15:showDataLabelsRange val="0"/>
                </c:ext>
                <c:ext xmlns:c16="http://schemas.microsoft.com/office/drawing/2014/chart" uri="{C3380CC4-5D6E-409C-BE32-E72D297353CC}">
                  <c16:uniqueId val="{00000035-20B6-4C81-A7D7-F3716F0FC414}"/>
                </c:ext>
              </c:extLst>
            </c:dLbl>
            <c:dLbl>
              <c:idx val="54"/>
              <c:tx>
                <c:strRef>
                  <c:f>'Stannite-kesterite'!$O$56</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{1B041AE8-7631-42A5-8294-E674D5F396D1}</c15:txfldGUID>
                      <c15:f>'Stannite-kesterite'!$O$56</c15:f>
                      <c15:dlblFieldTableCache>
                        <c:ptCount val="1"/>
                        <c:pt idx="0">
                          <c:v>HD-01 stannite </c:v>
                        </c:pt>
                      </c15:dlblFieldTableCache>
                    </c15:dlblFTEntry>
                  </c15:dlblFieldTable>
                  <c15:showDataLabelsRange val="0"/>
                </c:ext>
                <c:ext xmlns:c16="http://schemas.microsoft.com/office/drawing/2014/chart" uri="{C3380CC4-5D6E-409C-BE32-E72D297353CC}">
                  <c16:uniqueId val="{00000036-20B6-4C81-A7D7-F3716F0FC414}"/>
                </c:ext>
              </c:extLst>
            </c:dLbl>
            <c:dLbl>
              <c:idx val="55"/>
              <c:tx>
                <c:strRef>
                  <c:f>'Stannite-kesterite'!$O$57</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{2DC38844-590A-4A7B-AF29-162CAB84D4C6}</c15:txfldGUID>
                      <c15:f>'Stannite-kesterite'!$O$57</c15:f>
                      <c15:dlblFieldTableCache>
                        <c:ptCount val="1"/>
                        <c:pt idx="0">
                          <c:v>HD-01 stannite </c:v>
                        </c:pt>
                      </c15:dlblFieldTableCache>
                    </c15:dlblFTEntry>
                  </c15:dlblFieldTable>
                  <c15:showDataLabelsRange val="0"/>
                </c:ext>
                <c:ext xmlns:c16="http://schemas.microsoft.com/office/drawing/2014/chart" uri="{C3380CC4-5D6E-409C-BE32-E72D297353CC}">
                  <c16:uniqueId val="{00000037-20B6-4C81-A7D7-F3716F0FC414}"/>
                </c:ext>
              </c:extLst>
            </c:dLbl>
            <c:dLbl>
              <c:idx val="56"/>
              <c:tx>
                <c:strRef>
                  <c:f>'Stannite-kesterite'!$O$58</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{70E2BEE0-46A6-46F0-91C9-0D63460EA34D}</c15:txfldGUID>
                      <c15:f>'Stannite-kesterite'!$O$58</c15:f>
                      <c15:dlblFieldTableCache>
                        <c:ptCount val="1"/>
                        <c:pt idx="0">
                          <c:v>HD-01 stannite </c:v>
                        </c:pt>
                      </c15:dlblFieldTableCache>
                    </c15:dlblFTEntry>
                  </c15:dlblFieldTable>
                  <c15:showDataLabelsRange val="0"/>
                </c:ext>
                <c:ext xmlns:c16="http://schemas.microsoft.com/office/drawing/2014/chart" uri="{C3380CC4-5D6E-409C-BE32-E72D297353CC}">
                  <c16:uniqueId val="{00000038-20B6-4C81-A7D7-F3716F0FC414}"/>
                </c:ext>
              </c:extLst>
            </c:dLbl>
            <c:dLbl>
              <c:idx val="57"/>
              <c:tx>
                <c:strRef>
                  <c:f>'Stannite-kesterite'!$O$59</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{3B2CDBA6-C1E0-43A8-92A2-A1614957A3D0}</c15:txfldGUID>
                      <c15:f>'Stannite-kesterite'!$O$59</c15:f>
                      <c15:dlblFieldTableCache>
                        <c:ptCount val="1"/>
                        <c:pt idx="0">
                          <c:v>HD-01 stannite </c:v>
                        </c:pt>
                      </c15:dlblFieldTableCache>
                    </c15:dlblFTEntry>
                  </c15:dlblFieldTable>
                  <c15:showDataLabelsRange val="0"/>
                </c:ext>
                <c:ext xmlns:c16="http://schemas.microsoft.com/office/drawing/2014/chart" uri="{C3380CC4-5D6E-409C-BE32-E72D297353CC}">
                  <c16:uniqueId val="{00000039-20B6-4C81-A7D7-F3716F0FC414}"/>
                </c:ext>
              </c:extLst>
            </c:dLbl>
            <c:dLbl>
              <c:idx val="58"/>
              <c:tx>
                <c:strRef>
                  <c:f>'Stannite-kesterite'!$O$60</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{C814F5E6-6A5C-4457-93E3-7F58B0DDBFA1}</c15:txfldGUID>
                      <c15:f>'Stannite-kesterite'!$O$60</c15:f>
                      <c15:dlblFieldTableCache>
                        <c:ptCount val="1"/>
                        <c:pt idx="0">
                          <c:v>HD-01 stannite </c:v>
                        </c:pt>
                      </c15:dlblFieldTableCache>
                    </c15:dlblFTEntry>
                  </c15:dlblFieldTable>
                  <c15:showDataLabelsRange val="0"/>
                </c:ext>
                <c:ext xmlns:c16="http://schemas.microsoft.com/office/drawing/2014/chart" uri="{C3380CC4-5D6E-409C-BE32-E72D297353CC}">
                  <c16:uniqueId val="{0000003A-20B6-4C81-A7D7-F3716F0FC414}"/>
                </c:ext>
              </c:extLst>
            </c:dLbl>
            <c:dLbl>
              <c:idx val="59"/>
              <c:tx>
                <c:strRef>
                  <c:f>'Stannite-kesterite'!$O$61</c:f>
                  <c:strCache>
                    <c:ptCount val="1"/>
                    <c:pt idx="0">
                      <c:v>HD-01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{CEA24C21-BF21-4F8F-96E5-4D9A1B1D8A3F}</c15:txfldGUID>
                      <c15:f>'Stannite-kesterite'!$O$61</c15:f>
                      <c15:dlblFieldTableCache>
                        <c:ptCount val="1"/>
                        <c:pt idx="0">
                          <c:v>HD-01 stannite </c:v>
                        </c:pt>
                      </c15:dlblFieldTableCache>
                    </c15:dlblFTEntry>
                  </c15:dlblFieldTable>
                  <c15:showDataLabelsRange val="0"/>
                </c:ext>
                <c:ext xmlns:c16="http://schemas.microsoft.com/office/drawing/2014/chart" uri="{C3380CC4-5D6E-409C-BE32-E72D297353CC}">
                  <c16:uniqueId val="{0000003B-20B6-4C81-A7D7-F3716F0FC414}"/>
                </c:ext>
              </c:extLst>
            </c:dLbl>
            <c:dLbl>
              <c:idx val="60"/>
              <c:tx>
                <c:strRef>
                  <c:f>'Stannite-kesterite'!$O$62</c:f>
                  <c:strCache>
                    <c:ptCount val="1"/>
                    <c:pt idx="0">
                      <c:v>206-208.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{11D60758-6BBF-471A-B9CB-C15505C98ED3}</c15:txfldGUID>
                      <c15:f>'Stannite-kesterite'!$O$62</c15:f>
                      <c15:dlblFieldTableCache>
                        <c:ptCount val="1"/>
                        <c:pt idx="0">
                          <c:v>206-208. </c:v>
                        </c:pt>
                      </c15:dlblFieldTableCache>
                    </c15:dlblFTEntry>
                  </c15:dlblFieldTable>
                  <c15:showDataLabelsRange val="0"/>
                </c:ext>
                <c:ext xmlns:c16="http://schemas.microsoft.com/office/drawing/2014/chart" uri="{C3380CC4-5D6E-409C-BE32-E72D297353CC}">
                  <c16:uniqueId val="{0000003C-20B6-4C81-A7D7-F3716F0FC414}"/>
                </c:ext>
              </c:extLst>
            </c:dLbl>
            <c:dLbl>
              <c:idx val="61"/>
              <c:tx>
                <c:strRef>
                  <c:f>'Stannite-kesterite'!$O$63</c:f>
                  <c:strCache>
                    <c:ptCount val="1"/>
                    <c:pt idx="0">
                      <c:v>206-208.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{CD6BC759-1C30-418B-9E17-C8A435852487}</c15:txfldGUID>
                      <c15:f>'Stannite-kesterite'!$O$63</c15:f>
                      <c15:dlblFieldTableCache>
                        <c:ptCount val="1"/>
                        <c:pt idx="0">
                          <c:v>206-208. </c:v>
                        </c:pt>
                      </c15:dlblFieldTableCache>
                    </c15:dlblFTEntry>
                  </c15:dlblFieldTable>
                  <c15:showDataLabelsRange val="0"/>
                </c:ext>
                <c:ext xmlns:c16="http://schemas.microsoft.com/office/drawing/2014/chart" uri="{C3380CC4-5D6E-409C-BE32-E72D297353CC}">
                  <c16:uniqueId val="{0000003D-20B6-4C81-A7D7-F3716F0FC414}"/>
                </c:ext>
              </c:extLst>
            </c:dLbl>
            <c:dLbl>
              <c:idx val="62"/>
              <c:tx>
                <c:strRef>
                  <c:f>'Stannite-kesterite'!$O$64</c:f>
                  <c:strCache>
                    <c:ptCount val="1"/>
                    <c:pt idx="0">
                      <c:v>206-208.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{6DB9F840-9747-4289-8993-141223D795F0}</c15:txfldGUID>
                      <c15:f>'Stannite-kesterite'!$O$64</c15:f>
                      <c15:dlblFieldTableCache>
                        <c:ptCount val="1"/>
                        <c:pt idx="0">
                          <c:v>206-208. </c:v>
                        </c:pt>
                      </c15:dlblFieldTableCache>
                    </c15:dlblFTEntry>
                  </c15:dlblFieldTable>
                  <c15:showDataLabelsRange val="0"/>
                </c:ext>
                <c:ext xmlns:c16="http://schemas.microsoft.com/office/drawing/2014/chart" uri="{C3380CC4-5D6E-409C-BE32-E72D297353CC}">
                  <c16:uniqueId val="{0000003E-20B6-4C81-A7D7-F3716F0FC414}"/>
                </c:ext>
              </c:extLst>
            </c:dLbl>
            <c:dLbl>
              <c:idx val="63"/>
              <c:tx>
                <c:strRef>
                  <c:f>'Stannite-kesterite'!$O$65</c:f>
                  <c:strCache>
                    <c:ptCount val="1"/>
                    <c:pt idx="0">
                      <c:v>206-208.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{C23418EF-DEEB-47B9-8C7E-9DB0863E757A}</c15:txfldGUID>
                      <c15:f>'Stannite-kesterite'!$O$65</c15:f>
                      <c15:dlblFieldTableCache>
                        <c:ptCount val="1"/>
                        <c:pt idx="0">
                          <c:v>206-208. </c:v>
                        </c:pt>
                      </c15:dlblFieldTableCache>
                    </c15:dlblFTEntry>
                  </c15:dlblFieldTable>
                  <c15:showDataLabelsRange val="0"/>
                </c:ext>
                <c:ext xmlns:c16="http://schemas.microsoft.com/office/drawing/2014/chart" uri="{C3380CC4-5D6E-409C-BE32-E72D297353CC}">
                  <c16:uniqueId val="{0000003F-20B6-4C81-A7D7-F3716F0FC414}"/>
                </c:ext>
              </c:extLst>
            </c:dLbl>
            <c:dLbl>
              <c:idx val="64"/>
              <c:tx>
                <c:strRef>
                  <c:f>'Stannite-kesterite'!$O$66</c:f>
                  <c:strCache>
                    <c:ptCount val="1"/>
                    <c:pt idx="0">
                      <c:v>206-208.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{FA59BA27-73FE-4C22-8CB8-386FEDBDA5DE}</c15:txfldGUID>
                      <c15:f>'Stannite-kesterite'!$O$66</c15:f>
                      <c15:dlblFieldTableCache>
                        <c:ptCount val="1"/>
                        <c:pt idx="0">
                          <c:v>206-208. </c:v>
                        </c:pt>
                      </c15:dlblFieldTableCache>
                    </c15:dlblFTEntry>
                  </c15:dlblFieldTable>
                  <c15:showDataLabelsRange val="0"/>
                </c:ext>
                <c:ext xmlns:c16="http://schemas.microsoft.com/office/drawing/2014/chart" uri="{C3380CC4-5D6E-409C-BE32-E72D297353CC}">
                  <c16:uniqueId val="{00000040-20B6-4C81-A7D7-F3716F0FC414}"/>
                </c:ext>
              </c:extLst>
            </c:dLbl>
            <c:dLbl>
              <c:idx val="65"/>
              <c:tx>
                <c:strRef>
                  <c:f>'Stannite-kesterite'!$O$67</c:f>
                  <c:strCache>
                    <c:ptCount val="1"/>
                    <c:pt idx="0">
                      <c:v>206-208.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{BDEC46FF-2BE9-4C29-8021-7B50A0CE0892}</c15:txfldGUID>
                      <c15:f>'Stannite-kesterite'!$O$67</c15:f>
                      <c15:dlblFieldTableCache>
                        <c:ptCount val="1"/>
                        <c:pt idx="0">
                          <c:v>206-208. </c:v>
                        </c:pt>
                      </c15:dlblFieldTableCache>
                    </c15:dlblFTEntry>
                  </c15:dlblFieldTable>
                  <c15:showDataLabelsRange val="0"/>
                </c:ext>
                <c:ext xmlns:c16="http://schemas.microsoft.com/office/drawing/2014/chart" uri="{C3380CC4-5D6E-409C-BE32-E72D297353CC}">
                  <c16:uniqueId val="{00000041-20B6-4C81-A7D7-F3716F0FC414}"/>
                </c:ext>
              </c:extLst>
            </c:dLbl>
            <c:dLbl>
              <c:idx val="66"/>
              <c:tx>
                <c:strRef>
                  <c:f>'Stannite-kesterite'!$O$68</c:f>
                  <c:strCache>
                    <c:ptCount val="1"/>
                    <c:pt idx="0">
                      <c:v>206-208.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{1B01EAC2-F9CF-4B73-AFF3-7000CAEEAFD9}</c15:txfldGUID>
                      <c15:f>'Stannite-kesterite'!$O$68</c15:f>
                      <c15:dlblFieldTableCache>
                        <c:ptCount val="1"/>
                        <c:pt idx="0">
                          <c:v>206-208. </c:v>
                        </c:pt>
                      </c15:dlblFieldTableCache>
                    </c15:dlblFTEntry>
                  </c15:dlblFieldTable>
                  <c15:showDataLabelsRange val="0"/>
                </c:ext>
                <c:ext xmlns:c16="http://schemas.microsoft.com/office/drawing/2014/chart" uri="{C3380CC4-5D6E-409C-BE32-E72D297353CC}">
                  <c16:uniqueId val="{00000042-20B6-4C81-A7D7-F3716F0FC414}"/>
                </c:ext>
              </c:extLst>
            </c:dLbl>
            <c:dLbl>
              <c:idx val="67"/>
              <c:tx>
                <c:strRef>
                  <c:f>'Stannite-kesterite'!$O$69</c:f>
                  <c:strCache>
                    <c:ptCount val="1"/>
                    <c:pt idx="0">
                      <c:v>DGC-04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{4041616C-1CDC-4979-B390-69E2D6F770B6}</c15:txfldGUID>
                      <c15:f>'Stannite-kesterite'!$O$69</c15:f>
                      <c15:dlblFieldTableCache>
                        <c:ptCount val="1"/>
                        <c:pt idx="0">
                          <c:v>DGC-04 stannite </c:v>
                        </c:pt>
                      </c15:dlblFieldTableCache>
                    </c15:dlblFTEntry>
                  </c15:dlblFieldTable>
                  <c15:showDataLabelsRange val="0"/>
                </c:ext>
                <c:ext xmlns:c16="http://schemas.microsoft.com/office/drawing/2014/chart" uri="{C3380CC4-5D6E-409C-BE32-E72D297353CC}">
                  <c16:uniqueId val="{00000043-20B6-4C81-A7D7-F3716F0FC414}"/>
                </c:ext>
              </c:extLst>
            </c:dLbl>
            <c:dLbl>
              <c:idx val="68"/>
              <c:tx>
                <c:strRef>
                  <c:f>'Stannite-kesterite'!$O$70</c:f>
                  <c:strCache>
                    <c:ptCount val="1"/>
                    <c:pt idx="0">
                      <c:v>DGC-04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{1D86C7FF-D3F4-4AA8-9491-E7EA4CB3BB00}</c15:txfldGUID>
                      <c15:f>'Stannite-kesterite'!$O$70</c15:f>
                      <c15:dlblFieldTableCache>
                        <c:ptCount val="1"/>
                        <c:pt idx="0">
                          <c:v>DGC-04 stannite </c:v>
                        </c:pt>
                      </c15:dlblFieldTableCache>
                    </c15:dlblFTEntry>
                  </c15:dlblFieldTable>
                  <c15:showDataLabelsRange val="0"/>
                </c:ext>
                <c:ext xmlns:c16="http://schemas.microsoft.com/office/drawing/2014/chart" uri="{C3380CC4-5D6E-409C-BE32-E72D297353CC}">
                  <c16:uniqueId val="{00000044-20B6-4C81-A7D7-F3716F0FC414}"/>
                </c:ext>
              </c:extLst>
            </c:dLbl>
            <c:dLbl>
              <c:idx val="69"/>
              <c:tx>
                <c:strRef>
                  <c:f>'Stannite-kesterite'!$O$71</c:f>
                  <c:strCache>
                    <c:ptCount val="1"/>
                    <c:pt idx="0">
                      <c:v>DGC-04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{52392015-1C05-4A69-814D-0055C5B15D23}</c15:txfldGUID>
                      <c15:f>'Stannite-kesterite'!$O$71</c15:f>
                      <c15:dlblFieldTableCache>
                        <c:ptCount val="1"/>
                        <c:pt idx="0">
                          <c:v>DGC-04 stannite </c:v>
                        </c:pt>
                      </c15:dlblFieldTableCache>
                    </c15:dlblFTEntry>
                  </c15:dlblFieldTable>
                  <c15:showDataLabelsRange val="0"/>
                </c:ext>
                <c:ext xmlns:c16="http://schemas.microsoft.com/office/drawing/2014/chart" uri="{C3380CC4-5D6E-409C-BE32-E72D297353CC}">
                  <c16:uniqueId val="{00000045-20B6-4C81-A7D7-F3716F0FC414}"/>
                </c:ext>
              </c:extLst>
            </c:dLbl>
            <c:dLbl>
              <c:idx val="70"/>
              <c:tx>
                <c:strRef>
                  <c:f>'Stannite-kesterite'!$O$72</c:f>
                  <c:strCache>
                    <c:ptCount val="1"/>
                    <c:pt idx="0">
                      <c:v>DGC-04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{CE90CCB8-2764-4BDA-97A8-0301A7149803}</c15:txfldGUID>
                      <c15:f>'Stannite-kesterite'!$O$72</c15:f>
                      <c15:dlblFieldTableCache>
                        <c:ptCount val="1"/>
                        <c:pt idx="0">
                          <c:v>DGC-04 stannite </c:v>
                        </c:pt>
                      </c15:dlblFieldTableCache>
                    </c15:dlblFTEntry>
                  </c15:dlblFieldTable>
                  <c15:showDataLabelsRange val="0"/>
                </c:ext>
                <c:ext xmlns:c16="http://schemas.microsoft.com/office/drawing/2014/chart" uri="{C3380CC4-5D6E-409C-BE32-E72D297353CC}">
                  <c16:uniqueId val="{00000046-20B6-4C81-A7D7-F3716F0FC414}"/>
                </c:ext>
              </c:extLst>
            </c:dLbl>
            <c:dLbl>
              <c:idx val="71"/>
              <c:tx>
                <c:strRef>
                  <c:f>'Stannite-kesterite'!$O$73</c:f>
                  <c:strCache>
                    <c:ptCount val="1"/>
                    <c:pt idx="0">
                      <c:v>DGC-04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{B24420B1-5747-424E-9C5E-F3E6F0F4795D}</c15:txfldGUID>
                      <c15:f>'Stannite-kesterite'!$O$73</c15:f>
                      <c15:dlblFieldTableCache>
                        <c:ptCount val="1"/>
                        <c:pt idx="0">
                          <c:v>DGC-04 stannite </c:v>
                        </c:pt>
                      </c15:dlblFieldTableCache>
                    </c15:dlblFTEntry>
                  </c15:dlblFieldTable>
                  <c15:showDataLabelsRange val="0"/>
                </c:ext>
                <c:ext xmlns:c16="http://schemas.microsoft.com/office/drawing/2014/chart" uri="{C3380CC4-5D6E-409C-BE32-E72D297353CC}">
                  <c16:uniqueId val="{00000047-20B6-4C81-A7D7-F3716F0FC414}"/>
                </c:ext>
              </c:extLst>
            </c:dLbl>
            <c:dLbl>
              <c:idx val="72"/>
              <c:tx>
                <c:strRef>
                  <c:f>'Stannite-kesterite'!$O$74</c:f>
                  <c:strCache>
                    <c:ptCount val="1"/>
                    <c:pt idx="0">
                      <c:v>DGC-04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{1B1F88C2-6DC6-4B91-8E44-4AE324703989}</c15:txfldGUID>
                      <c15:f>'Stannite-kesterite'!$O$74</c15:f>
                      <c15:dlblFieldTableCache>
                        <c:ptCount val="1"/>
                        <c:pt idx="0">
                          <c:v>DGC-04 stannite </c:v>
                        </c:pt>
                      </c15:dlblFieldTableCache>
                    </c15:dlblFTEntry>
                  </c15:dlblFieldTable>
                  <c15:showDataLabelsRange val="0"/>
                </c:ext>
                <c:ext xmlns:c16="http://schemas.microsoft.com/office/drawing/2014/chart" uri="{C3380CC4-5D6E-409C-BE32-E72D297353CC}">
                  <c16:uniqueId val="{00000048-20B6-4C81-A7D7-F3716F0FC414}"/>
                </c:ext>
              </c:extLst>
            </c:dLbl>
            <c:dLbl>
              <c:idx val="73"/>
              <c:tx>
                <c:strRef>
                  <c:f>'Stannite-kesterite'!$O$75</c:f>
                  <c:strCache>
                    <c:ptCount val="1"/>
                    <c:pt idx="0">
                      <c:v>DGC-05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{C0C7BF1E-C583-4BCC-ADA9-DA98047C78AA}</c15:txfldGUID>
                      <c15:f>'Stannite-kesterite'!$O$75</c15:f>
                      <c15:dlblFieldTableCache>
                        <c:ptCount val="1"/>
                        <c:pt idx="0">
                          <c:v>DGC-05 stannite </c:v>
                        </c:pt>
                      </c15:dlblFieldTableCache>
                    </c15:dlblFTEntry>
                  </c15:dlblFieldTable>
                  <c15:showDataLabelsRange val="0"/>
                </c:ext>
                <c:ext xmlns:c16="http://schemas.microsoft.com/office/drawing/2014/chart" uri="{C3380CC4-5D6E-409C-BE32-E72D297353CC}">
                  <c16:uniqueId val="{00000049-20B6-4C81-A7D7-F3716F0FC414}"/>
                </c:ext>
              </c:extLst>
            </c:dLbl>
            <c:dLbl>
              <c:idx val="74"/>
              <c:tx>
                <c:strRef>
                  <c:f>'Stannite-kesterite'!$O$76</c:f>
                  <c:strCache>
                    <c:ptCount val="1"/>
                    <c:pt idx="0">
                      <c:v>DGC-06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{695FA3B8-A687-4003-B9B4-FCAC6A935B5D}</c15:txfldGUID>
                      <c15:f>'Stannite-kesterite'!$O$76</c15:f>
                      <c15:dlblFieldTableCache>
                        <c:ptCount val="1"/>
                        <c:pt idx="0">
                          <c:v>DGC-06 stannite </c:v>
                        </c:pt>
                      </c15:dlblFieldTableCache>
                    </c15:dlblFTEntry>
                  </c15:dlblFieldTable>
                  <c15:showDataLabelsRange val="0"/>
                </c:ext>
                <c:ext xmlns:c16="http://schemas.microsoft.com/office/drawing/2014/chart" uri="{C3380CC4-5D6E-409C-BE32-E72D297353CC}">
                  <c16:uniqueId val="{0000004A-20B6-4C81-A7D7-F3716F0FC414}"/>
                </c:ext>
              </c:extLst>
            </c:dLbl>
            <c:dLbl>
              <c:idx val="75"/>
              <c:tx>
                <c:strRef>
                  <c:f>'Stannite-kesterite'!$O$77</c:f>
                  <c:strCache>
                    <c:ptCount val="1"/>
                    <c:pt idx="0">
                      <c:v>DGC-06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{EA1402B8-FB84-42E8-A844-390A0D5E78FC}</c15:txfldGUID>
                      <c15:f>'Stannite-kesterite'!$O$77</c15:f>
                      <c15:dlblFieldTableCache>
                        <c:ptCount val="1"/>
                        <c:pt idx="0">
                          <c:v>DGC-06 stannite </c:v>
                        </c:pt>
                      </c15:dlblFieldTableCache>
                    </c15:dlblFTEntry>
                  </c15:dlblFieldTable>
                  <c15:showDataLabelsRange val="0"/>
                </c:ext>
                <c:ext xmlns:c16="http://schemas.microsoft.com/office/drawing/2014/chart" uri="{C3380CC4-5D6E-409C-BE32-E72D297353CC}">
                  <c16:uniqueId val="{0000004B-20B6-4C81-A7D7-F3716F0FC414}"/>
                </c:ext>
              </c:extLst>
            </c:dLbl>
            <c:dLbl>
              <c:idx val="76"/>
              <c:tx>
                <c:strRef>
                  <c:f>'Stannite-kesterite'!$O$78</c:f>
                  <c:strCache>
                    <c:ptCount val="1"/>
                    <c:pt idx="0">
                      <c:v>DGC-06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{FD2107CB-A9D6-4477-9699-067DEDAB39AB}</c15:txfldGUID>
                      <c15:f>'Stannite-kesterite'!$O$78</c15:f>
                      <c15:dlblFieldTableCache>
                        <c:ptCount val="1"/>
                        <c:pt idx="0">
                          <c:v>DGC-06 stannite </c:v>
                        </c:pt>
                      </c15:dlblFieldTableCache>
                    </c15:dlblFTEntry>
                  </c15:dlblFieldTable>
                  <c15:showDataLabelsRange val="0"/>
                </c:ext>
                <c:ext xmlns:c16="http://schemas.microsoft.com/office/drawing/2014/chart" uri="{C3380CC4-5D6E-409C-BE32-E72D297353CC}">
                  <c16:uniqueId val="{0000004C-20B6-4C81-A7D7-F3716F0FC414}"/>
                </c:ext>
              </c:extLst>
            </c:dLbl>
            <c:dLbl>
              <c:idx val="77"/>
              <c:tx>
                <c:strRef>
                  <c:f>'Stannite-kesterite'!$O$79</c:f>
                  <c:strCache>
                    <c:ptCount val="1"/>
                    <c:pt idx="0">
                      <c:v>DGC-06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{DA256CB7-DD24-4695-8D34-A723A42FB501}</c15:txfldGUID>
                      <c15:f>'Stannite-kesterite'!$O$79</c15:f>
                      <c15:dlblFieldTableCache>
                        <c:ptCount val="1"/>
                        <c:pt idx="0">
                          <c:v>DGC-06 stannite </c:v>
                        </c:pt>
                      </c15:dlblFieldTableCache>
                    </c15:dlblFTEntry>
                  </c15:dlblFieldTable>
                  <c15:showDataLabelsRange val="0"/>
                </c:ext>
                <c:ext xmlns:c16="http://schemas.microsoft.com/office/drawing/2014/chart" uri="{C3380CC4-5D6E-409C-BE32-E72D297353CC}">
                  <c16:uniqueId val="{0000004D-20B6-4C81-A7D7-F3716F0FC414}"/>
                </c:ext>
              </c:extLst>
            </c:dLbl>
            <c:dLbl>
              <c:idx val="78"/>
              <c:tx>
                <c:strRef>
                  <c:f>'Stannite-kesterite'!$O$80</c:f>
                  <c:strCache>
                    <c:ptCount val="1"/>
                    <c:pt idx="0">
                      <c:v>DGC-06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{B97D1728-0095-4D78-B07D-D9E577322DBD}</c15:txfldGUID>
                      <c15:f>'Stannite-kesterite'!$O$80</c15:f>
                      <c15:dlblFieldTableCache>
                        <c:ptCount val="1"/>
                        <c:pt idx="0">
                          <c:v>DGC-06 stannite </c:v>
                        </c:pt>
                      </c15:dlblFieldTableCache>
                    </c15:dlblFTEntry>
                  </c15:dlblFieldTable>
                  <c15:showDataLabelsRange val="0"/>
                </c:ext>
                <c:ext xmlns:c16="http://schemas.microsoft.com/office/drawing/2014/chart" uri="{C3380CC4-5D6E-409C-BE32-E72D297353CC}">
                  <c16:uniqueId val="{0000004E-20B6-4C81-A7D7-F3716F0FC414}"/>
                </c:ext>
              </c:extLst>
            </c:dLbl>
            <c:dLbl>
              <c:idx val="79"/>
              <c:tx>
                <c:strRef>
                  <c:f>'Stannite-kesterite'!$O$81</c:f>
                  <c:strCache>
                    <c:ptCount val="1"/>
                    <c:pt idx="0">
                      <c:v>DGC-01 stannite </c:v>
                    </c:pt>
                  </c:strCache>
                </c:strRef>
              </c:tx>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{70EFC977-CDD3-4356-A355-78AD5AA0ED65}</c15:txfldGUID>
                      <c15:f>'Stannite-kesterite'!$O$81</c15:f>
                      <c15:dlblFieldTableCache>
                        <c:ptCount val="1"/>
                        <c:pt idx="0">
                          <c:v>DGC-01 stannite </c:v>
                        </c:pt>
                      </c15:dlblFieldTableCache>
                    </c15:dlblFTEntry>
                  </c15:dlblFieldTable>
                  <c15:showDataLabelsRange val="0"/>
                </c:ext>
                <c:ext xmlns:c16="http://schemas.microsoft.com/office/drawing/2014/chart" uri="{C3380CC4-5D6E-409C-BE32-E72D297353CC}">
                  <c16:uniqueId val="{0000004F-20B6-4C81-A7D7-F3716F0FC414}"/>
                </c:ext>
              </c:extLst>
            </c:dLbl>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'Stannite-kesterite'!$H$2:$H$81</c:f>
              <c:numCache>
                <c:formatCode>General</c:formatCode>
                <c:ptCount val="80"/>
                <c:pt idx="0">
                  <c:v>20.3</c:v>
                </c:pt>
                <c:pt idx="1">
                  <c:v>11.99</c:v>
                </c:pt>
                <c:pt idx="2">
                  <c:v>11.28</c:v>
                </c:pt>
                <c:pt idx="3">
                  <c:v>11.86</c:v>
                </c:pt>
                <c:pt idx="4">
                  <c:v>11.6</c:v>
                </c:pt>
                <c:pt idx="5">
                  <c:v>11.18</c:v>
                </c:pt>
                <c:pt idx="6">
                  <c:v>11.7</c:v>
                </c:pt>
                <c:pt idx="7">
                  <c:v>11.21</c:v>
                </c:pt>
                <c:pt idx="8">
                  <c:v>10.9</c:v>
                </c:pt>
                <c:pt idx="9">
                  <c:v>11.4</c:v>
                </c:pt>
                <c:pt idx="10">
                  <c:v>12.96</c:v>
                </c:pt>
                <c:pt idx="11">
                  <c:v>12.98</c:v>
                </c:pt>
                <c:pt idx="12">
                  <c:v>15.74</c:v>
                </c:pt>
                <c:pt idx="13">
                  <c:v>12.4</c:v>
                </c:pt>
                <c:pt idx="14">
                  <c:v>11.14</c:v>
                </c:pt>
                <c:pt idx="15">
                  <c:v>12.7</c:v>
                </c:pt>
                <c:pt idx="16">
                  <c:v>10.74</c:v>
                </c:pt>
                <c:pt idx="17">
                  <c:v>12.4</c:v>
                </c:pt>
                <c:pt idx="18">
                  <c:v>11.5</c:v>
                </c:pt>
                <c:pt idx="19">
                  <c:v>12.47</c:v>
                </c:pt>
                <c:pt idx="20">
                  <c:v>12.55</c:v>
                </c:pt>
                <c:pt idx="21">
                  <c:v>12.4</c:v>
                </c:pt>
                <c:pt idx="22">
                  <c:v>12.5</c:v>
                </c:pt>
                <c:pt idx="23">
                  <c:v>12.73</c:v>
                </c:pt>
                <c:pt idx="24">
                  <c:v>12.49</c:v>
                </c:pt>
                <c:pt idx="25">
                  <c:v>10.61</c:v>
                </c:pt>
                <c:pt idx="26">
                  <c:v>10.7</c:v>
                </c:pt>
                <c:pt idx="27">
                  <c:v>7.61</c:v>
                </c:pt>
                <c:pt idx="28">
                  <c:v>5.84</c:v>
                </c:pt>
                <c:pt idx="29">
                  <c:v>5.92</c:v>
                </c:pt>
                <c:pt idx="30">
                  <c:v>7.41</c:v>
                </c:pt>
                <c:pt idx="31">
                  <c:v>6.39</c:v>
                </c:pt>
                <c:pt idx="32">
                  <c:v>7.03</c:v>
                </c:pt>
                <c:pt idx="33">
                  <c:v>7.61</c:v>
                </c:pt>
                <c:pt idx="34">
                  <c:v>6.4</c:v>
                </c:pt>
                <c:pt idx="35">
                  <c:v>6.8</c:v>
                </c:pt>
                <c:pt idx="36">
                  <c:v>4.43</c:v>
                </c:pt>
                <c:pt idx="37">
                  <c:v>7.63</c:v>
                </c:pt>
                <c:pt idx="38">
                  <c:v>7.46</c:v>
                </c:pt>
                <c:pt idx="39">
                  <c:v>5.51</c:v>
                </c:pt>
                <c:pt idx="40">
                  <c:v>6.55</c:v>
                </c:pt>
                <c:pt idx="41">
                  <c:v>6.95</c:v>
                </c:pt>
                <c:pt idx="42">
                  <c:v>5.83</c:v>
                </c:pt>
                <c:pt idx="43">
                  <c:v>2.52</c:v>
                </c:pt>
                <c:pt idx="44">
                  <c:v>12.68</c:v>
                </c:pt>
                <c:pt idx="45">
                  <c:v>13.94</c:v>
                </c:pt>
                <c:pt idx="46">
                  <c:v>14.3</c:v>
                </c:pt>
                <c:pt idx="47">
                  <c:v>14.09</c:v>
                </c:pt>
                <c:pt idx="48">
                  <c:v>13.29</c:v>
                </c:pt>
                <c:pt idx="49">
                  <c:v>13.91</c:v>
                </c:pt>
                <c:pt idx="50">
                  <c:v>13.19</c:v>
                </c:pt>
                <c:pt idx="51">
                  <c:v>13.2</c:v>
                </c:pt>
                <c:pt idx="52">
                  <c:v>13.37</c:v>
                </c:pt>
                <c:pt idx="53">
                  <c:v>12.42</c:v>
                </c:pt>
                <c:pt idx="54">
                  <c:v>12.49</c:v>
                </c:pt>
                <c:pt idx="55">
                  <c:v>12.7</c:v>
                </c:pt>
                <c:pt idx="56">
                  <c:v>12.4</c:v>
                </c:pt>
                <c:pt idx="57">
                  <c:v>11.99</c:v>
                </c:pt>
                <c:pt idx="58">
                  <c:v>13.39</c:v>
                </c:pt>
                <c:pt idx="59">
                  <c:v>11.73</c:v>
                </c:pt>
                <c:pt idx="60">
                  <c:v>12.16</c:v>
                </c:pt>
                <c:pt idx="61">
                  <c:v>11.76</c:v>
                </c:pt>
                <c:pt idx="62">
                  <c:v>12.21</c:v>
                </c:pt>
                <c:pt idx="63">
                  <c:v>12.2</c:v>
                </c:pt>
                <c:pt idx="64">
                  <c:v>12.28</c:v>
                </c:pt>
                <c:pt idx="65">
                  <c:v>12</c:v>
                </c:pt>
                <c:pt idx="66">
                  <c:v>12.4</c:v>
                </c:pt>
                <c:pt idx="67">
                  <c:v>13.12</c:v>
                </c:pt>
                <c:pt idx="68">
                  <c:v>13.71</c:v>
                </c:pt>
                <c:pt idx="69">
                  <c:v>12.86</c:v>
                </c:pt>
                <c:pt idx="70">
                  <c:v>13.24</c:v>
                </c:pt>
                <c:pt idx="71">
                  <c:v>13.23</c:v>
                </c:pt>
                <c:pt idx="72">
                  <c:v>12.59</c:v>
                </c:pt>
                <c:pt idx="73">
                  <c:v>12.67</c:v>
                </c:pt>
                <c:pt idx="74">
                  <c:v>13.13</c:v>
                </c:pt>
                <c:pt idx="75">
                  <c:v>13.21</c:v>
                </c:pt>
                <c:pt idx="76">
                  <c:v>12.97</c:v>
                </c:pt>
                <c:pt idx="77">
                  <c:v>13.17</c:v>
                </c:pt>
                <c:pt idx="78">
                  <c:v>12.81</c:v>
                </c:pt>
                <c:pt idx="79">
                  <c:v>12.66</c:v>
                </c:pt>
              </c:numCache>
            </c:numRef>
          </c:xVal>
          <c:yVal>
            <c:numRef>
              <c:f>'Stannite-kesterite'!$L$2:$L$81</c:f>
              <c:numCache>
                <c:formatCode>General</c:formatCode>
                <c:ptCount val="80"/>
                <c:pt idx="0">
                  <c:v>1.75</c:v>
                </c:pt>
                <c:pt idx="1">
                  <c:v>3.01</c:v>
                </c:pt>
                <c:pt idx="2">
                  <c:v>2.82</c:v>
                </c:pt>
                <c:pt idx="3">
                  <c:v>2.84</c:v>
                </c:pt>
                <c:pt idx="4">
                  <c:v>2.9</c:v>
                </c:pt>
                <c:pt idx="5">
                  <c:v>3.18</c:v>
                </c:pt>
                <c:pt idx="6">
                  <c:v>3.28</c:v>
                </c:pt>
                <c:pt idx="7">
                  <c:v>3.2</c:v>
                </c:pt>
                <c:pt idx="8">
                  <c:v>4.33</c:v>
                </c:pt>
                <c:pt idx="9">
                  <c:v>3.55</c:v>
                </c:pt>
                <c:pt idx="10">
                  <c:v>1.3</c:v>
                </c:pt>
                <c:pt idx="11">
                  <c:v>1.26</c:v>
                </c:pt>
                <c:pt idx="12">
                  <c:v>6.19</c:v>
                </c:pt>
                <c:pt idx="13">
                  <c:v>1.17</c:v>
                </c:pt>
                <c:pt idx="14">
                  <c:v>5.35</c:v>
                </c:pt>
                <c:pt idx="15">
                  <c:v>1.36</c:v>
                </c:pt>
                <c:pt idx="16">
                  <c:v>5.95</c:v>
                </c:pt>
                <c:pt idx="17">
                  <c:v>1.32</c:v>
                </c:pt>
                <c:pt idx="18">
                  <c:v>4.78</c:v>
                </c:pt>
                <c:pt idx="19">
                  <c:v>1.18</c:v>
                </c:pt>
                <c:pt idx="20">
                  <c:v>1.17</c:v>
                </c:pt>
                <c:pt idx="21">
                  <c:v>1.22</c:v>
                </c:pt>
                <c:pt idx="22">
                  <c:v>1.24</c:v>
                </c:pt>
                <c:pt idx="23">
                  <c:v>1.44</c:v>
                </c:pt>
                <c:pt idx="24">
                  <c:v>1.23</c:v>
                </c:pt>
                <c:pt idx="25">
                  <c:v>7.79</c:v>
                </c:pt>
                <c:pt idx="26">
                  <c:v>9.1999999999999993</c:v>
                </c:pt>
                <c:pt idx="27">
                  <c:v>6.35</c:v>
                </c:pt>
                <c:pt idx="28">
                  <c:v>8.7200000000000006</c:v>
                </c:pt>
                <c:pt idx="29">
                  <c:v>8.51</c:v>
                </c:pt>
                <c:pt idx="30">
                  <c:v>7.12</c:v>
                </c:pt>
                <c:pt idx="31">
                  <c:v>8.15</c:v>
                </c:pt>
                <c:pt idx="32">
                  <c:v>7.43</c:v>
                </c:pt>
                <c:pt idx="33">
                  <c:v>6.89</c:v>
                </c:pt>
                <c:pt idx="34">
                  <c:v>8.1199999999999992</c:v>
                </c:pt>
                <c:pt idx="35">
                  <c:v>7.65</c:v>
                </c:pt>
                <c:pt idx="36">
                  <c:v>10.210000000000001</c:v>
                </c:pt>
                <c:pt idx="37">
                  <c:v>6.62</c:v>
                </c:pt>
                <c:pt idx="38">
                  <c:v>6.72</c:v>
                </c:pt>
                <c:pt idx="39">
                  <c:v>9.18</c:v>
                </c:pt>
                <c:pt idx="40">
                  <c:v>8.1199999999999992</c:v>
                </c:pt>
                <c:pt idx="41">
                  <c:v>8.89</c:v>
                </c:pt>
                <c:pt idx="42">
                  <c:v>9.9499999999999993</c:v>
                </c:pt>
                <c:pt idx="43">
                  <c:v>13.61</c:v>
                </c:pt>
                <c:pt idx="44">
                  <c:v>0.37</c:v>
                </c:pt>
                <c:pt idx="45">
                  <c:v>0.43540000000000001</c:v>
                </c:pt>
                <c:pt idx="46">
                  <c:v>0.54890000000000005</c:v>
                </c:pt>
                <c:pt idx="47">
                  <c:v>0.70669999999999999</c:v>
                </c:pt>
                <c:pt idx="48">
                  <c:v>1.36</c:v>
                </c:pt>
                <c:pt idx="49">
                  <c:v>1.37</c:v>
                </c:pt>
                <c:pt idx="50">
                  <c:v>1.48</c:v>
                </c:pt>
                <c:pt idx="51">
                  <c:v>1.48</c:v>
                </c:pt>
                <c:pt idx="52">
                  <c:v>1.93</c:v>
                </c:pt>
                <c:pt idx="53">
                  <c:v>2.08</c:v>
                </c:pt>
                <c:pt idx="54">
                  <c:v>2.1</c:v>
                </c:pt>
                <c:pt idx="55">
                  <c:v>2.14</c:v>
                </c:pt>
                <c:pt idx="56">
                  <c:v>2.29</c:v>
                </c:pt>
                <c:pt idx="57">
                  <c:v>2.56</c:v>
                </c:pt>
                <c:pt idx="58">
                  <c:v>2.62</c:v>
                </c:pt>
                <c:pt idx="59">
                  <c:v>2.87</c:v>
                </c:pt>
                <c:pt idx="60">
                  <c:v>5.16</c:v>
                </c:pt>
                <c:pt idx="61">
                  <c:v>4.5599999999999996</c:v>
                </c:pt>
                <c:pt idx="62">
                  <c:v>3.9</c:v>
                </c:pt>
                <c:pt idx="63">
                  <c:v>3.86</c:v>
                </c:pt>
                <c:pt idx="64">
                  <c:v>3.61</c:v>
                </c:pt>
                <c:pt idx="65">
                  <c:v>3.43</c:v>
                </c:pt>
                <c:pt idx="66">
                  <c:v>3.4</c:v>
                </c:pt>
                <c:pt idx="67">
                  <c:v>1.05</c:v>
                </c:pt>
                <c:pt idx="68">
                  <c:v>0.99980000000000002</c:v>
                </c:pt>
                <c:pt idx="69">
                  <c:v>0.90769999999999995</c:v>
                </c:pt>
                <c:pt idx="70">
                  <c:v>1.1000000000000001</c:v>
                </c:pt>
                <c:pt idx="71">
                  <c:v>1.2</c:v>
                </c:pt>
                <c:pt idx="72">
                  <c:v>0.8821</c:v>
                </c:pt>
                <c:pt idx="73">
                  <c:v>0.84450000000000003</c:v>
                </c:pt>
                <c:pt idx="74">
                  <c:v>1.82</c:v>
                </c:pt>
                <c:pt idx="75">
                  <c:v>1.1299999999999999</c:v>
                </c:pt>
                <c:pt idx="76">
                  <c:v>0.93540000000000001</c:v>
                </c:pt>
                <c:pt idx="77">
                  <c:v>0.8367</c:v>
                </c:pt>
                <c:pt idx="78">
                  <c:v>0.78620000000000001</c:v>
                </c:pt>
                <c:pt idx="79">
                  <c:v>1.32</c:v>
                </c:pt>
              </c:numCache>
            </c:numRef>
          </c:yVal>
          <c:smooth val="0"/>
          <c:extLst>
            <c:ext xmlns:c16="http://schemas.microsoft.com/office/drawing/2014/chart" uri="{C3380CC4-5D6E-409C-BE32-E72D297353CC}">
              <c16:uniqueId val="{00000050-20B6-4C81-A7D7-F3716F0FC414}"/>
            </c:ext>
          </c:extLst>
        </c:ser>
        <c:dLbls>
          <c:showLegendKey val="0"/>
          <c:showVal val="0"/>
          <c:showCatName val="0"/>
          <c:showSerName val="0"/>
          <c:showPercent val="0"/>
          <c:showBubbleSize val="0"/>
        </c:dLbls>
        <c:axId val="245452159"/>
        <c:axId val="1"/>
      </c:scatterChart>
      <c:valAx>
        <c:axId val="24545215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245452159"/>
        <c:crosses val="autoZero"/>
        <c:crossBetween val="midCat"/>
      </c:valAx>
      <c:spPr>
        <a:solidFill>
          <a:srgbClr val="C0C0C0"/>
        </a:solidFill>
        <a:ln w="12700">
          <a:solidFill>
            <a:srgbClr val="808080"/>
          </a:solidFill>
          <a:prstDash val="solid"/>
        </a:ln>
      </c:spPr>
    </c:plotArea>
    <c:legend>
      <c:legendPos val="r"/>
      <c:layout>
        <c:manualLayout>
          <c:xMode val="edge"/>
          <c:yMode val="edge"/>
          <c:wMode val="edge"/>
          <c:hMode val="edge"/>
          <c:x val="0.92882968007377453"/>
          <c:y val="0.50744416873449127"/>
          <c:w val="0.99279373862051024"/>
          <c:h val="0.53846153846153844"/>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7534599595168942"/>
          <c:y val="2.982107355864811E-2"/>
        </c:manualLayout>
      </c:layout>
      <c:overlay val="0"/>
      <c:spPr>
        <a:noFill/>
        <a:ln w="25400">
          <a:noFill/>
        </a:ln>
      </c:spPr>
      <c:txPr>
        <a:bodyPr/>
        <a:lstStyle/>
        <a:p>
          <a:pPr>
            <a:defRPr sz="825" b="0"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8.4812786637055132E-2"/>
          <c:y val="0.1312127236580517"/>
          <c:w val="0.86982416062654211"/>
          <c:h val="0.78727634194831009"/>
        </c:manualLayout>
      </c:layout>
      <c:scatterChart>
        <c:scatterStyle val="lineMarker"/>
        <c:varyColors val="0"/>
        <c:ser>
          <c:idx val="0"/>
          <c:order val="0"/>
          <c:tx>
            <c:strRef>
              <c:f>Cassiterite!$K$1</c:f>
              <c:strCache>
                <c:ptCount val="1"/>
                <c:pt idx="0">
                  <c:v>   Sn    </c:v>
                </c:pt>
              </c:strCache>
            </c:strRef>
          </c:tx>
          <c:spPr>
            <a:ln w="19050">
              <a:noFill/>
            </a:ln>
          </c:spPr>
          <c:marker>
            <c:symbol val="diamond"/>
            <c:size val="5"/>
            <c:spPr>
              <a:solidFill>
                <a:srgbClr val="000080"/>
              </a:solidFill>
              <a:ln>
                <a:solidFill>
                  <a:srgbClr val="000080"/>
                </a:solidFill>
                <a:prstDash val="solid"/>
              </a:ln>
            </c:spPr>
          </c:marker>
          <c:xVal>
            <c:numRef>
              <c:f>Cassiterite!$I$2:$I$169</c:f>
              <c:numCache>
                <c:formatCode>General</c:formatCode>
                <c:ptCount val="168"/>
                <c:pt idx="0">
                  <c:v>0.32379999999999998</c:v>
                </c:pt>
                <c:pt idx="1">
                  <c:v>0.29499999999999998</c:v>
                </c:pt>
                <c:pt idx="2">
                  <c:v>0.2737</c:v>
                </c:pt>
                <c:pt idx="3">
                  <c:v>0.31950000000000001</c:v>
                </c:pt>
                <c:pt idx="4">
                  <c:v>0.2878</c:v>
                </c:pt>
                <c:pt idx="5">
                  <c:v>0.28660000000000002</c:v>
                </c:pt>
                <c:pt idx="6">
                  <c:v>0.28079999999999999</c:v>
                </c:pt>
                <c:pt idx="7">
                  <c:v>0.28849999999999998</c:v>
                </c:pt>
                <c:pt idx="8">
                  <c:v>0.29260000000000003</c:v>
                </c:pt>
                <c:pt idx="9">
                  <c:v>0.29759999999999998</c:v>
                </c:pt>
                <c:pt idx="10">
                  <c:v>0.32400000000000001</c:v>
                </c:pt>
                <c:pt idx="11">
                  <c:v>0.31580000000000003</c:v>
                </c:pt>
                <c:pt idx="12">
                  <c:v>0.24199999999999999</c:v>
                </c:pt>
                <c:pt idx="13">
                  <c:v>0.23069999999999999</c:v>
                </c:pt>
                <c:pt idx="14">
                  <c:v>0.19969999999999999</c:v>
                </c:pt>
                <c:pt idx="15">
                  <c:v>0.20799999999999999</c:v>
                </c:pt>
                <c:pt idx="16">
                  <c:v>0.21290000000000001</c:v>
                </c:pt>
                <c:pt idx="17">
                  <c:v>0.35010000000000002</c:v>
                </c:pt>
                <c:pt idx="18">
                  <c:v>0.30830000000000002</c:v>
                </c:pt>
                <c:pt idx="19">
                  <c:v>0.22550000000000001</c:v>
                </c:pt>
                <c:pt idx="20">
                  <c:v>0.22070000000000001</c:v>
                </c:pt>
                <c:pt idx="21">
                  <c:v>0.2321</c:v>
                </c:pt>
                <c:pt idx="22">
                  <c:v>0.23400000000000001</c:v>
                </c:pt>
                <c:pt idx="23">
                  <c:v>0.28449999999999998</c:v>
                </c:pt>
                <c:pt idx="24">
                  <c:v>0.25969999999999999</c:v>
                </c:pt>
                <c:pt idx="25">
                  <c:v>0.24709999999999999</c:v>
                </c:pt>
                <c:pt idx="26">
                  <c:v>0.23469999999999999</c:v>
                </c:pt>
                <c:pt idx="27">
                  <c:v>0.23630000000000001</c:v>
                </c:pt>
                <c:pt idx="28">
                  <c:v>0.25259999999999999</c:v>
                </c:pt>
                <c:pt idx="29">
                  <c:v>0.24249999999999999</c:v>
                </c:pt>
                <c:pt idx="30">
                  <c:v>0.25209999999999999</c:v>
                </c:pt>
                <c:pt idx="31">
                  <c:v>0.24490000000000001</c:v>
                </c:pt>
                <c:pt idx="32">
                  <c:v>0.23580000000000001</c:v>
                </c:pt>
                <c:pt idx="33">
                  <c:v>0.247</c:v>
                </c:pt>
                <c:pt idx="34">
                  <c:v>0.19889999999999999</c:v>
                </c:pt>
                <c:pt idx="35">
                  <c:v>0.22120000000000001</c:v>
                </c:pt>
                <c:pt idx="36">
                  <c:v>0.17580000000000001</c:v>
                </c:pt>
                <c:pt idx="37">
                  <c:v>0.184</c:v>
                </c:pt>
                <c:pt idx="38">
                  <c:v>0.17330000000000001</c:v>
                </c:pt>
                <c:pt idx="39">
                  <c:v>0.18210000000000001</c:v>
                </c:pt>
                <c:pt idx="40">
                  <c:v>0.2117</c:v>
                </c:pt>
                <c:pt idx="41">
                  <c:v>0.21510000000000001</c:v>
                </c:pt>
                <c:pt idx="42">
                  <c:v>0.2114</c:v>
                </c:pt>
                <c:pt idx="43">
                  <c:v>0.21049999999999999</c:v>
                </c:pt>
                <c:pt idx="44">
                  <c:v>0.19400000000000001</c:v>
                </c:pt>
                <c:pt idx="45">
                  <c:v>0.17030000000000001</c:v>
                </c:pt>
                <c:pt idx="46">
                  <c:v>0.1714</c:v>
                </c:pt>
                <c:pt idx="47">
                  <c:v>0.22650000000000001</c:v>
                </c:pt>
                <c:pt idx="48">
                  <c:v>0.22789999999999999</c:v>
                </c:pt>
                <c:pt idx="49">
                  <c:v>0.22289999999999999</c:v>
                </c:pt>
                <c:pt idx="50">
                  <c:v>0.21310000000000001</c:v>
                </c:pt>
                <c:pt idx="51">
                  <c:v>0.22239999999999999</c:v>
                </c:pt>
                <c:pt idx="52">
                  <c:v>0.23519999999999999</c:v>
                </c:pt>
                <c:pt idx="53">
                  <c:v>0.1908</c:v>
                </c:pt>
                <c:pt idx="54">
                  <c:v>0.17219999999999999</c:v>
                </c:pt>
                <c:pt idx="55">
                  <c:v>0.24199999999999999</c:v>
                </c:pt>
                <c:pt idx="56">
                  <c:v>0.2437</c:v>
                </c:pt>
                <c:pt idx="57">
                  <c:v>0.23169999999999999</c:v>
                </c:pt>
                <c:pt idx="58">
                  <c:v>0.23319999999999999</c:v>
                </c:pt>
                <c:pt idx="59">
                  <c:v>0.223</c:v>
                </c:pt>
                <c:pt idx="60">
                  <c:v>0.19470000000000001</c:v>
                </c:pt>
                <c:pt idx="61">
                  <c:v>0.19259999999999999</c:v>
                </c:pt>
                <c:pt idx="62">
                  <c:v>0.2</c:v>
                </c:pt>
                <c:pt idx="63">
                  <c:v>0.193</c:v>
                </c:pt>
                <c:pt idx="64">
                  <c:v>0.19159999999999999</c:v>
                </c:pt>
                <c:pt idx="65">
                  <c:v>0.17849999999999999</c:v>
                </c:pt>
                <c:pt idx="66">
                  <c:v>0.18529999999999999</c:v>
                </c:pt>
                <c:pt idx="67">
                  <c:v>0.18179999999999999</c:v>
                </c:pt>
                <c:pt idx="68">
                  <c:v>0.23980000000000001</c:v>
                </c:pt>
                <c:pt idx="69">
                  <c:v>0.19919999999999999</c:v>
                </c:pt>
                <c:pt idx="70">
                  <c:v>0.20269999999999999</c:v>
                </c:pt>
                <c:pt idx="71">
                  <c:v>0.20899999999999999</c:v>
                </c:pt>
                <c:pt idx="72">
                  <c:v>0.20300000000000001</c:v>
                </c:pt>
                <c:pt idx="73">
                  <c:v>0.1845</c:v>
                </c:pt>
                <c:pt idx="74">
                  <c:v>0.19980000000000001</c:v>
                </c:pt>
                <c:pt idx="75">
                  <c:v>0.2135</c:v>
                </c:pt>
                <c:pt idx="76">
                  <c:v>0.21659999999999999</c:v>
                </c:pt>
                <c:pt idx="77">
                  <c:v>0.21690000000000001</c:v>
                </c:pt>
                <c:pt idx="78">
                  <c:v>0.2147</c:v>
                </c:pt>
                <c:pt idx="79">
                  <c:v>0.20979999999999999</c:v>
                </c:pt>
                <c:pt idx="80">
                  <c:v>0.2127</c:v>
                </c:pt>
                <c:pt idx="81">
                  <c:v>0.20860000000000001</c:v>
                </c:pt>
                <c:pt idx="82">
                  <c:v>0.26269999999999999</c:v>
                </c:pt>
                <c:pt idx="83">
                  <c:v>0.22239999999999999</c:v>
                </c:pt>
                <c:pt idx="84">
                  <c:v>0.22489999999999999</c:v>
                </c:pt>
                <c:pt idx="85">
                  <c:v>0.16539999999999999</c:v>
                </c:pt>
                <c:pt idx="86">
                  <c:v>0.16839999999999999</c:v>
                </c:pt>
              </c:numCache>
            </c:numRef>
          </c:xVal>
          <c:yVal>
            <c:numRef>
              <c:f>Cassiterite!$K$2:$K$169</c:f>
              <c:numCache>
                <c:formatCode>General</c:formatCode>
                <c:ptCount val="168"/>
                <c:pt idx="0">
                  <c:v>98.66</c:v>
                </c:pt>
                <c:pt idx="1">
                  <c:v>98.47</c:v>
                </c:pt>
                <c:pt idx="2">
                  <c:v>94.6</c:v>
                </c:pt>
                <c:pt idx="3">
                  <c:v>98.6</c:v>
                </c:pt>
                <c:pt idx="4">
                  <c:v>97.64</c:v>
                </c:pt>
                <c:pt idx="5">
                  <c:v>98.18</c:v>
                </c:pt>
                <c:pt idx="6">
                  <c:v>97.96</c:v>
                </c:pt>
                <c:pt idx="7">
                  <c:v>97.79</c:v>
                </c:pt>
                <c:pt idx="8">
                  <c:v>97.95</c:v>
                </c:pt>
                <c:pt idx="9">
                  <c:v>98.36</c:v>
                </c:pt>
                <c:pt idx="10">
                  <c:v>97.94</c:v>
                </c:pt>
                <c:pt idx="11">
                  <c:v>72.489999999999995</c:v>
                </c:pt>
                <c:pt idx="12">
                  <c:v>75.099999999999994</c:v>
                </c:pt>
                <c:pt idx="13">
                  <c:v>73.5</c:v>
                </c:pt>
                <c:pt idx="14">
                  <c:v>73.03</c:v>
                </c:pt>
                <c:pt idx="15">
                  <c:v>75.59</c:v>
                </c:pt>
                <c:pt idx="16">
                  <c:v>74.25</c:v>
                </c:pt>
                <c:pt idx="17">
                  <c:v>73.44</c:v>
                </c:pt>
                <c:pt idx="18">
                  <c:v>73.97</c:v>
                </c:pt>
                <c:pt idx="19">
                  <c:v>74.83</c:v>
                </c:pt>
                <c:pt idx="20">
                  <c:v>74.19</c:v>
                </c:pt>
                <c:pt idx="21">
                  <c:v>73.55</c:v>
                </c:pt>
                <c:pt idx="22">
                  <c:v>74.040000000000006</c:v>
                </c:pt>
                <c:pt idx="23">
                  <c:v>74.91</c:v>
                </c:pt>
                <c:pt idx="24">
                  <c:v>74.349999999999994</c:v>
                </c:pt>
                <c:pt idx="25">
                  <c:v>74.77</c:v>
                </c:pt>
                <c:pt idx="26">
                  <c:v>74.61</c:v>
                </c:pt>
                <c:pt idx="27">
                  <c:v>73.88</c:v>
                </c:pt>
                <c:pt idx="28">
                  <c:v>74.63</c:v>
                </c:pt>
                <c:pt idx="29">
                  <c:v>74.73</c:v>
                </c:pt>
                <c:pt idx="30">
                  <c:v>74.209999999999994</c:v>
                </c:pt>
                <c:pt idx="31">
                  <c:v>74.45</c:v>
                </c:pt>
                <c:pt idx="32">
                  <c:v>74.3</c:v>
                </c:pt>
                <c:pt idx="33">
                  <c:v>74.209999999999994</c:v>
                </c:pt>
                <c:pt idx="34">
                  <c:v>71.489999999999995</c:v>
                </c:pt>
                <c:pt idx="35">
                  <c:v>75.55</c:v>
                </c:pt>
                <c:pt idx="36">
                  <c:v>72.430000000000007</c:v>
                </c:pt>
                <c:pt idx="37">
                  <c:v>72.53</c:v>
                </c:pt>
                <c:pt idx="38">
                  <c:v>71.739999999999995</c:v>
                </c:pt>
                <c:pt idx="39">
                  <c:v>72.84</c:v>
                </c:pt>
                <c:pt idx="40">
                  <c:v>75.91</c:v>
                </c:pt>
                <c:pt idx="41">
                  <c:v>76.37</c:v>
                </c:pt>
                <c:pt idx="42">
                  <c:v>74.790000000000006</c:v>
                </c:pt>
                <c:pt idx="43">
                  <c:v>76.47</c:v>
                </c:pt>
                <c:pt idx="44">
                  <c:v>74.39</c:v>
                </c:pt>
                <c:pt idx="45">
                  <c:v>72.13</c:v>
                </c:pt>
                <c:pt idx="46">
                  <c:v>71.37</c:v>
                </c:pt>
                <c:pt idx="47">
                  <c:v>74.989999999999995</c:v>
                </c:pt>
                <c:pt idx="48">
                  <c:v>74.52</c:v>
                </c:pt>
                <c:pt idx="49">
                  <c:v>74.36</c:v>
                </c:pt>
                <c:pt idx="50">
                  <c:v>73.400000000000006</c:v>
                </c:pt>
                <c:pt idx="51">
                  <c:v>73.45</c:v>
                </c:pt>
                <c:pt idx="52">
                  <c:v>74.8</c:v>
                </c:pt>
                <c:pt idx="53">
                  <c:v>71.72</c:v>
                </c:pt>
                <c:pt idx="54">
                  <c:v>72.989999999999995</c:v>
                </c:pt>
                <c:pt idx="55">
                  <c:v>75.81</c:v>
                </c:pt>
                <c:pt idx="56">
                  <c:v>76.98</c:v>
                </c:pt>
                <c:pt idx="57">
                  <c:v>76.67</c:v>
                </c:pt>
                <c:pt idx="58">
                  <c:v>75.760000000000005</c:v>
                </c:pt>
                <c:pt idx="59">
                  <c:v>74.540000000000006</c:v>
                </c:pt>
                <c:pt idx="60">
                  <c:v>73.959999999999994</c:v>
                </c:pt>
                <c:pt idx="61">
                  <c:v>75.37</c:v>
                </c:pt>
                <c:pt idx="62">
                  <c:v>73.37</c:v>
                </c:pt>
                <c:pt idx="63">
                  <c:v>73.19</c:v>
                </c:pt>
                <c:pt idx="64">
                  <c:v>74.510000000000005</c:v>
                </c:pt>
                <c:pt idx="65">
                  <c:v>72.819999999999993</c:v>
                </c:pt>
                <c:pt idx="66">
                  <c:v>74.400000000000006</c:v>
                </c:pt>
                <c:pt idx="67">
                  <c:v>74.75</c:v>
                </c:pt>
                <c:pt idx="68">
                  <c:v>74.739999999999995</c:v>
                </c:pt>
                <c:pt idx="69">
                  <c:v>72.89</c:v>
                </c:pt>
                <c:pt idx="70">
                  <c:v>75.209999999999994</c:v>
                </c:pt>
                <c:pt idx="71">
                  <c:v>75.2</c:v>
                </c:pt>
                <c:pt idx="72">
                  <c:v>75</c:v>
                </c:pt>
                <c:pt idx="73">
                  <c:v>73.72</c:v>
                </c:pt>
                <c:pt idx="74">
                  <c:v>73.61</c:v>
                </c:pt>
                <c:pt idx="75">
                  <c:v>75.8</c:v>
                </c:pt>
                <c:pt idx="76">
                  <c:v>75.64</c:v>
                </c:pt>
                <c:pt idx="77">
                  <c:v>75.62</c:v>
                </c:pt>
                <c:pt idx="78">
                  <c:v>75.56</c:v>
                </c:pt>
                <c:pt idx="79">
                  <c:v>75.400000000000006</c:v>
                </c:pt>
                <c:pt idx="80">
                  <c:v>75.34</c:v>
                </c:pt>
                <c:pt idx="81">
                  <c:v>74.08</c:v>
                </c:pt>
                <c:pt idx="82">
                  <c:v>74.91</c:v>
                </c:pt>
                <c:pt idx="83">
                  <c:v>75.569999999999993</c:v>
                </c:pt>
                <c:pt idx="84">
                  <c:v>74.709999999999994</c:v>
                </c:pt>
                <c:pt idx="85">
                  <c:v>75.3</c:v>
                </c:pt>
                <c:pt idx="86">
                  <c:v>75.260000000000005</c:v>
                </c:pt>
              </c:numCache>
            </c:numRef>
          </c:yVal>
          <c:smooth val="0"/>
          <c:extLst>
            <c:ext xmlns:c16="http://schemas.microsoft.com/office/drawing/2014/chart" uri="{C3380CC4-5D6E-409C-BE32-E72D297353CC}">
              <c16:uniqueId val="{00000000-BD93-4F7D-B10C-D889116EE862}"/>
            </c:ext>
          </c:extLst>
        </c:ser>
        <c:dLbls>
          <c:showLegendKey val="0"/>
          <c:showVal val="0"/>
          <c:showCatName val="0"/>
          <c:showSerName val="0"/>
          <c:showPercent val="0"/>
          <c:showBubbleSize val="0"/>
        </c:dLbls>
        <c:axId val="245247039"/>
        <c:axId val="1"/>
      </c:scatterChart>
      <c:valAx>
        <c:axId val="245247039"/>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100"/>
          <c:min val="0"/>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n-US"/>
          </a:p>
        </c:txPr>
        <c:crossAx val="245247039"/>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1200" verticalDpi="1200"/>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9198546235974511"/>
          <c:y val="2.7993779160186624E-2"/>
        </c:manualLayout>
      </c:layout>
      <c:overlay val="0"/>
      <c:spPr>
        <a:noFill/>
        <a:ln w="25400">
          <a:noFill/>
        </a:ln>
      </c:spPr>
      <c:txPr>
        <a:bodyPr/>
        <a:lstStyle/>
        <a:p>
          <a:pPr>
            <a:defRPr sz="1000" b="0"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7.2749735539250071E-2"/>
          <c:y val="0.1150856239411389"/>
          <c:w val="0.85203503826477622"/>
          <c:h val="0.84603485708080495"/>
        </c:manualLayout>
      </c:layout>
      <c:scatterChart>
        <c:scatterStyle val="lineMarker"/>
        <c:varyColors val="0"/>
        <c:ser>
          <c:idx val="0"/>
          <c:order val="0"/>
          <c:tx>
            <c:strRef>
              <c:f>Cassiterite!$S$1</c:f>
              <c:strCache>
                <c:ptCount val="1"/>
                <c:pt idx="0">
                  <c:v>In (corrected)</c:v>
                </c:pt>
              </c:strCache>
            </c:strRef>
          </c:tx>
          <c:spPr>
            <a:ln w="19050">
              <a:noFill/>
            </a:ln>
          </c:spPr>
          <c:marker>
            <c:symbol val="diamond"/>
            <c:size val="5"/>
            <c:spPr>
              <a:solidFill>
                <a:srgbClr val="000080"/>
              </a:solidFill>
              <a:ln>
                <a:solidFill>
                  <a:srgbClr val="000080"/>
                </a:solidFill>
                <a:prstDash val="solid"/>
              </a:ln>
            </c:spPr>
          </c:marker>
          <c:xVal>
            <c:numRef>
              <c:f>Cassiterite!$K$2:$K$169</c:f>
              <c:numCache>
                <c:formatCode>General</c:formatCode>
                <c:ptCount val="168"/>
                <c:pt idx="0">
                  <c:v>98.66</c:v>
                </c:pt>
                <c:pt idx="1">
                  <c:v>98.47</c:v>
                </c:pt>
                <c:pt idx="2">
                  <c:v>94.6</c:v>
                </c:pt>
                <c:pt idx="3">
                  <c:v>98.6</c:v>
                </c:pt>
                <c:pt idx="4">
                  <c:v>97.64</c:v>
                </c:pt>
                <c:pt idx="5">
                  <c:v>98.18</c:v>
                </c:pt>
                <c:pt idx="6">
                  <c:v>97.96</c:v>
                </c:pt>
                <c:pt idx="7">
                  <c:v>97.79</c:v>
                </c:pt>
                <c:pt idx="8">
                  <c:v>97.95</c:v>
                </c:pt>
                <c:pt idx="9">
                  <c:v>98.36</c:v>
                </c:pt>
                <c:pt idx="10">
                  <c:v>97.94</c:v>
                </c:pt>
                <c:pt idx="11">
                  <c:v>72.489999999999995</c:v>
                </c:pt>
                <c:pt idx="12">
                  <c:v>75.099999999999994</c:v>
                </c:pt>
                <c:pt idx="13">
                  <c:v>73.5</c:v>
                </c:pt>
                <c:pt idx="14">
                  <c:v>73.03</c:v>
                </c:pt>
                <c:pt idx="15">
                  <c:v>75.59</c:v>
                </c:pt>
                <c:pt idx="16">
                  <c:v>74.25</c:v>
                </c:pt>
                <c:pt idx="17">
                  <c:v>73.44</c:v>
                </c:pt>
                <c:pt idx="18">
                  <c:v>73.97</c:v>
                </c:pt>
                <c:pt idx="19">
                  <c:v>74.83</c:v>
                </c:pt>
                <c:pt idx="20">
                  <c:v>74.19</c:v>
                </c:pt>
                <c:pt idx="21">
                  <c:v>73.55</c:v>
                </c:pt>
                <c:pt idx="22">
                  <c:v>74.040000000000006</c:v>
                </c:pt>
                <c:pt idx="23">
                  <c:v>74.91</c:v>
                </c:pt>
                <c:pt idx="24">
                  <c:v>74.349999999999994</c:v>
                </c:pt>
                <c:pt idx="25">
                  <c:v>74.77</c:v>
                </c:pt>
                <c:pt idx="26">
                  <c:v>74.61</c:v>
                </c:pt>
                <c:pt idx="27">
                  <c:v>73.88</c:v>
                </c:pt>
                <c:pt idx="28">
                  <c:v>74.63</c:v>
                </c:pt>
                <c:pt idx="29">
                  <c:v>74.73</c:v>
                </c:pt>
                <c:pt idx="30">
                  <c:v>74.209999999999994</c:v>
                </c:pt>
                <c:pt idx="31">
                  <c:v>74.45</c:v>
                </c:pt>
                <c:pt idx="32">
                  <c:v>74.3</c:v>
                </c:pt>
                <c:pt idx="33">
                  <c:v>74.209999999999994</c:v>
                </c:pt>
                <c:pt idx="34">
                  <c:v>71.489999999999995</c:v>
                </c:pt>
                <c:pt idx="35">
                  <c:v>75.55</c:v>
                </c:pt>
                <c:pt idx="36">
                  <c:v>72.430000000000007</c:v>
                </c:pt>
                <c:pt idx="37">
                  <c:v>72.53</c:v>
                </c:pt>
                <c:pt idx="38">
                  <c:v>71.739999999999995</c:v>
                </c:pt>
                <c:pt idx="39">
                  <c:v>72.84</c:v>
                </c:pt>
                <c:pt idx="40">
                  <c:v>75.91</c:v>
                </c:pt>
                <c:pt idx="41">
                  <c:v>76.37</c:v>
                </c:pt>
                <c:pt idx="42">
                  <c:v>74.790000000000006</c:v>
                </c:pt>
                <c:pt idx="43">
                  <c:v>76.47</c:v>
                </c:pt>
                <c:pt idx="44">
                  <c:v>74.39</c:v>
                </c:pt>
                <c:pt idx="45">
                  <c:v>72.13</c:v>
                </c:pt>
                <c:pt idx="46">
                  <c:v>71.37</c:v>
                </c:pt>
                <c:pt idx="47">
                  <c:v>74.989999999999995</c:v>
                </c:pt>
                <c:pt idx="48">
                  <c:v>74.52</c:v>
                </c:pt>
                <c:pt idx="49">
                  <c:v>74.36</c:v>
                </c:pt>
                <c:pt idx="50">
                  <c:v>73.400000000000006</c:v>
                </c:pt>
                <c:pt idx="51">
                  <c:v>73.45</c:v>
                </c:pt>
                <c:pt idx="52">
                  <c:v>74.8</c:v>
                </c:pt>
                <c:pt idx="53">
                  <c:v>71.72</c:v>
                </c:pt>
                <c:pt idx="54">
                  <c:v>72.989999999999995</c:v>
                </c:pt>
                <c:pt idx="55">
                  <c:v>75.81</c:v>
                </c:pt>
                <c:pt idx="56">
                  <c:v>76.98</c:v>
                </c:pt>
                <c:pt idx="57">
                  <c:v>76.67</c:v>
                </c:pt>
                <c:pt idx="58">
                  <c:v>75.760000000000005</c:v>
                </c:pt>
                <c:pt idx="59">
                  <c:v>74.540000000000006</c:v>
                </c:pt>
                <c:pt idx="60">
                  <c:v>73.959999999999994</c:v>
                </c:pt>
                <c:pt idx="61">
                  <c:v>75.37</c:v>
                </c:pt>
                <c:pt idx="62">
                  <c:v>73.37</c:v>
                </c:pt>
                <c:pt idx="63">
                  <c:v>73.19</c:v>
                </c:pt>
                <c:pt idx="64">
                  <c:v>74.510000000000005</c:v>
                </c:pt>
                <c:pt idx="65">
                  <c:v>72.819999999999993</c:v>
                </c:pt>
                <c:pt idx="66">
                  <c:v>74.400000000000006</c:v>
                </c:pt>
                <c:pt idx="67">
                  <c:v>74.75</c:v>
                </c:pt>
                <c:pt idx="68">
                  <c:v>74.739999999999995</c:v>
                </c:pt>
                <c:pt idx="69">
                  <c:v>72.89</c:v>
                </c:pt>
                <c:pt idx="70">
                  <c:v>75.209999999999994</c:v>
                </c:pt>
                <c:pt idx="71">
                  <c:v>75.2</c:v>
                </c:pt>
                <c:pt idx="72">
                  <c:v>75</c:v>
                </c:pt>
                <c:pt idx="73">
                  <c:v>73.72</c:v>
                </c:pt>
                <c:pt idx="74">
                  <c:v>73.61</c:v>
                </c:pt>
                <c:pt idx="75">
                  <c:v>75.8</c:v>
                </c:pt>
                <c:pt idx="76">
                  <c:v>75.64</c:v>
                </c:pt>
                <c:pt idx="77">
                  <c:v>75.62</c:v>
                </c:pt>
                <c:pt idx="78">
                  <c:v>75.56</c:v>
                </c:pt>
                <c:pt idx="79">
                  <c:v>75.400000000000006</c:v>
                </c:pt>
                <c:pt idx="80">
                  <c:v>75.34</c:v>
                </c:pt>
                <c:pt idx="81">
                  <c:v>74.08</c:v>
                </c:pt>
                <c:pt idx="82">
                  <c:v>74.91</c:v>
                </c:pt>
                <c:pt idx="83">
                  <c:v>75.569999999999993</c:v>
                </c:pt>
                <c:pt idx="84">
                  <c:v>74.709999999999994</c:v>
                </c:pt>
                <c:pt idx="85">
                  <c:v>75.3</c:v>
                </c:pt>
                <c:pt idx="86">
                  <c:v>75.260000000000005</c:v>
                </c:pt>
              </c:numCache>
            </c:numRef>
          </c:xVal>
          <c:yVal>
            <c:numRef>
              <c:f>Cassiterite!$S$2:$S$169</c:f>
              <c:numCache>
                <c:formatCode>General</c:formatCode>
                <c:ptCount val="168"/>
                <c:pt idx="0">
                  <c:v>1055.1474999999998</c:v>
                </c:pt>
                <c:pt idx="1">
                  <c:v>771.35124999999971</c:v>
                </c:pt>
                <c:pt idx="2">
                  <c:v>643.97499999999991</c:v>
                </c:pt>
                <c:pt idx="3">
                  <c:v>1013.475</c:v>
                </c:pt>
                <c:pt idx="4">
                  <c:v>717.71499999999992</c:v>
                </c:pt>
                <c:pt idx="5">
                  <c:v>693.76749999999993</c:v>
                </c:pt>
                <c:pt idx="6">
                  <c:v>640.63499999999999</c:v>
                </c:pt>
                <c:pt idx="7">
                  <c:v>721.39624999999955</c:v>
                </c:pt>
                <c:pt idx="8">
                  <c:v>758.85625000000016</c:v>
                </c:pt>
                <c:pt idx="9">
                  <c:v>799.78499999999985</c:v>
                </c:pt>
                <c:pt idx="10">
                  <c:v>1073.0775000000001</c:v>
                </c:pt>
                <c:pt idx="11">
                  <c:v>1554.1587500000003</c:v>
                </c:pt>
                <c:pt idx="12">
                  <c:v>758.41250000000002</c:v>
                </c:pt>
                <c:pt idx="13">
                  <c:v>680.81249999999977</c:v>
                </c:pt>
                <c:pt idx="14">
                  <c:v>381.21124999999978</c:v>
                </c:pt>
                <c:pt idx="15">
                  <c:v>407.57124999999979</c:v>
                </c:pt>
                <c:pt idx="16">
                  <c:v>486.21875000000011</c:v>
                </c:pt>
                <c:pt idx="17">
                  <c:v>1876.1400000000003</c:v>
                </c:pt>
                <c:pt idx="18">
                  <c:v>1446.4137500000002</c:v>
                </c:pt>
                <c:pt idx="19">
                  <c:v>599.3862499999999</c:v>
                </c:pt>
                <c:pt idx="20">
                  <c:v>565.54624999999999</c:v>
                </c:pt>
                <c:pt idx="21">
                  <c:v>693.70624999999995</c:v>
                </c:pt>
                <c:pt idx="22">
                  <c:v>701.8649999999999</c:v>
                </c:pt>
                <c:pt idx="23">
                  <c:v>1187.6162499999998</c:v>
                </c:pt>
                <c:pt idx="24">
                  <c:v>952.0062499999998</c:v>
                </c:pt>
                <c:pt idx="25">
                  <c:v>816.71374999999989</c:v>
                </c:pt>
                <c:pt idx="26">
                  <c:v>696.25374999999985</c:v>
                </c:pt>
                <c:pt idx="27">
                  <c:v>728.40499999999997</c:v>
                </c:pt>
                <c:pt idx="28">
                  <c:v>874.81124999999997</c:v>
                </c:pt>
                <c:pt idx="29">
                  <c:v>771.59874999999988</c:v>
                </c:pt>
                <c:pt idx="30">
                  <c:v>879.1037500000001</c:v>
                </c:pt>
                <c:pt idx="31">
                  <c:v>801.79374999999993</c:v>
                </c:pt>
                <c:pt idx="32">
                  <c:v>714.11250000000007</c:v>
                </c:pt>
                <c:pt idx="33">
                  <c:v>828.10375000000022</c:v>
                </c:pt>
                <c:pt idx="34">
                  <c:v>407.28375000000011</c:v>
                </c:pt>
                <c:pt idx="35">
                  <c:v>540.45625000000018</c:v>
                </c:pt>
                <c:pt idx="36">
                  <c:v>155.48624999999981</c:v>
                </c:pt>
                <c:pt idx="37">
                  <c:v>235.27374999999989</c:v>
                </c:pt>
                <c:pt idx="38">
                  <c:v>145.75250000000011</c:v>
                </c:pt>
                <c:pt idx="39">
                  <c:v>209.41500000000002</c:v>
                </c:pt>
                <c:pt idx="40">
                  <c:v>437.49124999999998</c:v>
                </c:pt>
                <c:pt idx="41">
                  <c:v>461.31375000000003</c:v>
                </c:pt>
                <c:pt idx="42">
                  <c:v>459.27124999999984</c:v>
                </c:pt>
                <c:pt idx="43">
                  <c:v>413.10125000000005</c:v>
                </c:pt>
                <c:pt idx="44">
                  <c:v>294.12125000000009</c:v>
                </c:pt>
                <c:pt idx="45">
                  <c:v>107.12375000000024</c:v>
                </c:pt>
                <c:pt idx="46">
                  <c:v>134.93874999999989</c:v>
                </c:pt>
                <c:pt idx="47">
                  <c:v>605.84625000000005</c:v>
                </c:pt>
                <c:pt idx="48">
                  <c:v>630.24499999999978</c:v>
                </c:pt>
                <c:pt idx="49">
                  <c:v>583.78499999999974</c:v>
                </c:pt>
                <c:pt idx="50">
                  <c:v>507.02499999999986</c:v>
                </c:pt>
                <c:pt idx="51">
                  <c:v>598.91874999999982</c:v>
                </c:pt>
                <c:pt idx="52">
                  <c:v>697.04999999999984</c:v>
                </c:pt>
                <c:pt idx="53">
                  <c:v>321.19499999999994</c:v>
                </c:pt>
                <c:pt idx="54">
                  <c:v>107.09625</c:v>
                </c:pt>
                <c:pt idx="55">
                  <c:v>742.70374999999967</c:v>
                </c:pt>
                <c:pt idx="56">
                  <c:v>733.8175</c:v>
                </c:pt>
                <c:pt idx="57">
                  <c:v>620.67624999999987</c:v>
                </c:pt>
                <c:pt idx="58">
                  <c:v>655.80999999999972</c:v>
                </c:pt>
                <c:pt idx="59">
                  <c:v>580.80249999999967</c:v>
                </c:pt>
                <c:pt idx="60">
                  <c:v>310.63500000000022</c:v>
                </c:pt>
                <c:pt idx="61">
                  <c:v>258.43874999999986</c:v>
                </c:pt>
                <c:pt idx="62">
                  <c:v>376.68874999999991</c:v>
                </c:pt>
                <c:pt idx="63">
                  <c:v>310.67124999999999</c:v>
                </c:pt>
                <c:pt idx="64">
                  <c:v>267.46624999999966</c:v>
                </c:pt>
                <c:pt idx="65">
                  <c:v>173.85750000000004</c:v>
                </c:pt>
                <c:pt idx="66">
                  <c:v>206.89999999999986</c:v>
                </c:pt>
                <c:pt idx="67">
                  <c:v>164.15624999999989</c:v>
                </c:pt>
                <c:pt idx="68">
                  <c:v>744.37750000000028</c:v>
                </c:pt>
                <c:pt idx="69">
                  <c:v>379.30874999999975</c:v>
                </c:pt>
                <c:pt idx="70">
                  <c:v>362.97875000000005</c:v>
                </c:pt>
                <c:pt idx="71">
                  <c:v>426.19999999999993</c:v>
                </c:pt>
                <c:pt idx="72">
                  <c:v>370.625</c:v>
                </c:pt>
                <c:pt idx="73">
                  <c:v>213.94499999999982</c:v>
                </c:pt>
                <c:pt idx="74">
                  <c:v>369.37875000000008</c:v>
                </c:pt>
                <c:pt idx="75">
                  <c:v>457.92499999999984</c:v>
                </c:pt>
                <c:pt idx="76">
                  <c:v>492.46499999999969</c:v>
                </c:pt>
                <c:pt idx="77">
                  <c:v>495.90749999999991</c:v>
                </c:pt>
                <c:pt idx="78">
                  <c:v>475.23499999999996</c:v>
                </c:pt>
                <c:pt idx="79">
                  <c:v>429.77499999999975</c:v>
                </c:pt>
                <c:pt idx="80">
                  <c:v>460.10249999999974</c:v>
                </c:pt>
                <c:pt idx="81">
                  <c:v>446.98000000000013</c:v>
                </c:pt>
                <c:pt idx="82">
                  <c:v>969.61624999999992</c:v>
                </c:pt>
                <c:pt idx="83">
                  <c:v>552.01374999999996</c:v>
                </c:pt>
                <c:pt idx="84">
                  <c:v>596.0412500000001</c:v>
                </c:pt>
                <c:pt idx="85">
                  <c:v>-12.012500000000149</c:v>
                </c:pt>
                <c:pt idx="86">
                  <c:v>18.872499999999793</c:v>
                </c:pt>
              </c:numCache>
            </c:numRef>
          </c:yVal>
          <c:smooth val="0"/>
          <c:extLst>
            <c:ext xmlns:c16="http://schemas.microsoft.com/office/drawing/2014/chart" uri="{C3380CC4-5D6E-409C-BE32-E72D297353CC}">
              <c16:uniqueId val="{00000000-E20F-441A-83C6-BE60B14A5675}"/>
            </c:ext>
          </c:extLst>
        </c:ser>
        <c:dLbls>
          <c:showLegendKey val="0"/>
          <c:showVal val="0"/>
          <c:showCatName val="0"/>
          <c:showSerName val="0"/>
          <c:showPercent val="0"/>
          <c:showBubbleSize val="0"/>
        </c:dLbls>
        <c:axId val="245263423"/>
        <c:axId val="1"/>
      </c:scatterChart>
      <c:valAx>
        <c:axId val="245263423"/>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45263423"/>
        <c:crosses val="autoZero"/>
        <c:crossBetween val="midCat"/>
      </c:valAx>
      <c:spPr>
        <a:solidFill>
          <a:srgbClr val="C0C0C0"/>
        </a:solidFill>
        <a:ln w="12700">
          <a:solidFill>
            <a:srgbClr val="808080"/>
          </a:solidFill>
          <a:prstDash val="solid"/>
        </a:ln>
      </c:spPr>
    </c:plotArea>
    <c:legend>
      <c:legendPos val="r"/>
      <c:layout>
        <c:manualLayout>
          <c:xMode val="edge"/>
          <c:yMode val="edge"/>
          <c:x val="0.9531447841522892"/>
          <c:y val="0.52099566092341099"/>
          <c:w val="3.6991368680641235E-2"/>
          <c:h val="3.4214618973561484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9198546235974511"/>
          <c:y val="2.6027397260273973E-2"/>
        </c:manualLayout>
      </c:layout>
      <c:overlay val="0"/>
      <c:spPr>
        <a:noFill/>
        <a:ln w="25400">
          <a:noFill/>
        </a:ln>
      </c:spPr>
      <c:txPr>
        <a:bodyPr/>
        <a:lstStyle/>
        <a:p>
          <a:pPr>
            <a:defRPr sz="1000" b="0"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7.2749735539250071E-2"/>
          <c:y val="0.10684938653774249"/>
          <c:w val="0.85573417735999235"/>
          <c:h val="0.85890468409185317"/>
        </c:manualLayout>
      </c:layout>
      <c:scatterChart>
        <c:scatterStyle val="lineMarker"/>
        <c:varyColors val="0"/>
        <c:ser>
          <c:idx val="0"/>
          <c:order val="0"/>
          <c:tx>
            <c:strRef>
              <c:f>Cassiterite!$S$1</c:f>
              <c:strCache>
                <c:ptCount val="1"/>
                <c:pt idx="0">
                  <c:v>In (corrected)</c:v>
                </c:pt>
              </c:strCache>
            </c:strRef>
          </c:tx>
          <c:spPr>
            <a:ln w="19050">
              <a:noFill/>
            </a:ln>
          </c:spPr>
          <c:marker>
            <c:symbol val="diamond"/>
            <c:size val="5"/>
            <c:spPr>
              <a:solidFill>
                <a:srgbClr val="000080"/>
              </a:solidFill>
              <a:ln>
                <a:solidFill>
                  <a:srgbClr val="000080"/>
                </a:solidFill>
                <a:prstDash val="solid"/>
              </a:ln>
            </c:spPr>
          </c:marker>
          <c:xVal>
            <c:numRef>
              <c:f>Cassiterite!$H$2:$H$169</c:f>
              <c:numCache>
                <c:formatCode>General</c:formatCode>
                <c:ptCount val="168"/>
                <c:pt idx="0">
                  <c:v>1.66E-2</c:v>
                </c:pt>
                <c:pt idx="1">
                  <c:v>7.4999999999999997E-3</c:v>
                </c:pt>
                <c:pt idx="2">
                  <c:v>4.8999999999999998E-3</c:v>
                </c:pt>
                <c:pt idx="3">
                  <c:v>1.6000000000000001E-3</c:v>
                </c:pt>
                <c:pt idx="4">
                  <c:v>5.9999999999999995E-4</c:v>
                </c:pt>
                <c:pt idx="5">
                  <c:v>0</c:v>
                </c:pt>
                <c:pt idx="6">
                  <c:v>0</c:v>
                </c:pt>
                <c:pt idx="7">
                  <c:v>0</c:v>
                </c:pt>
                <c:pt idx="8">
                  <c:v>0</c:v>
                </c:pt>
                <c:pt idx="9">
                  <c:v>0</c:v>
                </c:pt>
                <c:pt idx="10">
                  <c:v>2.5999999999999999E-3</c:v>
                </c:pt>
                <c:pt idx="11">
                  <c:v>1.71</c:v>
                </c:pt>
                <c:pt idx="12">
                  <c:v>0.25719999999999998</c:v>
                </c:pt>
                <c:pt idx="13">
                  <c:v>4.1799999999999997E-2</c:v>
                </c:pt>
                <c:pt idx="14">
                  <c:v>4.2099999999999999E-2</c:v>
                </c:pt>
                <c:pt idx="15">
                  <c:v>0.30170000000000002</c:v>
                </c:pt>
                <c:pt idx="16">
                  <c:v>4.2799999999999998E-2</c:v>
                </c:pt>
                <c:pt idx="17">
                  <c:v>1.32</c:v>
                </c:pt>
                <c:pt idx="18">
                  <c:v>1.19</c:v>
                </c:pt>
                <c:pt idx="19">
                  <c:v>0.64810000000000001</c:v>
                </c:pt>
                <c:pt idx="20">
                  <c:v>0.38400000000000001</c:v>
                </c:pt>
                <c:pt idx="21">
                  <c:v>1.61E-2</c:v>
                </c:pt>
                <c:pt idx="22">
                  <c:v>1.4999999999999999E-2</c:v>
                </c:pt>
                <c:pt idx="23">
                  <c:v>0.55389999999999995</c:v>
                </c:pt>
                <c:pt idx="24">
                  <c:v>0.43020000000000003</c:v>
                </c:pt>
                <c:pt idx="25">
                  <c:v>0.32350000000000001</c:v>
                </c:pt>
                <c:pt idx="26">
                  <c:v>0.1424</c:v>
                </c:pt>
                <c:pt idx="27">
                  <c:v>0.13150000000000001</c:v>
                </c:pt>
                <c:pt idx="28">
                  <c:v>0.1004</c:v>
                </c:pt>
                <c:pt idx="29">
                  <c:v>8.6199999999999999E-2</c:v>
                </c:pt>
                <c:pt idx="30">
                  <c:v>2.6100000000000002E-2</c:v>
                </c:pt>
                <c:pt idx="31">
                  <c:v>2.4799999999999999E-2</c:v>
                </c:pt>
                <c:pt idx="32">
                  <c:v>2.24E-2</c:v>
                </c:pt>
                <c:pt idx="33">
                  <c:v>2.0400000000000001E-2</c:v>
                </c:pt>
                <c:pt idx="34">
                  <c:v>0.1101</c:v>
                </c:pt>
                <c:pt idx="35">
                  <c:v>2.3199999999999998E-2</c:v>
                </c:pt>
                <c:pt idx="36">
                  <c:v>9.6699999999999994E-2</c:v>
                </c:pt>
                <c:pt idx="37">
                  <c:v>4.2500000000000003E-2</c:v>
                </c:pt>
                <c:pt idx="38">
                  <c:v>8.6699999999999999E-2</c:v>
                </c:pt>
                <c:pt idx="39">
                  <c:v>0.28970000000000001</c:v>
                </c:pt>
                <c:pt idx="40">
                  <c:v>0.52239999999999998</c:v>
                </c:pt>
                <c:pt idx="41">
                  <c:v>5.1900000000000002E-2</c:v>
                </c:pt>
                <c:pt idx="42">
                  <c:v>3.2599999999999997E-2</c:v>
                </c:pt>
                <c:pt idx="43">
                  <c:v>2.9499999999999998E-2</c:v>
                </c:pt>
                <c:pt idx="44">
                  <c:v>0.15490000000000001</c:v>
                </c:pt>
                <c:pt idx="45">
                  <c:v>0.64390000000000003</c:v>
                </c:pt>
                <c:pt idx="46">
                  <c:v>0.37590000000000001</c:v>
                </c:pt>
                <c:pt idx="47">
                  <c:v>0.39560000000000001</c:v>
                </c:pt>
                <c:pt idx="48">
                  <c:v>9.0899999999999995E-2</c:v>
                </c:pt>
                <c:pt idx="49">
                  <c:v>0.2369</c:v>
                </c:pt>
                <c:pt idx="50">
                  <c:v>0.7631</c:v>
                </c:pt>
                <c:pt idx="51">
                  <c:v>0.65620000000000001</c:v>
                </c:pt>
                <c:pt idx="52">
                  <c:v>0.56599999999999995</c:v>
                </c:pt>
                <c:pt idx="53">
                  <c:v>1.33</c:v>
                </c:pt>
                <c:pt idx="54">
                  <c:v>0.31709999999999999</c:v>
                </c:pt>
                <c:pt idx="55">
                  <c:v>0.247</c:v>
                </c:pt>
                <c:pt idx="56">
                  <c:v>0.1234</c:v>
                </c:pt>
                <c:pt idx="57">
                  <c:v>0.1046</c:v>
                </c:pt>
                <c:pt idx="58">
                  <c:v>5.7599999999999998E-2</c:v>
                </c:pt>
                <c:pt idx="59">
                  <c:v>2.4500000000000001E-2</c:v>
                </c:pt>
                <c:pt idx="60">
                  <c:v>0.1769</c:v>
                </c:pt>
                <c:pt idx="61">
                  <c:v>0.1077</c:v>
                </c:pt>
                <c:pt idx="62">
                  <c:v>9.4399999999999998E-2</c:v>
                </c:pt>
                <c:pt idx="63">
                  <c:v>8.4000000000000005E-2</c:v>
                </c:pt>
                <c:pt idx="64">
                  <c:v>6.9099999999999995E-2</c:v>
                </c:pt>
                <c:pt idx="65">
                  <c:v>0.16589999999999999</c:v>
                </c:pt>
                <c:pt idx="66">
                  <c:v>0.49780000000000002</c:v>
                </c:pt>
                <c:pt idx="67">
                  <c:v>0.43830000000000002</c:v>
                </c:pt>
                <c:pt idx="68">
                  <c:v>0.87670000000000003</c:v>
                </c:pt>
                <c:pt idx="69">
                  <c:v>7.1000000000000004E-3</c:v>
                </c:pt>
                <c:pt idx="70">
                  <c:v>0.30320000000000003</c:v>
                </c:pt>
                <c:pt idx="71">
                  <c:v>0.23910000000000001</c:v>
                </c:pt>
                <c:pt idx="72">
                  <c:v>0.22520000000000001</c:v>
                </c:pt>
                <c:pt idx="73">
                  <c:v>8.7999999999999995E-2</c:v>
                </c:pt>
                <c:pt idx="74">
                  <c:v>1.5900000000000001E-2</c:v>
                </c:pt>
                <c:pt idx="75">
                  <c:v>0.3634</c:v>
                </c:pt>
                <c:pt idx="76">
                  <c:v>0.47810000000000002</c:v>
                </c:pt>
                <c:pt idx="77">
                  <c:v>0.56979999999999997</c:v>
                </c:pt>
                <c:pt idx="78">
                  <c:v>0.30020000000000002</c:v>
                </c:pt>
                <c:pt idx="79">
                  <c:v>0.48909999999999998</c:v>
                </c:pt>
                <c:pt idx="80">
                  <c:v>0.80630000000000002</c:v>
                </c:pt>
                <c:pt idx="81">
                  <c:v>7.4999999999999997E-3</c:v>
                </c:pt>
                <c:pt idx="82">
                  <c:v>0.99119999999999997</c:v>
                </c:pt>
                <c:pt idx="83">
                  <c:v>0.13139999999999999</c:v>
                </c:pt>
                <c:pt idx="84">
                  <c:v>3.4000000000000002E-2</c:v>
                </c:pt>
                <c:pt idx="85">
                  <c:v>0.92100000000000004</c:v>
                </c:pt>
                <c:pt idx="86">
                  <c:v>0.22370000000000001</c:v>
                </c:pt>
              </c:numCache>
            </c:numRef>
          </c:xVal>
          <c:yVal>
            <c:numRef>
              <c:f>Cassiterite!$S$2:$S$169</c:f>
              <c:numCache>
                <c:formatCode>General</c:formatCode>
                <c:ptCount val="168"/>
                <c:pt idx="0">
                  <c:v>1055.1474999999998</c:v>
                </c:pt>
                <c:pt idx="1">
                  <c:v>771.35124999999971</c:v>
                </c:pt>
                <c:pt idx="2">
                  <c:v>643.97499999999991</c:v>
                </c:pt>
                <c:pt idx="3">
                  <c:v>1013.475</c:v>
                </c:pt>
                <c:pt idx="4">
                  <c:v>717.71499999999992</c:v>
                </c:pt>
                <c:pt idx="5">
                  <c:v>693.76749999999993</c:v>
                </c:pt>
                <c:pt idx="6">
                  <c:v>640.63499999999999</c:v>
                </c:pt>
                <c:pt idx="7">
                  <c:v>721.39624999999955</c:v>
                </c:pt>
                <c:pt idx="8">
                  <c:v>758.85625000000016</c:v>
                </c:pt>
                <c:pt idx="9">
                  <c:v>799.78499999999985</c:v>
                </c:pt>
                <c:pt idx="10">
                  <c:v>1073.0775000000001</c:v>
                </c:pt>
                <c:pt idx="11">
                  <c:v>1554.1587500000003</c:v>
                </c:pt>
                <c:pt idx="12">
                  <c:v>758.41250000000002</c:v>
                </c:pt>
                <c:pt idx="13">
                  <c:v>680.81249999999977</c:v>
                </c:pt>
                <c:pt idx="14">
                  <c:v>381.21124999999978</c:v>
                </c:pt>
                <c:pt idx="15">
                  <c:v>407.57124999999979</c:v>
                </c:pt>
                <c:pt idx="16">
                  <c:v>486.21875000000011</c:v>
                </c:pt>
                <c:pt idx="17">
                  <c:v>1876.1400000000003</c:v>
                </c:pt>
                <c:pt idx="18">
                  <c:v>1446.4137500000002</c:v>
                </c:pt>
                <c:pt idx="19">
                  <c:v>599.3862499999999</c:v>
                </c:pt>
                <c:pt idx="20">
                  <c:v>565.54624999999999</c:v>
                </c:pt>
                <c:pt idx="21">
                  <c:v>693.70624999999995</c:v>
                </c:pt>
                <c:pt idx="22">
                  <c:v>701.8649999999999</c:v>
                </c:pt>
                <c:pt idx="23">
                  <c:v>1187.6162499999998</c:v>
                </c:pt>
                <c:pt idx="24">
                  <c:v>952.0062499999998</c:v>
                </c:pt>
                <c:pt idx="25">
                  <c:v>816.71374999999989</c:v>
                </c:pt>
                <c:pt idx="26">
                  <c:v>696.25374999999985</c:v>
                </c:pt>
                <c:pt idx="27">
                  <c:v>728.40499999999997</c:v>
                </c:pt>
                <c:pt idx="28">
                  <c:v>874.81124999999997</c:v>
                </c:pt>
                <c:pt idx="29">
                  <c:v>771.59874999999988</c:v>
                </c:pt>
                <c:pt idx="30">
                  <c:v>879.1037500000001</c:v>
                </c:pt>
                <c:pt idx="31">
                  <c:v>801.79374999999993</c:v>
                </c:pt>
                <c:pt idx="32">
                  <c:v>714.11250000000007</c:v>
                </c:pt>
                <c:pt idx="33">
                  <c:v>828.10375000000022</c:v>
                </c:pt>
                <c:pt idx="34">
                  <c:v>407.28375000000011</c:v>
                </c:pt>
                <c:pt idx="35">
                  <c:v>540.45625000000018</c:v>
                </c:pt>
                <c:pt idx="36">
                  <c:v>155.48624999999981</c:v>
                </c:pt>
                <c:pt idx="37">
                  <c:v>235.27374999999989</c:v>
                </c:pt>
                <c:pt idx="38">
                  <c:v>145.75250000000011</c:v>
                </c:pt>
                <c:pt idx="39">
                  <c:v>209.41500000000002</c:v>
                </c:pt>
                <c:pt idx="40">
                  <c:v>437.49124999999998</c:v>
                </c:pt>
                <c:pt idx="41">
                  <c:v>461.31375000000003</c:v>
                </c:pt>
                <c:pt idx="42">
                  <c:v>459.27124999999984</c:v>
                </c:pt>
                <c:pt idx="43">
                  <c:v>413.10125000000005</c:v>
                </c:pt>
                <c:pt idx="44">
                  <c:v>294.12125000000009</c:v>
                </c:pt>
                <c:pt idx="45">
                  <c:v>107.12375000000024</c:v>
                </c:pt>
                <c:pt idx="46">
                  <c:v>134.93874999999989</c:v>
                </c:pt>
                <c:pt idx="47">
                  <c:v>605.84625000000005</c:v>
                </c:pt>
                <c:pt idx="48">
                  <c:v>630.24499999999978</c:v>
                </c:pt>
                <c:pt idx="49">
                  <c:v>583.78499999999974</c:v>
                </c:pt>
                <c:pt idx="50">
                  <c:v>507.02499999999986</c:v>
                </c:pt>
                <c:pt idx="51">
                  <c:v>598.91874999999982</c:v>
                </c:pt>
                <c:pt idx="52">
                  <c:v>697.04999999999984</c:v>
                </c:pt>
                <c:pt idx="53">
                  <c:v>321.19499999999994</c:v>
                </c:pt>
                <c:pt idx="54">
                  <c:v>107.09625</c:v>
                </c:pt>
                <c:pt idx="55">
                  <c:v>742.70374999999967</c:v>
                </c:pt>
                <c:pt idx="56">
                  <c:v>733.8175</c:v>
                </c:pt>
                <c:pt idx="57">
                  <c:v>620.67624999999987</c:v>
                </c:pt>
                <c:pt idx="58">
                  <c:v>655.80999999999972</c:v>
                </c:pt>
                <c:pt idx="59">
                  <c:v>580.80249999999967</c:v>
                </c:pt>
                <c:pt idx="60">
                  <c:v>310.63500000000022</c:v>
                </c:pt>
                <c:pt idx="61">
                  <c:v>258.43874999999986</c:v>
                </c:pt>
                <c:pt idx="62">
                  <c:v>376.68874999999991</c:v>
                </c:pt>
                <c:pt idx="63">
                  <c:v>310.67124999999999</c:v>
                </c:pt>
                <c:pt idx="64">
                  <c:v>267.46624999999966</c:v>
                </c:pt>
                <c:pt idx="65">
                  <c:v>173.85750000000004</c:v>
                </c:pt>
                <c:pt idx="66">
                  <c:v>206.89999999999986</c:v>
                </c:pt>
                <c:pt idx="67">
                  <c:v>164.15624999999989</c:v>
                </c:pt>
                <c:pt idx="68">
                  <c:v>744.37750000000028</c:v>
                </c:pt>
                <c:pt idx="69">
                  <c:v>379.30874999999975</c:v>
                </c:pt>
                <c:pt idx="70">
                  <c:v>362.97875000000005</c:v>
                </c:pt>
                <c:pt idx="71">
                  <c:v>426.19999999999993</c:v>
                </c:pt>
                <c:pt idx="72">
                  <c:v>370.625</c:v>
                </c:pt>
                <c:pt idx="73">
                  <c:v>213.94499999999982</c:v>
                </c:pt>
                <c:pt idx="74">
                  <c:v>369.37875000000008</c:v>
                </c:pt>
                <c:pt idx="75">
                  <c:v>457.92499999999984</c:v>
                </c:pt>
                <c:pt idx="76">
                  <c:v>492.46499999999969</c:v>
                </c:pt>
                <c:pt idx="77">
                  <c:v>495.90749999999991</c:v>
                </c:pt>
                <c:pt idx="78">
                  <c:v>475.23499999999996</c:v>
                </c:pt>
                <c:pt idx="79">
                  <c:v>429.77499999999975</c:v>
                </c:pt>
                <c:pt idx="80">
                  <c:v>460.10249999999974</c:v>
                </c:pt>
                <c:pt idx="81">
                  <c:v>446.98000000000013</c:v>
                </c:pt>
                <c:pt idx="82">
                  <c:v>969.61624999999992</c:v>
                </c:pt>
                <c:pt idx="83">
                  <c:v>552.01374999999996</c:v>
                </c:pt>
                <c:pt idx="84">
                  <c:v>596.0412500000001</c:v>
                </c:pt>
                <c:pt idx="85">
                  <c:v>-12.012500000000149</c:v>
                </c:pt>
                <c:pt idx="86">
                  <c:v>18.872499999999793</c:v>
                </c:pt>
              </c:numCache>
            </c:numRef>
          </c:yVal>
          <c:smooth val="0"/>
          <c:extLst>
            <c:ext xmlns:c16="http://schemas.microsoft.com/office/drawing/2014/chart" uri="{C3380CC4-5D6E-409C-BE32-E72D297353CC}">
              <c16:uniqueId val="{00000000-2F69-438A-8EA8-9E3DE455E7E9}"/>
            </c:ext>
          </c:extLst>
        </c:ser>
        <c:dLbls>
          <c:showLegendKey val="0"/>
          <c:showVal val="0"/>
          <c:showCatName val="0"/>
          <c:showSerName val="0"/>
          <c:showPercent val="0"/>
          <c:showBubbleSize val="0"/>
        </c:dLbls>
        <c:axId val="245450719"/>
        <c:axId val="1"/>
      </c:scatterChart>
      <c:valAx>
        <c:axId val="24545071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45450719"/>
        <c:crosses val="autoZero"/>
        <c:crossBetween val="midCat"/>
      </c:valAx>
      <c:spPr>
        <a:solidFill>
          <a:srgbClr val="C0C0C0"/>
        </a:solidFill>
        <a:ln w="12700">
          <a:solidFill>
            <a:srgbClr val="808080"/>
          </a:solidFill>
          <a:prstDash val="solid"/>
        </a:ln>
      </c:spPr>
    </c:plotArea>
    <c:legend>
      <c:legendPos val="r"/>
      <c:layout>
        <c:manualLayout>
          <c:xMode val="edge"/>
          <c:yMode val="edge"/>
          <c:x val="0.9531447841522892"/>
          <c:y val="0.52191809585445659"/>
          <c:w val="3.6991368680641235E-2"/>
          <c:h val="3.013698630136985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802474320339587"/>
          <c:y val="2.7456647398843931E-2"/>
        </c:manualLayout>
      </c:layout>
      <c:overlay val="0"/>
      <c:spPr>
        <a:noFill/>
        <a:ln w="25400">
          <a:noFill/>
        </a:ln>
      </c:spPr>
      <c:txPr>
        <a:bodyPr/>
        <a:lstStyle/>
        <a:p>
          <a:pPr>
            <a:defRPr sz="1000" b="0"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5.925933070424709E-2"/>
          <c:y val="0.10982658959537572"/>
          <c:w val="0.82716149108011561"/>
          <c:h val="0.82514450867052025"/>
        </c:manualLayout>
      </c:layout>
      <c:scatterChart>
        <c:scatterStyle val="lineMarker"/>
        <c:varyColors val="0"/>
        <c:ser>
          <c:idx val="0"/>
          <c:order val="0"/>
          <c:tx>
            <c:strRef>
              <c:f>Cassiterite!$K$1</c:f>
              <c:strCache>
                <c:ptCount val="1"/>
                <c:pt idx="0">
                  <c:v>   Sn    </c:v>
                </c:pt>
              </c:strCache>
            </c:strRef>
          </c:tx>
          <c:spPr>
            <a:ln w="19050">
              <a:noFill/>
            </a:ln>
          </c:spPr>
          <c:marker>
            <c:symbol val="diamond"/>
            <c:size val="5"/>
            <c:spPr>
              <a:solidFill>
                <a:srgbClr val="000080"/>
              </a:solidFill>
              <a:ln>
                <a:solidFill>
                  <a:srgbClr val="000080"/>
                </a:solidFill>
                <a:prstDash val="solid"/>
              </a:ln>
            </c:spPr>
          </c:marker>
          <c:xVal>
            <c:numRef>
              <c:f>Cassiterite!$H$2:$H$169</c:f>
              <c:numCache>
                <c:formatCode>General</c:formatCode>
                <c:ptCount val="168"/>
                <c:pt idx="0">
                  <c:v>1.66E-2</c:v>
                </c:pt>
                <c:pt idx="1">
                  <c:v>7.4999999999999997E-3</c:v>
                </c:pt>
                <c:pt idx="2">
                  <c:v>4.8999999999999998E-3</c:v>
                </c:pt>
                <c:pt idx="3">
                  <c:v>1.6000000000000001E-3</c:v>
                </c:pt>
                <c:pt idx="4">
                  <c:v>5.9999999999999995E-4</c:v>
                </c:pt>
                <c:pt idx="5">
                  <c:v>0</c:v>
                </c:pt>
                <c:pt idx="6">
                  <c:v>0</c:v>
                </c:pt>
                <c:pt idx="7">
                  <c:v>0</c:v>
                </c:pt>
                <c:pt idx="8">
                  <c:v>0</c:v>
                </c:pt>
                <c:pt idx="9">
                  <c:v>0</c:v>
                </c:pt>
                <c:pt idx="10">
                  <c:v>2.5999999999999999E-3</c:v>
                </c:pt>
                <c:pt idx="11">
                  <c:v>1.71</c:v>
                </c:pt>
                <c:pt idx="12">
                  <c:v>0.25719999999999998</c:v>
                </c:pt>
                <c:pt idx="13">
                  <c:v>4.1799999999999997E-2</c:v>
                </c:pt>
                <c:pt idx="14">
                  <c:v>4.2099999999999999E-2</c:v>
                </c:pt>
                <c:pt idx="15">
                  <c:v>0.30170000000000002</c:v>
                </c:pt>
                <c:pt idx="16">
                  <c:v>4.2799999999999998E-2</c:v>
                </c:pt>
                <c:pt idx="17">
                  <c:v>1.32</c:v>
                </c:pt>
                <c:pt idx="18">
                  <c:v>1.19</c:v>
                </c:pt>
                <c:pt idx="19">
                  <c:v>0.64810000000000001</c:v>
                </c:pt>
                <c:pt idx="20">
                  <c:v>0.38400000000000001</c:v>
                </c:pt>
                <c:pt idx="21">
                  <c:v>1.61E-2</c:v>
                </c:pt>
                <c:pt idx="22">
                  <c:v>1.4999999999999999E-2</c:v>
                </c:pt>
                <c:pt idx="23">
                  <c:v>0.55389999999999995</c:v>
                </c:pt>
                <c:pt idx="24">
                  <c:v>0.43020000000000003</c:v>
                </c:pt>
                <c:pt idx="25">
                  <c:v>0.32350000000000001</c:v>
                </c:pt>
                <c:pt idx="26">
                  <c:v>0.1424</c:v>
                </c:pt>
                <c:pt idx="27">
                  <c:v>0.13150000000000001</c:v>
                </c:pt>
                <c:pt idx="28">
                  <c:v>0.1004</c:v>
                </c:pt>
                <c:pt idx="29">
                  <c:v>8.6199999999999999E-2</c:v>
                </c:pt>
                <c:pt idx="30">
                  <c:v>2.6100000000000002E-2</c:v>
                </c:pt>
                <c:pt idx="31">
                  <c:v>2.4799999999999999E-2</c:v>
                </c:pt>
                <c:pt idx="32">
                  <c:v>2.24E-2</c:v>
                </c:pt>
                <c:pt idx="33">
                  <c:v>2.0400000000000001E-2</c:v>
                </c:pt>
                <c:pt idx="34">
                  <c:v>0.1101</c:v>
                </c:pt>
                <c:pt idx="35">
                  <c:v>2.3199999999999998E-2</c:v>
                </c:pt>
                <c:pt idx="36">
                  <c:v>9.6699999999999994E-2</c:v>
                </c:pt>
                <c:pt idx="37">
                  <c:v>4.2500000000000003E-2</c:v>
                </c:pt>
                <c:pt idx="38">
                  <c:v>8.6699999999999999E-2</c:v>
                </c:pt>
                <c:pt idx="39">
                  <c:v>0.28970000000000001</c:v>
                </c:pt>
                <c:pt idx="40">
                  <c:v>0.52239999999999998</c:v>
                </c:pt>
                <c:pt idx="41">
                  <c:v>5.1900000000000002E-2</c:v>
                </c:pt>
                <c:pt idx="42">
                  <c:v>3.2599999999999997E-2</c:v>
                </c:pt>
                <c:pt idx="43">
                  <c:v>2.9499999999999998E-2</c:v>
                </c:pt>
                <c:pt idx="44">
                  <c:v>0.15490000000000001</c:v>
                </c:pt>
                <c:pt idx="45">
                  <c:v>0.64390000000000003</c:v>
                </c:pt>
                <c:pt idx="46">
                  <c:v>0.37590000000000001</c:v>
                </c:pt>
                <c:pt idx="47">
                  <c:v>0.39560000000000001</c:v>
                </c:pt>
                <c:pt idx="48">
                  <c:v>9.0899999999999995E-2</c:v>
                </c:pt>
                <c:pt idx="49">
                  <c:v>0.2369</c:v>
                </c:pt>
                <c:pt idx="50">
                  <c:v>0.7631</c:v>
                </c:pt>
                <c:pt idx="51">
                  <c:v>0.65620000000000001</c:v>
                </c:pt>
                <c:pt idx="52">
                  <c:v>0.56599999999999995</c:v>
                </c:pt>
                <c:pt idx="53">
                  <c:v>1.33</c:v>
                </c:pt>
                <c:pt idx="54">
                  <c:v>0.31709999999999999</c:v>
                </c:pt>
                <c:pt idx="55">
                  <c:v>0.247</c:v>
                </c:pt>
                <c:pt idx="56">
                  <c:v>0.1234</c:v>
                </c:pt>
                <c:pt idx="57">
                  <c:v>0.1046</c:v>
                </c:pt>
                <c:pt idx="58">
                  <c:v>5.7599999999999998E-2</c:v>
                </c:pt>
                <c:pt idx="59">
                  <c:v>2.4500000000000001E-2</c:v>
                </c:pt>
                <c:pt idx="60">
                  <c:v>0.1769</c:v>
                </c:pt>
                <c:pt idx="61">
                  <c:v>0.1077</c:v>
                </c:pt>
                <c:pt idx="62">
                  <c:v>9.4399999999999998E-2</c:v>
                </c:pt>
                <c:pt idx="63">
                  <c:v>8.4000000000000005E-2</c:v>
                </c:pt>
                <c:pt idx="64">
                  <c:v>6.9099999999999995E-2</c:v>
                </c:pt>
                <c:pt idx="65">
                  <c:v>0.16589999999999999</c:v>
                </c:pt>
                <c:pt idx="66">
                  <c:v>0.49780000000000002</c:v>
                </c:pt>
                <c:pt idx="67">
                  <c:v>0.43830000000000002</c:v>
                </c:pt>
                <c:pt idx="68">
                  <c:v>0.87670000000000003</c:v>
                </c:pt>
                <c:pt idx="69">
                  <c:v>7.1000000000000004E-3</c:v>
                </c:pt>
                <c:pt idx="70">
                  <c:v>0.30320000000000003</c:v>
                </c:pt>
                <c:pt idx="71">
                  <c:v>0.23910000000000001</c:v>
                </c:pt>
                <c:pt idx="72">
                  <c:v>0.22520000000000001</c:v>
                </c:pt>
                <c:pt idx="73">
                  <c:v>8.7999999999999995E-2</c:v>
                </c:pt>
                <c:pt idx="74">
                  <c:v>1.5900000000000001E-2</c:v>
                </c:pt>
                <c:pt idx="75">
                  <c:v>0.3634</c:v>
                </c:pt>
                <c:pt idx="76">
                  <c:v>0.47810000000000002</c:v>
                </c:pt>
                <c:pt idx="77">
                  <c:v>0.56979999999999997</c:v>
                </c:pt>
                <c:pt idx="78">
                  <c:v>0.30020000000000002</c:v>
                </c:pt>
                <c:pt idx="79">
                  <c:v>0.48909999999999998</c:v>
                </c:pt>
                <c:pt idx="80">
                  <c:v>0.80630000000000002</c:v>
                </c:pt>
                <c:pt idx="81">
                  <c:v>7.4999999999999997E-3</c:v>
                </c:pt>
                <c:pt idx="82">
                  <c:v>0.99119999999999997</c:v>
                </c:pt>
                <c:pt idx="83">
                  <c:v>0.13139999999999999</c:v>
                </c:pt>
                <c:pt idx="84">
                  <c:v>3.4000000000000002E-2</c:v>
                </c:pt>
                <c:pt idx="85">
                  <c:v>0.92100000000000004</c:v>
                </c:pt>
                <c:pt idx="86">
                  <c:v>0.22370000000000001</c:v>
                </c:pt>
              </c:numCache>
            </c:numRef>
          </c:xVal>
          <c:yVal>
            <c:numRef>
              <c:f>Cassiterite!$K$2:$K$169</c:f>
              <c:numCache>
                <c:formatCode>General</c:formatCode>
                <c:ptCount val="168"/>
                <c:pt idx="0">
                  <c:v>98.66</c:v>
                </c:pt>
                <c:pt idx="1">
                  <c:v>98.47</c:v>
                </c:pt>
                <c:pt idx="2">
                  <c:v>94.6</c:v>
                </c:pt>
                <c:pt idx="3">
                  <c:v>98.6</c:v>
                </c:pt>
                <c:pt idx="4">
                  <c:v>97.64</c:v>
                </c:pt>
                <c:pt idx="5">
                  <c:v>98.18</c:v>
                </c:pt>
                <c:pt idx="6">
                  <c:v>97.96</c:v>
                </c:pt>
                <c:pt idx="7">
                  <c:v>97.79</c:v>
                </c:pt>
                <c:pt idx="8">
                  <c:v>97.95</c:v>
                </c:pt>
                <c:pt idx="9">
                  <c:v>98.36</c:v>
                </c:pt>
                <c:pt idx="10">
                  <c:v>97.94</c:v>
                </c:pt>
                <c:pt idx="11">
                  <c:v>72.489999999999995</c:v>
                </c:pt>
                <c:pt idx="12">
                  <c:v>75.099999999999994</c:v>
                </c:pt>
                <c:pt idx="13">
                  <c:v>73.5</c:v>
                </c:pt>
                <c:pt idx="14">
                  <c:v>73.03</c:v>
                </c:pt>
                <c:pt idx="15">
                  <c:v>75.59</c:v>
                </c:pt>
                <c:pt idx="16">
                  <c:v>74.25</c:v>
                </c:pt>
                <c:pt idx="17">
                  <c:v>73.44</c:v>
                </c:pt>
                <c:pt idx="18">
                  <c:v>73.97</c:v>
                </c:pt>
                <c:pt idx="19">
                  <c:v>74.83</c:v>
                </c:pt>
                <c:pt idx="20">
                  <c:v>74.19</c:v>
                </c:pt>
                <c:pt idx="21">
                  <c:v>73.55</c:v>
                </c:pt>
                <c:pt idx="22">
                  <c:v>74.040000000000006</c:v>
                </c:pt>
                <c:pt idx="23">
                  <c:v>74.91</c:v>
                </c:pt>
                <c:pt idx="24">
                  <c:v>74.349999999999994</c:v>
                </c:pt>
                <c:pt idx="25">
                  <c:v>74.77</c:v>
                </c:pt>
                <c:pt idx="26">
                  <c:v>74.61</c:v>
                </c:pt>
                <c:pt idx="27">
                  <c:v>73.88</c:v>
                </c:pt>
                <c:pt idx="28">
                  <c:v>74.63</c:v>
                </c:pt>
                <c:pt idx="29">
                  <c:v>74.73</c:v>
                </c:pt>
                <c:pt idx="30">
                  <c:v>74.209999999999994</c:v>
                </c:pt>
                <c:pt idx="31">
                  <c:v>74.45</c:v>
                </c:pt>
                <c:pt idx="32">
                  <c:v>74.3</c:v>
                </c:pt>
                <c:pt idx="33">
                  <c:v>74.209999999999994</c:v>
                </c:pt>
                <c:pt idx="34">
                  <c:v>71.489999999999995</c:v>
                </c:pt>
                <c:pt idx="35">
                  <c:v>75.55</c:v>
                </c:pt>
                <c:pt idx="36">
                  <c:v>72.430000000000007</c:v>
                </c:pt>
                <c:pt idx="37">
                  <c:v>72.53</c:v>
                </c:pt>
                <c:pt idx="38">
                  <c:v>71.739999999999995</c:v>
                </c:pt>
                <c:pt idx="39">
                  <c:v>72.84</c:v>
                </c:pt>
                <c:pt idx="40">
                  <c:v>75.91</c:v>
                </c:pt>
                <c:pt idx="41">
                  <c:v>76.37</c:v>
                </c:pt>
                <c:pt idx="42">
                  <c:v>74.790000000000006</c:v>
                </c:pt>
                <c:pt idx="43">
                  <c:v>76.47</c:v>
                </c:pt>
                <c:pt idx="44">
                  <c:v>74.39</c:v>
                </c:pt>
                <c:pt idx="45">
                  <c:v>72.13</c:v>
                </c:pt>
                <c:pt idx="46">
                  <c:v>71.37</c:v>
                </c:pt>
                <c:pt idx="47">
                  <c:v>74.989999999999995</c:v>
                </c:pt>
                <c:pt idx="48">
                  <c:v>74.52</c:v>
                </c:pt>
                <c:pt idx="49">
                  <c:v>74.36</c:v>
                </c:pt>
                <c:pt idx="50">
                  <c:v>73.400000000000006</c:v>
                </c:pt>
                <c:pt idx="51">
                  <c:v>73.45</c:v>
                </c:pt>
                <c:pt idx="52">
                  <c:v>74.8</c:v>
                </c:pt>
                <c:pt idx="53">
                  <c:v>71.72</c:v>
                </c:pt>
                <c:pt idx="54">
                  <c:v>72.989999999999995</c:v>
                </c:pt>
                <c:pt idx="55">
                  <c:v>75.81</c:v>
                </c:pt>
                <c:pt idx="56">
                  <c:v>76.98</c:v>
                </c:pt>
                <c:pt idx="57">
                  <c:v>76.67</c:v>
                </c:pt>
                <c:pt idx="58">
                  <c:v>75.760000000000005</c:v>
                </c:pt>
                <c:pt idx="59">
                  <c:v>74.540000000000006</c:v>
                </c:pt>
                <c:pt idx="60">
                  <c:v>73.959999999999994</c:v>
                </c:pt>
                <c:pt idx="61">
                  <c:v>75.37</c:v>
                </c:pt>
                <c:pt idx="62">
                  <c:v>73.37</c:v>
                </c:pt>
                <c:pt idx="63">
                  <c:v>73.19</c:v>
                </c:pt>
                <c:pt idx="64">
                  <c:v>74.510000000000005</c:v>
                </c:pt>
                <c:pt idx="65">
                  <c:v>72.819999999999993</c:v>
                </c:pt>
                <c:pt idx="66">
                  <c:v>74.400000000000006</c:v>
                </c:pt>
                <c:pt idx="67">
                  <c:v>74.75</c:v>
                </c:pt>
                <c:pt idx="68">
                  <c:v>74.739999999999995</c:v>
                </c:pt>
                <c:pt idx="69">
                  <c:v>72.89</c:v>
                </c:pt>
                <c:pt idx="70">
                  <c:v>75.209999999999994</c:v>
                </c:pt>
                <c:pt idx="71">
                  <c:v>75.2</c:v>
                </c:pt>
                <c:pt idx="72">
                  <c:v>75</c:v>
                </c:pt>
                <c:pt idx="73">
                  <c:v>73.72</c:v>
                </c:pt>
                <c:pt idx="74">
                  <c:v>73.61</c:v>
                </c:pt>
                <c:pt idx="75">
                  <c:v>75.8</c:v>
                </c:pt>
                <c:pt idx="76">
                  <c:v>75.64</c:v>
                </c:pt>
                <c:pt idx="77">
                  <c:v>75.62</c:v>
                </c:pt>
                <c:pt idx="78">
                  <c:v>75.56</c:v>
                </c:pt>
                <c:pt idx="79">
                  <c:v>75.400000000000006</c:v>
                </c:pt>
                <c:pt idx="80">
                  <c:v>75.34</c:v>
                </c:pt>
                <c:pt idx="81">
                  <c:v>74.08</c:v>
                </c:pt>
                <c:pt idx="82">
                  <c:v>74.91</c:v>
                </c:pt>
                <c:pt idx="83">
                  <c:v>75.569999999999993</c:v>
                </c:pt>
                <c:pt idx="84">
                  <c:v>74.709999999999994</c:v>
                </c:pt>
                <c:pt idx="85">
                  <c:v>75.3</c:v>
                </c:pt>
                <c:pt idx="86">
                  <c:v>75.260000000000005</c:v>
                </c:pt>
              </c:numCache>
            </c:numRef>
          </c:yVal>
          <c:smooth val="0"/>
          <c:extLst>
            <c:ext xmlns:c16="http://schemas.microsoft.com/office/drawing/2014/chart" uri="{C3380CC4-5D6E-409C-BE32-E72D297353CC}">
              <c16:uniqueId val="{00000000-95B9-43B7-9BC3-1159A1ADEA7A}"/>
            </c:ext>
          </c:extLst>
        </c:ser>
        <c:dLbls>
          <c:showLegendKey val="0"/>
          <c:showVal val="0"/>
          <c:showCatName val="0"/>
          <c:showSerName val="0"/>
          <c:showPercent val="0"/>
          <c:showBubbleSize val="0"/>
        </c:dLbls>
        <c:axId val="245448319"/>
        <c:axId val="1"/>
      </c:scatterChart>
      <c:valAx>
        <c:axId val="24544831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45448319"/>
        <c:crosses val="autoZero"/>
        <c:crossBetween val="midCat"/>
      </c:valAx>
      <c:spPr>
        <a:solidFill>
          <a:srgbClr val="C0C0C0"/>
        </a:solidFill>
        <a:ln w="12700">
          <a:solidFill>
            <a:srgbClr val="808080"/>
          </a:solidFill>
          <a:prstDash val="solid"/>
        </a:ln>
      </c:spPr>
    </c:plotArea>
    <c:legend>
      <c:legendPos val="r"/>
      <c:layout>
        <c:manualLayout>
          <c:xMode val="edge"/>
          <c:yMode val="edge"/>
          <c:x val="0.91111214801853468"/>
          <c:y val="0.50722543352601157"/>
          <c:w val="7.9012475292440265E-2"/>
          <c:h val="3.1791907514450823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28</xdr:col>
      <xdr:colOff>142875</xdr:colOff>
      <xdr:row>27</xdr:row>
      <xdr:rowOff>28575</xdr:rowOff>
    </xdr:from>
    <xdr:to>
      <xdr:col>45</xdr:col>
      <xdr:colOff>352425</xdr:colOff>
      <xdr:row>74</xdr:row>
      <xdr:rowOff>95250</xdr:rowOff>
    </xdr:to>
    <xdr:graphicFrame macro="">
      <xdr:nvGraphicFramePr>
        <xdr:cNvPr id="3399" name="Chart 9">
          <a:extLst>
            <a:ext uri="{FF2B5EF4-FFF2-40B4-BE49-F238E27FC236}">
              <a16:creationId xmlns:a16="http://schemas.microsoft.com/office/drawing/2014/main" id="{13CC62E1-DA74-CA30-DD57-085F23F8C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0.04414</cdr:x>
      <cdr:y>0.37877</cdr:y>
    </cdr:from>
    <cdr:to>
      <cdr:x>0.60356</cdr:x>
      <cdr:y>0.93504</cdr:y>
    </cdr:to>
    <cdr:sp macro="" textlink="">
      <cdr:nvSpPr>
        <cdr:cNvPr id="12289" name="Line 1"/>
        <cdr:cNvSpPr>
          <a:spLocks xmlns:a="http://schemas.openxmlformats.org/drawingml/2006/main" noChangeShapeType="1"/>
        </cdr:cNvSpPr>
      </cdr:nvSpPr>
      <cdr:spPr bwMode="auto">
        <a:xfrm xmlns:a="http://schemas.openxmlformats.org/drawingml/2006/main" flipV="1">
          <a:off x="470281" y="2914665"/>
          <a:ext cx="5919926" cy="4275870"/>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p xmlns:a="http://schemas.openxmlformats.org/drawingml/2006/main">
          <a:endParaRPr lang="en-US"/>
        </a:p>
      </cdr:txBody>
    </cdr:sp>
  </cdr:relSizeAnchor>
</c:userShapes>
</file>

<file path=xl/drawings/drawing3.xml><?xml version="1.0" encoding="utf-8"?>
<xdr:wsDr xmlns:xdr="http://schemas.openxmlformats.org/drawingml/2006/spreadsheetDrawing" xmlns:a="http://schemas.openxmlformats.org/drawingml/2006/main">
  <xdr:twoCellAnchor>
    <xdr:from>
      <xdr:col>25</xdr:col>
      <xdr:colOff>19050</xdr:colOff>
      <xdr:row>17</xdr:row>
      <xdr:rowOff>0</xdr:rowOff>
    </xdr:from>
    <xdr:to>
      <xdr:col>32</xdr:col>
      <xdr:colOff>581025</xdr:colOff>
      <xdr:row>46</xdr:row>
      <xdr:rowOff>95250</xdr:rowOff>
    </xdr:to>
    <xdr:graphicFrame macro="">
      <xdr:nvGraphicFramePr>
        <xdr:cNvPr id="7081" name="Chart 1">
          <a:extLst>
            <a:ext uri="{FF2B5EF4-FFF2-40B4-BE49-F238E27FC236}">
              <a16:creationId xmlns:a16="http://schemas.microsoft.com/office/drawing/2014/main" id="{7D42D2F9-7180-1F13-8C58-6A9F6B01D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85725</xdr:colOff>
      <xdr:row>9</xdr:row>
      <xdr:rowOff>133350</xdr:rowOff>
    </xdr:from>
    <xdr:to>
      <xdr:col>38</xdr:col>
      <xdr:colOff>495300</xdr:colOff>
      <xdr:row>47</xdr:row>
      <xdr:rowOff>104775</xdr:rowOff>
    </xdr:to>
    <xdr:graphicFrame macro="">
      <xdr:nvGraphicFramePr>
        <xdr:cNvPr id="7082" name="Chart 5">
          <a:extLst>
            <a:ext uri="{FF2B5EF4-FFF2-40B4-BE49-F238E27FC236}">
              <a16:creationId xmlns:a16="http://schemas.microsoft.com/office/drawing/2014/main" id="{76C64B15-5CB3-067B-DB2D-ED76BF3A1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76200</xdr:colOff>
      <xdr:row>8</xdr:row>
      <xdr:rowOff>114300</xdr:rowOff>
    </xdr:from>
    <xdr:to>
      <xdr:col>37</xdr:col>
      <xdr:colOff>485775</xdr:colOff>
      <xdr:row>51</xdr:row>
      <xdr:rowOff>104775</xdr:rowOff>
    </xdr:to>
    <xdr:graphicFrame macro="">
      <xdr:nvGraphicFramePr>
        <xdr:cNvPr id="7083" name="Chart 7">
          <a:extLst>
            <a:ext uri="{FF2B5EF4-FFF2-40B4-BE49-F238E27FC236}">
              <a16:creationId xmlns:a16="http://schemas.microsoft.com/office/drawing/2014/main" id="{BF58328A-1880-D19F-52D7-81935B830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209550</xdr:colOff>
      <xdr:row>4</xdr:row>
      <xdr:rowOff>95250</xdr:rowOff>
    </xdr:from>
    <xdr:to>
      <xdr:col>38</xdr:col>
      <xdr:colOff>0</xdr:colOff>
      <xdr:row>45</xdr:row>
      <xdr:rowOff>47625</xdr:rowOff>
    </xdr:to>
    <xdr:graphicFrame macro="">
      <xdr:nvGraphicFramePr>
        <xdr:cNvPr id="7084" name="Chart 8">
          <a:extLst>
            <a:ext uri="{FF2B5EF4-FFF2-40B4-BE49-F238E27FC236}">
              <a16:creationId xmlns:a16="http://schemas.microsoft.com/office/drawing/2014/main" id="{3188ECB7-4573-56AE-B7F1-04969D10D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0.08263</cdr:x>
      <cdr:y>0.13097</cdr:y>
    </cdr:from>
    <cdr:to>
      <cdr:x>0.34413</cdr:x>
      <cdr:y>0.91657</cdr:y>
    </cdr:to>
    <cdr:sp macro="" textlink="">
      <cdr:nvSpPr>
        <cdr:cNvPr id="7169" name="Line 1"/>
        <cdr:cNvSpPr>
          <a:spLocks xmlns:a="http://schemas.openxmlformats.org/drawingml/2006/main" noChangeShapeType="1"/>
        </cdr:cNvSpPr>
      </cdr:nvSpPr>
      <cdr:spPr bwMode="auto">
        <a:xfrm xmlns:a="http://schemas.openxmlformats.org/drawingml/2006/main" flipV="1">
          <a:off x="403001" y="631911"/>
          <a:ext cx="1265315" cy="3771338"/>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0.08312</cdr:x>
      <cdr:y>0.13097</cdr:y>
    </cdr:from>
    <cdr:to>
      <cdr:x>0.41888</cdr:x>
      <cdr:y>0.91657</cdr:y>
    </cdr:to>
    <cdr:sp macro="" textlink="">
      <cdr:nvSpPr>
        <cdr:cNvPr id="7170" name="Line 2"/>
        <cdr:cNvSpPr>
          <a:spLocks xmlns:a="http://schemas.openxmlformats.org/drawingml/2006/main" noChangeShapeType="1"/>
        </cdr:cNvSpPr>
      </cdr:nvSpPr>
      <cdr:spPr bwMode="auto">
        <a:xfrm xmlns:a="http://schemas.openxmlformats.org/drawingml/2006/main" flipV="1">
          <a:off x="405373" y="631911"/>
          <a:ext cx="1624632" cy="3771338"/>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E630B-B247-4903-9857-0BEB7A36297C}">
  <dimension ref="A1:P142"/>
  <sheetViews>
    <sheetView workbookViewId="0">
      <pane ySplit="510" topLeftCell="A16" activePane="bottomLeft"/>
      <selection pane="bottomLeft" activeCell="P2" sqref="P2"/>
      <selection sqref="A1:IV65536"/>
    </sheetView>
  </sheetViews>
  <sheetFormatPr defaultRowHeight="12.7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66</v>
      </c>
      <c r="B2">
        <v>4.75</v>
      </c>
      <c r="C2">
        <v>0</v>
      </c>
      <c r="D2">
        <v>24.23</v>
      </c>
      <c r="E2">
        <v>8.6400000000000005E-2</v>
      </c>
      <c r="F2">
        <v>4.5999999999999999E-3</v>
      </c>
      <c r="G2">
        <v>0</v>
      </c>
      <c r="H2">
        <v>2.81</v>
      </c>
      <c r="I2">
        <v>0</v>
      </c>
      <c r="J2">
        <v>60.49</v>
      </c>
      <c r="K2">
        <v>0</v>
      </c>
      <c r="L2">
        <v>4.2200000000000001E-2</v>
      </c>
      <c r="M2">
        <v>6.1600000000000002E-2</v>
      </c>
      <c r="N2">
        <v>92.474900000000005</v>
      </c>
      <c r="O2" t="s">
        <v>16</v>
      </c>
      <c r="P2" t="s">
        <v>17</v>
      </c>
    </row>
    <row r="3" spans="1:16">
      <c r="A3">
        <v>62</v>
      </c>
      <c r="B3">
        <v>1.24</v>
      </c>
      <c r="C3">
        <v>0</v>
      </c>
      <c r="D3">
        <v>22.14</v>
      </c>
      <c r="E3">
        <v>5.0299999999999997E-2</v>
      </c>
      <c r="F3">
        <v>0</v>
      </c>
      <c r="G3">
        <v>7.1000000000000004E-3</v>
      </c>
      <c r="H3">
        <v>0.83520000000000005</v>
      </c>
      <c r="I3">
        <v>0</v>
      </c>
      <c r="J3">
        <v>68.11</v>
      </c>
      <c r="K3">
        <v>0</v>
      </c>
      <c r="L3">
        <v>5.3199999999999997E-2</v>
      </c>
      <c r="M3">
        <v>6.6900000000000001E-2</v>
      </c>
      <c r="N3">
        <v>92.502799999999993</v>
      </c>
      <c r="O3" t="s">
        <v>16</v>
      </c>
      <c r="P3" t="s">
        <v>17</v>
      </c>
    </row>
    <row r="4" spans="1:16">
      <c r="A4">
        <v>60</v>
      </c>
      <c r="B4">
        <v>0.57550000000000001</v>
      </c>
      <c r="C4">
        <v>0</v>
      </c>
      <c r="D4">
        <v>20.39</v>
      </c>
      <c r="E4">
        <v>7.0300000000000001E-2</v>
      </c>
      <c r="F4">
        <v>0</v>
      </c>
      <c r="G4">
        <v>0</v>
      </c>
      <c r="H4">
        <v>0.53920000000000001</v>
      </c>
      <c r="I4">
        <v>0</v>
      </c>
      <c r="J4">
        <v>71.900000000000006</v>
      </c>
      <c r="K4">
        <v>0</v>
      </c>
      <c r="L4">
        <v>4.5400000000000003E-2</v>
      </c>
      <c r="M4">
        <v>5.4899999999999997E-2</v>
      </c>
      <c r="N4">
        <v>93.575400000000002</v>
      </c>
      <c r="O4" t="s">
        <v>16</v>
      </c>
      <c r="P4" t="s">
        <v>17</v>
      </c>
    </row>
    <row r="5" spans="1:16">
      <c r="A5">
        <v>61</v>
      </c>
      <c r="B5">
        <v>0.30559999999999998</v>
      </c>
      <c r="C5">
        <v>0</v>
      </c>
      <c r="D5">
        <v>20.32</v>
      </c>
      <c r="E5">
        <v>4.7300000000000002E-2</v>
      </c>
      <c r="F5">
        <v>0</v>
      </c>
      <c r="G5">
        <v>1.5E-3</v>
      </c>
      <c r="H5">
        <v>0.29549999999999998</v>
      </c>
      <c r="I5">
        <v>0</v>
      </c>
      <c r="J5">
        <v>72.77</v>
      </c>
      <c r="K5">
        <v>5.0000000000000001E-3</v>
      </c>
      <c r="L5">
        <v>6.4299999999999996E-2</v>
      </c>
      <c r="M5">
        <v>5.0200000000000002E-2</v>
      </c>
      <c r="N5">
        <v>93.859499999999997</v>
      </c>
      <c r="O5" t="s">
        <v>16</v>
      </c>
      <c r="P5" t="s">
        <v>17</v>
      </c>
    </row>
    <row r="6" spans="1:16">
      <c r="A6">
        <v>64</v>
      </c>
      <c r="B6">
        <v>0.83550000000000002</v>
      </c>
      <c r="C6">
        <v>0</v>
      </c>
      <c r="D6">
        <v>23.12</v>
      </c>
      <c r="E6">
        <v>5.0500000000000003E-2</v>
      </c>
      <c r="F6">
        <v>0</v>
      </c>
      <c r="G6">
        <v>0</v>
      </c>
      <c r="H6">
        <v>0.49059999999999998</v>
      </c>
      <c r="I6">
        <v>0</v>
      </c>
      <c r="J6">
        <v>69.72</v>
      </c>
      <c r="K6">
        <v>0</v>
      </c>
      <c r="L6">
        <v>4.2799999999999998E-2</v>
      </c>
      <c r="M6">
        <v>3.6400000000000002E-2</v>
      </c>
      <c r="N6">
        <v>94.295900000000003</v>
      </c>
      <c r="O6" t="s">
        <v>16</v>
      </c>
      <c r="P6" t="s">
        <v>17</v>
      </c>
    </row>
    <row r="7" spans="1:16">
      <c r="A7">
        <v>58</v>
      </c>
      <c r="B7">
        <v>0.40139999999999998</v>
      </c>
      <c r="C7">
        <v>0</v>
      </c>
      <c r="D7">
        <v>21.93</v>
      </c>
      <c r="E7">
        <v>8.1900000000000001E-2</v>
      </c>
      <c r="F7">
        <v>0</v>
      </c>
      <c r="G7">
        <v>1.1999999999999999E-3</v>
      </c>
      <c r="H7">
        <v>0.33479999999999999</v>
      </c>
      <c r="I7">
        <v>0</v>
      </c>
      <c r="J7">
        <v>71.569999999999993</v>
      </c>
      <c r="K7">
        <v>0</v>
      </c>
      <c r="L7">
        <v>6.9900000000000004E-2</v>
      </c>
      <c r="M7">
        <v>4.9000000000000002E-2</v>
      </c>
      <c r="N7">
        <v>94.438299999999998</v>
      </c>
      <c r="O7" t="s">
        <v>16</v>
      </c>
      <c r="P7" t="s">
        <v>17</v>
      </c>
    </row>
    <row r="8" spans="1:16">
      <c r="A8">
        <v>65</v>
      </c>
      <c r="B8">
        <v>0.61750000000000005</v>
      </c>
      <c r="C8">
        <v>0</v>
      </c>
      <c r="D8">
        <v>23.12</v>
      </c>
      <c r="E8">
        <v>8.9899999999999994E-2</v>
      </c>
      <c r="F8">
        <v>1.54E-2</v>
      </c>
      <c r="G8">
        <v>0</v>
      </c>
      <c r="H8">
        <v>0.51780000000000004</v>
      </c>
      <c r="I8">
        <v>0</v>
      </c>
      <c r="J8">
        <v>71</v>
      </c>
      <c r="K8">
        <v>2.9999999999999997E-4</v>
      </c>
      <c r="L8">
        <v>6.8599999999999994E-2</v>
      </c>
      <c r="M8">
        <v>7.1999999999999995E-2</v>
      </c>
      <c r="N8">
        <v>95.501499999999993</v>
      </c>
      <c r="O8" t="s">
        <v>16</v>
      </c>
      <c r="P8" t="s">
        <v>17</v>
      </c>
    </row>
    <row r="9" spans="1:16">
      <c r="A9">
        <v>63</v>
      </c>
      <c r="B9">
        <v>0.2326</v>
      </c>
      <c r="C9">
        <v>0</v>
      </c>
      <c r="D9">
        <v>29.51</v>
      </c>
      <c r="E9">
        <v>8.1600000000000006E-2</v>
      </c>
      <c r="F9">
        <v>0</v>
      </c>
      <c r="G9">
        <v>1E-4</v>
      </c>
      <c r="H9">
        <v>0.23039999999999999</v>
      </c>
      <c r="I9">
        <v>0</v>
      </c>
      <c r="J9">
        <v>65.64</v>
      </c>
      <c r="K9">
        <v>0</v>
      </c>
      <c r="L9">
        <v>2.2200000000000001E-2</v>
      </c>
      <c r="M9">
        <v>7.0199999999999999E-2</v>
      </c>
      <c r="N9">
        <v>95.787199999999999</v>
      </c>
      <c r="O9" t="s">
        <v>16</v>
      </c>
      <c r="P9" t="s">
        <v>17</v>
      </c>
    </row>
    <row r="10" spans="1:16">
      <c r="A10">
        <v>59</v>
      </c>
      <c r="B10">
        <v>1.21</v>
      </c>
      <c r="C10">
        <v>0</v>
      </c>
      <c r="D10">
        <v>23.64</v>
      </c>
      <c r="E10">
        <v>5.1200000000000002E-2</v>
      </c>
      <c r="F10">
        <v>0</v>
      </c>
      <c r="G10">
        <v>8.9999999999999998E-4</v>
      </c>
      <c r="H10">
        <v>0.73750000000000004</v>
      </c>
      <c r="I10">
        <v>0</v>
      </c>
      <c r="J10">
        <v>70.540000000000006</v>
      </c>
      <c r="K10">
        <v>0</v>
      </c>
      <c r="L10">
        <v>2.9600000000000001E-2</v>
      </c>
      <c r="M10">
        <v>4.8599999999999997E-2</v>
      </c>
      <c r="N10">
        <v>96.257900000000006</v>
      </c>
      <c r="O10" t="s">
        <v>16</v>
      </c>
      <c r="P10" t="s">
        <v>17</v>
      </c>
    </row>
    <row r="11" spans="1:16">
      <c r="A11">
        <v>67</v>
      </c>
      <c r="B11">
        <v>0.60329999999999995</v>
      </c>
      <c r="C11">
        <v>0</v>
      </c>
      <c r="D11">
        <v>23.17</v>
      </c>
      <c r="E11">
        <v>4.4400000000000002E-2</v>
      </c>
      <c r="F11">
        <v>0</v>
      </c>
      <c r="G11">
        <v>0</v>
      </c>
      <c r="H11">
        <v>0.41810000000000003</v>
      </c>
      <c r="I11">
        <v>0</v>
      </c>
      <c r="J11">
        <v>71.959999999999994</v>
      </c>
      <c r="K11">
        <v>0</v>
      </c>
      <c r="L11">
        <v>6.4600000000000005E-2</v>
      </c>
      <c r="M11">
        <v>4.58E-2</v>
      </c>
      <c r="N11">
        <v>96.306299999999993</v>
      </c>
      <c r="O11" t="s">
        <v>16</v>
      </c>
      <c r="P11" t="s">
        <v>17</v>
      </c>
    </row>
    <row r="12" spans="1:16">
      <c r="A12">
        <v>69</v>
      </c>
      <c r="B12">
        <v>1.05</v>
      </c>
      <c r="C12">
        <v>0</v>
      </c>
      <c r="D12">
        <v>25.15</v>
      </c>
      <c r="E12">
        <v>0.1542</v>
      </c>
      <c r="F12">
        <v>0</v>
      </c>
      <c r="G12">
        <v>0</v>
      </c>
      <c r="H12">
        <v>1</v>
      </c>
      <c r="I12">
        <v>0</v>
      </c>
      <c r="J12">
        <v>63.62</v>
      </c>
      <c r="K12">
        <v>0</v>
      </c>
      <c r="L12">
        <v>5.5800000000000002E-2</v>
      </c>
      <c r="M12">
        <v>6.4000000000000001E-2</v>
      </c>
      <c r="N12">
        <v>91.094099999999997</v>
      </c>
      <c r="O12" t="s">
        <v>18</v>
      </c>
      <c r="P12" t="s">
        <v>17</v>
      </c>
    </row>
    <row r="13" spans="1:16">
      <c r="A13">
        <v>56</v>
      </c>
      <c r="B13">
        <v>5.37</v>
      </c>
      <c r="C13">
        <v>0</v>
      </c>
      <c r="D13">
        <v>23.46</v>
      </c>
      <c r="E13">
        <v>8.5099999999999995E-2</v>
      </c>
      <c r="F13">
        <v>4.7999999999999996E-3</v>
      </c>
      <c r="G13">
        <v>0</v>
      </c>
      <c r="H13">
        <v>3.25</v>
      </c>
      <c r="I13">
        <v>0</v>
      </c>
      <c r="J13">
        <v>60.68</v>
      </c>
      <c r="K13">
        <v>0</v>
      </c>
      <c r="L13">
        <v>3.5400000000000001E-2</v>
      </c>
      <c r="M13">
        <v>3.61E-2</v>
      </c>
      <c r="N13">
        <v>92.921499999999995</v>
      </c>
      <c r="O13" t="s">
        <v>19</v>
      </c>
      <c r="P13" t="s">
        <v>17</v>
      </c>
    </row>
    <row r="14" spans="1:16">
      <c r="A14">
        <v>55</v>
      </c>
      <c r="B14">
        <v>0.7177</v>
      </c>
      <c r="C14">
        <v>0</v>
      </c>
      <c r="D14">
        <v>20.79</v>
      </c>
      <c r="E14">
        <v>6.9400000000000003E-2</v>
      </c>
      <c r="F14">
        <v>0</v>
      </c>
      <c r="G14">
        <v>0</v>
      </c>
      <c r="H14">
        <v>0.55369999999999997</v>
      </c>
      <c r="I14">
        <v>0</v>
      </c>
      <c r="J14">
        <v>72.88</v>
      </c>
      <c r="K14">
        <v>0</v>
      </c>
      <c r="L14">
        <v>5.2699999999999997E-2</v>
      </c>
      <c r="M14">
        <v>4.7699999999999999E-2</v>
      </c>
      <c r="N14">
        <v>95.1113</v>
      </c>
      <c r="O14" t="s">
        <v>19</v>
      </c>
      <c r="P14" t="s">
        <v>17</v>
      </c>
    </row>
    <row r="15" spans="1:16">
      <c r="A15">
        <v>57</v>
      </c>
      <c r="B15">
        <v>0.5111</v>
      </c>
      <c r="C15">
        <v>0</v>
      </c>
      <c r="D15">
        <v>22.28</v>
      </c>
      <c r="E15">
        <v>8.4699999999999998E-2</v>
      </c>
      <c r="F15">
        <v>2.3800000000000002E-2</v>
      </c>
      <c r="G15">
        <v>0</v>
      </c>
      <c r="H15">
        <v>0.46629999999999999</v>
      </c>
      <c r="I15">
        <v>0</v>
      </c>
      <c r="J15">
        <v>72.849999999999994</v>
      </c>
      <c r="K15">
        <v>0</v>
      </c>
      <c r="L15">
        <v>3.6900000000000002E-2</v>
      </c>
      <c r="M15">
        <v>6.3399999999999998E-2</v>
      </c>
      <c r="N15">
        <v>96.316299999999998</v>
      </c>
      <c r="O15" t="s">
        <v>19</v>
      </c>
      <c r="P15" t="s">
        <v>17</v>
      </c>
    </row>
    <row r="16" spans="1:16">
      <c r="A16">
        <v>53</v>
      </c>
      <c r="B16">
        <v>2.12</v>
      </c>
      <c r="C16">
        <v>0</v>
      </c>
      <c r="D16">
        <v>25.78</v>
      </c>
      <c r="E16">
        <v>9.35E-2</v>
      </c>
      <c r="F16">
        <v>0</v>
      </c>
      <c r="G16">
        <v>7.3000000000000001E-3</v>
      </c>
      <c r="H16">
        <v>1.29</v>
      </c>
      <c r="I16">
        <v>0</v>
      </c>
      <c r="J16">
        <v>67.33</v>
      </c>
      <c r="K16">
        <v>0</v>
      </c>
      <c r="L16">
        <v>3.6499999999999998E-2</v>
      </c>
      <c r="M16">
        <v>4.07E-2</v>
      </c>
      <c r="N16">
        <v>96.698099999999997</v>
      </c>
      <c r="O16" t="s">
        <v>19</v>
      </c>
      <c r="P16" t="s">
        <v>17</v>
      </c>
    </row>
    <row r="17" spans="1:16">
      <c r="A17">
        <v>54</v>
      </c>
      <c r="B17">
        <v>0.15440000000000001</v>
      </c>
      <c r="C17">
        <v>0</v>
      </c>
      <c r="D17">
        <v>28.15</v>
      </c>
      <c r="E17">
        <v>0.1217</v>
      </c>
      <c r="F17">
        <v>0</v>
      </c>
      <c r="G17">
        <v>4.0000000000000001E-3</v>
      </c>
      <c r="H17">
        <v>0.37909999999999999</v>
      </c>
      <c r="I17">
        <v>0</v>
      </c>
      <c r="J17">
        <v>69.680000000000007</v>
      </c>
      <c r="K17">
        <v>0</v>
      </c>
      <c r="L17">
        <v>7.3800000000000004E-2</v>
      </c>
      <c r="M17">
        <v>5.0700000000000002E-2</v>
      </c>
      <c r="N17">
        <v>98.613699999999994</v>
      </c>
      <c r="O17" t="s">
        <v>19</v>
      </c>
      <c r="P17" t="s">
        <v>17</v>
      </c>
    </row>
    <row r="18" spans="1:16">
      <c r="A18">
        <v>95</v>
      </c>
      <c r="B18">
        <v>0</v>
      </c>
      <c r="C18">
        <v>0</v>
      </c>
      <c r="D18">
        <v>23.46</v>
      </c>
      <c r="E18">
        <v>0</v>
      </c>
      <c r="F18">
        <v>0</v>
      </c>
      <c r="G18">
        <v>1.8E-3</v>
      </c>
      <c r="H18">
        <v>1.24</v>
      </c>
      <c r="I18">
        <v>7.1000000000000004E-3</v>
      </c>
      <c r="J18">
        <v>76.42</v>
      </c>
      <c r="K18">
        <v>0</v>
      </c>
      <c r="L18">
        <v>5.1299999999999998E-2</v>
      </c>
      <c r="M18">
        <v>6.3899999999999998E-2</v>
      </c>
      <c r="N18">
        <v>101.244</v>
      </c>
      <c r="O18" t="s">
        <v>20</v>
      </c>
      <c r="P18" t="s">
        <v>21</v>
      </c>
    </row>
    <row r="19" spans="1:16">
      <c r="A19">
        <v>96</v>
      </c>
      <c r="B19">
        <v>0</v>
      </c>
      <c r="C19">
        <v>0</v>
      </c>
      <c r="D19">
        <v>23.31</v>
      </c>
      <c r="E19">
        <v>0</v>
      </c>
      <c r="F19">
        <v>0</v>
      </c>
      <c r="G19">
        <v>0</v>
      </c>
      <c r="H19">
        <v>0.66359999999999997</v>
      </c>
      <c r="I19">
        <v>1E-3</v>
      </c>
      <c r="J19">
        <v>76.31</v>
      </c>
      <c r="K19">
        <v>0</v>
      </c>
      <c r="L19">
        <v>3.1300000000000001E-2</v>
      </c>
      <c r="M19">
        <v>4.8000000000000001E-2</v>
      </c>
      <c r="N19">
        <v>100.3638</v>
      </c>
      <c r="O19" t="s">
        <v>20</v>
      </c>
      <c r="P19" t="s">
        <v>21</v>
      </c>
    </row>
    <row r="20" spans="1:16">
      <c r="A20">
        <v>85</v>
      </c>
      <c r="B20">
        <v>0</v>
      </c>
      <c r="C20">
        <v>0</v>
      </c>
      <c r="D20">
        <v>23.99</v>
      </c>
      <c r="E20">
        <v>1.2699999999999999E-2</v>
      </c>
      <c r="F20">
        <v>6.8999999999999999E-3</v>
      </c>
      <c r="G20">
        <v>6.7000000000000002E-3</v>
      </c>
      <c r="H20">
        <v>1.21</v>
      </c>
      <c r="I20">
        <v>0</v>
      </c>
      <c r="J20">
        <v>73.180000000000007</v>
      </c>
      <c r="K20">
        <v>0</v>
      </c>
      <c r="L20">
        <v>7.7299999999999994E-2</v>
      </c>
      <c r="M20">
        <v>4.8599999999999997E-2</v>
      </c>
      <c r="N20">
        <v>98.532200000000003</v>
      </c>
      <c r="O20" t="s">
        <v>20</v>
      </c>
      <c r="P20" t="s">
        <v>21</v>
      </c>
    </row>
    <row r="21" spans="1:16">
      <c r="A21">
        <v>97</v>
      </c>
      <c r="B21">
        <v>0</v>
      </c>
      <c r="C21">
        <v>0</v>
      </c>
      <c r="D21">
        <v>26.03</v>
      </c>
      <c r="E21">
        <v>4.7999999999999996E-3</v>
      </c>
      <c r="F21">
        <v>7.4000000000000003E-3</v>
      </c>
      <c r="G21">
        <v>7.1999999999999998E-3</v>
      </c>
      <c r="H21">
        <v>1.99</v>
      </c>
      <c r="I21">
        <v>0</v>
      </c>
      <c r="J21">
        <v>72.06</v>
      </c>
      <c r="K21">
        <v>0</v>
      </c>
      <c r="L21">
        <v>4.7300000000000002E-2</v>
      </c>
      <c r="M21">
        <v>4.1500000000000002E-2</v>
      </c>
      <c r="N21">
        <v>100.18810000000001</v>
      </c>
      <c r="O21" t="s">
        <v>20</v>
      </c>
      <c r="P21" t="s">
        <v>21</v>
      </c>
    </row>
    <row r="22" spans="1:16">
      <c r="A22">
        <v>48</v>
      </c>
      <c r="B22">
        <v>0</v>
      </c>
      <c r="C22">
        <v>0</v>
      </c>
      <c r="D22">
        <v>24.81</v>
      </c>
      <c r="E22">
        <v>0</v>
      </c>
      <c r="F22">
        <v>0</v>
      </c>
      <c r="G22">
        <v>5.3E-3</v>
      </c>
      <c r="H22">
        <v>1.25</v>
      </c>
      <c r="I22">
        <v>4.1999999999999997E-3</v>
      </c>
      <c r="J22">
        <v>73.209999999999994</v>
      </c>
      <c r="K22">
        <v>0</v>
      </c>
      <c r="L22">
        <v>5.6000000000000001E-2</v>
      </c>
      <c r="M22">
        <v>8.4000000000000005E-2</v>
      </c>
      <c r="N22">
        <v>99.419499999999999</v>
      </c>
      <c r="O22" t="s">
        <v>22</v>
      </c>
      <c r="P22" t="s">
        <v>21</v>
      </c>
    </row>
    <row r="23" spans="1:16">
      <c r="A23">
        <v>37</v>
      </c>
      <c r="B23">
        <v>1.4200000000000001E-2</v>
      </c>
      <c r="C23">
        <v>0</v>
      </c>
      <c r="D23">
        <v>31.43</v>
      </c>
      <c r="E23">
        <v>3.6700000000000003E-2</v>
      </c>
      <c r="F23">
        <v>0</v>
      </c>
      <c r="G23">
        <v>1.6000000000000001E-3</v>
      </c>
      <c r="H23">
        <v>14.71</v>
      </c>
      <c r="I23">
        <v>8.9999999999999998E-4</v>
      </c>
      <c r="J23">
        <v>50.63</v>
      </c>
      <c r="K23">
        <v>0</v>
      </c>
      <c r="L23">
        <v>4.3799999999999999E-2</v>
      </c>
      <c r="M23">
        <v>0.14269999999999999</v>
      </c>
      <c r="N23">
        <v>97.01</v>
      </c>
      <c r="O23" t="s">
        <v>23</v>
      </c>
      <c r="P23" t="s">
        <v>24</v>
      </c>
    </row>
    <row r="24" spans="1:16">
      <c r="A24">
        <v>38</v>
      </c>
      <c r="B24">
        <v>1.6299999999999999E-2</v>
      </c>
      <c r="C24">
        <v>0</v>
      </c>
      <c r="D24">
        <v>31.64</v>
      </c>
      <c r="E24">
        <v>2.5399999999999999E-2</v>
      </c>
      <c r="F24">
        <v>0</v>
      </c>
      <c r="G24">
        <v>1.4E-3</v>
      </c>
      <c r="H24">
        <v>15.04</v>
      </c>
      <c r="I24">
        <v>5.3E-3</v>
      </c>
      <c r="J24">
        <v>51.22</v>
      </c>
      <c r="K24">
        <v>0</v>
      </c>
      <c r="L24">
        <v>4.8599999999999997E-2</v>
      </c>
      <c r="M24">
        <v>0.1168</v>
      </c>
      <c r="N24">
        <v>98.113799999999998</v>
      </c>
      <c r="O24" t="s">
        <v>23</v>
      </c>
      <c r="P24" t="s">
        <v>24</v>
      </c>
    </row>
    <row r="25" spans="1:16">
      <c r="A25">
        <v>3</v>
      </c>
      <c r="B25">
        <v>9.7000000000000003E-3</v>
      </c>
      <c r="C25">
        <v>0</v>
      </c>
      <c r="D25">
        <v>32</v>
      </c>
      <c r="E25">
        <v>5.9900000000000002E-2</v>
      </c>
      <c r="F25">
        <v>0</v>
      </c>
      <c r="G25">
        <v>0</v>
      </c>
      <c r="H25">
        <v>14.22</v>
      </c>
      <c r="I25">
        <v>0</v>
      </c>
      <c r="J25">
        <v>53.59</v>
      </c>
      <c r="K25">
        <v>4.1000000000000003E-3</v>
      </c>
      <c r="L25">
        <v>9.1999999999999998E-2</v>
      </c>
      <c r="M25">
        <v>0.12039999999999999</v>
      </c>
      <c r="N25">
        <v>100.096</v>
      </c>
      <c r="O25" t="s">
        <v>25</v>
      </c>
      <c r="P25" t="s">
        <v>24</v>
      </c>
    </row>
    <row r="26" spans="1:16">
      <c r="A26">
        <v>4</v>
      </c>
      <c r="B26">
        <v>1.77E-2</v>
      </c>
      <c r="C26">
        <v>0</v>
      </c>
      <c r="D26">
        <v>32.03</v>
      </c>
      <c r="E26">
        <v>3.6999999999999998E-2</v>
      </c>
      <c r="F26">
        <v>0</v>
      </c>
      <c r="G26">
        <v>1.6000000000000001E-3</v>
      </c>
      <c r="H26">
        <v>14.15</v>
      </c>
      <c r="I26">
        <v>4.48E-2</v>
      </c>
      <c r="J26">
        <v>53.29</v>
      </c>
      <c r="K26">
        <v>0.1676</v>
      </c>
      <c r="L26">
        <v>0.55459999999999998</v>
      </c>
      <c r="M26">
        <v>0.16420000000000001</v>
      </c>
      <c r="N26">
        <v>100.4575</v>
      </c>
      <c r="O26" t="s">
        <v>25</v>
      </c>
      <c r="P26" t="s">
        <v>24</v>
      </c>
    </row>
    <row r="27" spans="1:16">
      <c r="A27">
        <v>5</v>
      </c>
      <c r="B27">
        <v>2.5399999999999999E-2</v>
      </c>
      <c r="C27">
        <v>0</v>
      </c>
      <c r="D27">
        <v>31.86</v>
      </c>
      <c r="E27">
        <v>5.2499999999999998E-2</v>
      </c>
      <c r="F27">
        <v>0</v>
      </c>
      <c r="G27">
        <v>0</v>
      </c>
      <c r="H27">
        <v>14.23</v>
      </c>
      <c r="I27">
        <v>0</v>
      </c>
      <c r="J27">
        <v>54.11</v>
      </c>
      <c r="K27">
        <v>0</v>
      </c>
      <c r="L27">
        <v>4.5499999999999999E-2</v>
      </c>
      <c r="M27">
        <v>0.1542</v>
      </c>
      <c r="N27">
        <v>100.47750000000001</v>
      </c>
      <c r="O27" t="s">
        <v>25</v>
      </c>
      <c r="P27" t="s">
        <v>24</v>
      </c>
    </row>
    <row r="28" spans="1:16">
      <c r="A28">
        <v>22</v>
      </c>
      <c r="B28">
        <v>9.1000000000000004E-3</v>
      </c>
      <c r="C28">
        <v>0</v>
      </c>
      <c r="D28">
        <v>31.03</v>
      </c>
      <c r="E28">
        <v>2.58E-2</v>
      </c>
      <c r="F28">
        <v>0</v>
      </c>
      <c r="G28">
        <v>2.5999999999999999E-3</v>
      </c>
      <c r="H28">
        <v>14.08</v>
      </c>
      <c r="I28">
        <v>0</v>
      </c>
      <c r="J28">
        <v>54.22</v>
      </c>
      <c r="K28">
        <v>0</v>
      </c>
      <c r="L28">
        <v>7.1599999999999997E-2</v>
      </c>
      <c r="M28">
        <v>0.10589999999999999</v>
      </c>
      <c r="N28">
        <v>99.545100000000005</v>
      </c>
      <c r="O28" t="s">
        <v>26</v>
      </c>
      <c r="P28" t="s">
        <v>24</v>
      </c>
    </row>
    <row r="29" spans="1:16">
      <c r="A29">
        <v>24</v>
      </c>
      <c r="B29">
        <v>1.52E-2</v>
      </c>
      <c r="C29">
        <v>0</v>
      </c>
      <c r="D29">
        <v>30.34</v>
      </c>
      <c r="E29">
        <v>4.7399999999999998E-2</v>
      </c>
      <c r="F29">
        <v>5.1000000000000004E-3</v>
      </c>
      <c r="G29">
        <v>1.1999999999999999E-3</v>
      </c>
      <c r="H29">
        <v>15.38</v>
      </c>
      <c r="I29">
        <v>0</v>
      </c>
      <c r="J29">
        <v>49.96</v>
      </c>
      <c r="K29">
        <v>0</v>
      </c>
      <c r="L29">
        <v>0.1032</v>
      </c>
      <c r="M29">
        <v>0.13070000000000001</v>
      </c>
      <c r="N29">
        <v>95.982900000000001</v>
      </c>
      <c r="O29" t="s">
        <v>27</v>
      </c>
      <c r="P29" t="s">
        <v>24</v>
      </c>
    </row>
    <row r="30" spans="1:16">
      <c r="A30">
        <v>23</v>
      </c>
      <c r="B30">
        <v>3.1300000000000001E-2</v>
      </c>
      <c r="C30">
        <v>0</v>
      </c>
      <c r="D30">
        <v>31.57</v>
      </c>
      <c r="E30">
        <v>4.4699999999999997E-2</v>
      </c>
      <c r="F30">
        <v>0</v>
      </c>
      <c r="G30">
        <v>0</v>
      </c>
      <c r="H30">
        <v>14.34</v>
      </c>
      <c r="I30">
        <v>0</v>
      </c>
      <c r="J30">
        <v>50.26</v>
      </c>
      <c r="K30">
        <v>0</v>
      </c>
      <c r="L30">
        <v>0.1046</v>
      </c>
      <c r="M30">
        <v>0.152</v>
      </c>
      <c r="N30">
        <v>96.502700000000004</v>
      </c>
      <c r="O30" t="s">
        <v>27</v>
      </c>
      <c r="P30" t="s">
        <v>24</v>
      </c>
    </row>
    <row r="31" spans="1:16">
      <c r="A31">
        <v>44</v>
      </c>
      <c r="B31">
        <v>1.7899999999999999E-2</v>
      </c>
      <c r="C31">
        <v>0</v>
      </c>
      <c r="D31">
        <v>31.3</v>
      </c>
      <c r="E31">
        <v>7.0800000000000002E-2</v>
      </c>
      <c r="F31">
        <v>0</v>
      </c>
      <c r="G31">
        <v>0</v>
      </c>
      <c r="H31">
        <v>14.4</v>
      </c>
      <c r="I31">
        <v>0</v>
      </c>
      <c r="J31">
        <v>51.67</v>
      </c>
      <c r="K31">
        <v>3.2399999999999998E-2</v>
      </c>
      <c r="L31">
        <v>0.10489999999999999</v>
      </c>
      <c r="M31">
        <v>0.13730000000000001</v>
      </c>
      <c r="N31">
        <v>97.7333</v>
      </c>
      <c r="O31" t="s">
        <v>28</v>
      </c>
      <c r="P31" t="s">
        <v>24</v>
      </c>
    </row>
    <row r="32" spans="1:16">
      <c r="A32">
        <v>45</v>
      </c>
      <c r="B32">
        <v>2.5000000000000001E-2</v>
      </c>
      <c r="C32">
        <v>0</v>
      </c>
      <c r="D32">
        <v>31.49</v>
      </c>
      <c r="E32">
        <v>8.0799999999999997E-2</v>
      </c>
      <c r="F32">
        <v>0</v>
      </c>
      <c r="G32">
        <v>0</v>
      </c>
      <c r="H32">
        <v>13.85</v>
      </c>
      <c r="I32">
        <v>0</v>
      </c>
      <c r="J32">
        <v>52.48</v>
      </c>
      <c r="K32">
        <v>0</v>
      </c>
      <c r="L32">
        <v>0.1094</v>
      </c>
      <c r="M32">
        <v>0.1084</v>
      </c>
      <c r="N32">
        <v>98.143600000000006</v>
      </c>
      <c r="O32" t="s">
        <v>28</v>
      </c>
      <c r="P32" t="s">
        <v>24</v>
      </c>
    </row>
    <row r="33" spans="1:16">
      <c r="A33">
        <v>46</v>
      </c>
      <c r="B33">
        <v>3.2000000000000001E-2</v>
      </c>
      <c r="C33">
        <v>0</v>
      </c>
      <c r="D33">
        <v>31.01</v>
      </c>
      <c r="E33">
        <v>6.9599999999999995E-2</v>
      </c>
      <c r="F33">
        <v>0</v>
      </c>
      <c r="G33">
        <v>0</v>
      </c>
      <c r="H33">
        <v>13.92</v>
      </c>
      <c r="I33">
        <v>0</v>
      </c>
      <c r="J33">
        <v>53.25</v>
      </c>
      <c r="K33">
        <v>0</v>
      </c>
      <c r="L33">
        <v>3.5400000000000001E-2</v>
      </c>
      <c r="M33">
        <v>0.1195</v>
      </c>
      <c r="N33">
        <v>98.436599999999999</v>
      </c>
      <c r="O33" t="s">
        <v>28</v>
      </c>
      <c r="P33" t="s">
        <v>24</v>
      </c>
    </row>
    <row r="34" spans="1:16">
      <c r="A34">
        <v>27</v>
      </c>
      <c r="B34">
        <v>7.1000000000000004E-3</v>
      </c>
      <c r="C34">
        <v>0</v>
      </c>
      <c r="D34">
        <v>31.41</v>
      </c>
      <c r="E34">
        <v>4.1700000000000001E-2</v>
      </c>
      <c r="F34">
        <v>0</v>
      </c>
      <c r="G34">
        <v>0</v>
      </c>
      <c r="H34">
        <v>16.82</v>
      </c>
      <c r="I34">
        <v>0</v>
      </c>
      <c r="J34">
        <v>48.28</v>
      </c>
      <c r="K34">
        <v>0</v>
      </c>
      <c r="L34">
        <v>4.4600000000000001E-2</v>
      </c>
      <c r="M34">
        <v>0.14360000000000001</v>
      </c>
      <c r="N34">
        <v>96.747100000000003</v>
      </c>
      <c r="O34" t="s">
        <v>29</v>
      </c>
      <c r="P34" t="s">
        <v>24</v>
      </c>
    </row>
    <row r="35" spans="1:16">
      <c r="A35">
        <v>29</v>
      </c>
      <c r="B35">
        <v>2.3E-2</v>
      </c>
      <c r="C35">
        <v>0</v>
      </c>
      <c r="D35">
        <v>31.44</v>
      </c>
      <c r="E35">
        <v>2.81E-2</v>
      </c>
      <c r="F35">
        <v>0</v>
      </c>
      <c r="G35">
        <v>0</v>
      </c>
      <c r="H35">
        <v>14.26</v>
      </c>
      <c r="I35">
        <v>0</v>
      </c>
      <c r="J35">
        <v>52.44</v>
      </c>
      <c r="K35">
        <v>0</v>
      </c>
      <c r="L35">
        <v>8.8800000000000004E-2</v>
      </c>
      <c r="M35">
        <v>0.1323</v>
      </c>
      <c r="N35">
        <v>98.412300000000002</v>
      </c>
      <c r="O35" t="s">
        <v>29</v>
      </c>
      <c r="P35" t="s">
        <v>24</v>
      </c>
    </row>
    <row r="36" spans="1:16">
      <c r="A36">
        <v>28</v>
      </c>
      <c r="B36">
        <v>7.9000000000000008E-3</v>
      </c>
      <c r="C36">
        <v>0</v>
      </c>
      <c r="D36">
        <v>31.7</v>
      </c>
      <c r="E36">
        <v>2.9000000000000001E-2</v>
      </c>
      <c r="F36">
        <v>0</v>
      </c>
      <c r="G36">
        <v>0</v>
      </c>
      <c r="H36">
        <v>14.16</v>
      </c>
      <c r="I36">
        <v>0</v>
      </c>
      <c r="J36">
        <v>52.46</v>
      </c>
      <c r="K36">
        <v>0</v>
      </c>
      <c r="L36">
        <v>4.5100000000000001E-2</v>
      </c>
      <c r="M36">
        <v>0.1196</v>
      </c>
      <c r="N36">
        <v>98.521699999999996</v>
      </c>
      <c r="O36" t="s">
        <v>29</v>
      </c>
      <c r="P36" t="s">
        <v>24</v>
      </c>
    </row>
    <row r="37" spans="1:16">
      <c r="A37">
        <v>30</v>
      </c>
      <c r="B37">
        <v>2.8500000000000001E-2</v>
      </c>
      <c r="C37">
        <v>0</v>
      </c>
      <c r="D37">
        <v>31.07</v>
      </c>
      <c r="E37">
        <v>4.8000000000000001E-2</v>
      </c>
      <c r="F37">
        <v>0</v>
      </c>
      <c r="G37">
        <v>0</v>
      </c>
      <c r="H37">
        <v>14.13</v>
      </c>
      <c r="I37">
        <v>0</v>
      </c>
      <c r="J37">
        <v>53.08</v>
      </c>
      <c r="K37">
        <v>0</v>
      </c>
      <c r="L37">
        <v>0.16159999999999999</v>
      </c>
      <c r="M37">
        <v>0.13120000000000001</v>
      </c>
      <c r="N37">
        <v>98.6494</v>
      </c>
      <c r="O37" t="s">
        <v>29</v>
      </c>
      <c r="P37" t="s">
        <v>24</v>
      </c>
    </row>
    <row r="38" spans="1:16">
      <c r="A38">
        <v>59</v>
      </c>
      <c r="B38">
        <v>0</v>
      </c>
      <c r="C38">
        <v>0</v>
      </c>
      <c r="D38">
        <v>17.87</v>
      </c>
      <c r="E38">
        <v>0.26479999999999998</v>
      </c>
      <c r="F38">
        <v>0</v>
      </c>
      <c r="G38">
        <v>0</v>
      </c>
      <c r="H38">
        <v>3.65</v>
      </c>
      <c r="I38">
        <v>0</v>
      </c>
      <c r="J38">
        <v>76.02</v>
      </c>
      <c r="K38">
        <v>0</v>
      </c>
      <c r="L38">
        <v>6.6400000000000001E-2</v>
      </c>
      <c r="M38">
        <v>7.6899999999999996E-2</v>
      </c>
      <c r="N38">
        <v>97.948099999999997</v>
      </c>
      <c r="O38" t="s">
        <v>30</v>
      </c>
      <c r="P38" t="s">
        <v>24</v>
      </c>
    </row>
    <row r="39" spans="1:16">
      <c r="A39">
        <v>58</v>
      </c>
      <c r="B39">
        <v>0</v>
      </c>
      <c r="C39">
        <v>0</v>
      </c>
      <c r="D39">
        <v>18.66</v>
      </c>
      <c r="E39">
        <v>0.27110000000000001</v>
      </c>
      <c r="F39">
        <v>4.0000000000000002E-4</v>
      </c>
      <c r="G39">
        <v>0</v>
      </c>
      <c r="H39">
        <v>3.6</v>
      </c>
      <c r="I39">
        <v>0</v>
      </c>
      <c r="J39">
        <v>76.040000000000006</v>
      </c>
      <c r="K39">
        <v>0</v>
      </c>
      <c r="L39">
        <v>5.21E-2</v>
      </c>
      <c r="M39">
        <v>7.4700000000000003E-2</v>
      </c>
      <c r="N39">
        <v>98.698400000000007</v>
      </c>
      <c r="O39" t="s">
        <v>30</v>
      </c>
      <c r="P39" t="s">
        <v>24</v>
      </c>
    </row>
    <row r="40" spans="1:16">
      <c r="A40">
        <v>70</v>
      </c>
      <c r="B40">
        <v>0</v>
      </c>
      <c r="C40">
        <v>0</v>
      </c>
      <c r="D40">
        <v>18.8</v>
      </c>
      <c r="E40">
        <v>0.2989</v>
      </c>
      <c r="F40">
        <v>0</v>
      </c>
      <c r="G40">
        <v>0</v>
      </c>
      <c r="H40">
        <v>3.57</v>
      </c>
      <c r="I40">
        <v>0</v>
      </c>
      <c r="J40">
        <v>76.02</v>
      </c>
      <c r="K40">
        <v>0</v>
      </c>
      <c r="L40">
        <v>6.4500000000000002E-2</v>
      </c>
      <c r="M40">
        <v>7.5300000000000006E-2</v>
      </c>
      <c r="N40">
        <v>98.828800000000001</v>
      </c>
      <c r="O40" t="s">
        <v>30</v>
      </c>
      <c r="P40" t="s">
        <v>24</v>
      </c>
    </row>
    <row r="41" spans="1:16">
      <c r="A41">
        <v>60</v>
      </c>
      <c r="B41">
        <v>0</v>
      </c>
      <c r="C41">
        <v>0</v>
      </c>
      <c r="D41">
        <v>18.96</v>
      </c>
      <c r="E41">
        <v>0.33300000000000002</v>
      </c>
      <c r="F41">
        <v>0</v>
      </c>
      <c r="G41">
        <v>0</v>
      </c>
      <c r="H41">
        <v>3.58</v>
      </c>
      <c r="I41">
        <v>0</v>
      </c>
      <c r="J41">
        <v>76.37</v>
      </c>
      <c r="K41">
        <v>0</v>
      </c>
      <c r="L41">
        <v>8.2299999999999998E-2</v>
      </c>
      <c r="M41">
        <v>8.2900000000000001E-2</v>
      </c>
      <c r="N41">
        <v>99.408299999999997</v>
      </c>
      <c r="O41" t="s">
        <v>30</v>
      </c>
      <c r="P41" t="s">
        <v>24</v>
      </c>
    </row>
    <row r="42" spans="1:16">
      <c r="A42">
        <v>72</v>
      </c>
      <c r="B42">
        <v>0</v>
      </c>
      <c r="C42">
        <v>0</v>
      </c>
      <c r="D42">
        <v>19.559999999999999</v>
      </c>
      <c r="E42">
        <v>0.28470000000000001</v>
      </c>
      <c r="F42">
        <v>0</v>
      </c>
      <c r="G42">
        <v>0</v>
      </c>
      <c r="H42">
        <v>4.22</v>
      </c>
      <c r="I42">
        <v>0</v>
      </c>
      <c r="J42">
        <v>75.47</v>
      </c>
      <c r="K42">
        <v>0</v>
      </c>
      <c r="L42">
        <v>8.5000000000000006E-2</v>
      </c>
      <c r="M42">
        <v>7.8E-2</v>
      </c>
      <c r="N42">
        <v>99.697800000000001</v>
      </c>
      <c r="O42" t="s">
        <v>30</v>
      </c>
      <c r="P42" t="s">
        <v>24</v>
      </c>
    </row>
    <row r="43" spans="1:16">
      <c r="A43">
        <v>61</v>
      </c>
      <c r="B43">
        <v>0</v>
      </c>
      <c r="C43">
        <v>0</v>
      </c>
      <c r="D43">
        <v>19.850000000000001</v>
      </c>
      <c r="E43">
        <v>0.3211</v>
      </c>
      <c r="F43">
        <v>0</v>
      </c>
      <c r="G43">
        <v>0</v>
      </c>
      <c r="H43">
        <v>3.37</v>
      </c>
      <c r="I43">
        <v>0</v>
      </c>
      <c r="J43">
        <v>76.52</v>
      </c>
      <c r="K43">
        <v>0</v>
      </c>
      <c r="L43">
        <v>7.5300000000000006E-2</v>
      </c>
      <c r="M43">
        <v>7.5600000000000001E-2</v>
      </c>
      <c r="N43">
        <v>100.2119</v>
      </c>
      <c r="O43" t="s">
        <v>30</v>
      </c>
      <c r="P43" t="s">
        <v>24</v>
      </c>
    </row>
    <row r="44" spans="1:16">
      <c r="A44">
        <v>71</v>
      </c>
      <c r="B44">
        <v>0</v>
      </c>
      <c r="C44">
        <v>0</v>
      </c>
      <c r="D44">
        <v>20.170000000000002</v>
      </c>
      <c r="E44">
        <v>0.27910000000000001</v>
      </c>
      <c r="F44">
        <v>0</v>
      </c>
      <c r="G44">
        <v>0</v>
      </c>
      <c r="H44">
        <v>3.25</v>
      </c>
      <c r="I44">
        <v>0</v>
      </c>
      <c r="J44">
        <v>76.48</v>
      </c>
      <c r="K44">
        <v>0</v>
      </c>
      <c r="L44">
        <v>3.9600000000000003E-2</v>
      </c>
      <c r="M44">
        <v>0.1157</v>
      </c>
      <c r="N44">
        <v>100.3344</v>
      </c>
      <c r="O44" t="s">
        <v>30</v>
      </c>
      <c r="P44" t="s">
        <v>24</v>
      </c>
    </row>
    <row r="45" spans="1:16">
      <c r="A45">
        <v>68</v>
      </c>
      <c r="B45">
        <v>0</v>
      </c>
      <c r="C45">
        <v>0</v>
      </c>
      <c r="D45">
        <v>21.21</v>
      </c>
      <c r="E45">
        <v>0.2757</v>
      </c>
      <c r="F45">
        <v>0</v>
      </c>
      <c r="G45">
        <v>0</v>
      </c>
      <c r="H45">
        <v>3.2</v>
      </c>
      <c r="I45">
        <v>0</v>
      </c>
      <c r="J45">
        <v>76.760000000000005</v>
      </c>
      <c r="K45">
        <v>0</v>
      </c>
      <c r="L45">
        <v>6.54E-2</v>
      </c>
      <c r="M45">
        <v>7.0900000000000005E-2</v>
      </c>
      <c r="N45">
        <v>101.5819</v>
      </c>
      <c r="O45" t="s">
        <v>30</v>
      </c>
      <c r="P45" t="s">
        <v>24</v>
      </c>
    </row>
    <row r="46" spans="1:16">
      <c r="A46">
        <v>69</v>
      </c>
      <c r="B46">
        <v>0</v>
      </c>
      <c r="C46">
        <v>0</v>
      </c>
      <c r="D46">
        <v>23.58</v>
      </c>
      <c r="E46">
        <v>0.23530000000000001</v>
      </c>
      <c r="F46">
        <v>0</v>
      </c>
      <c r="G46">
        <v>0</v>
      </c>
      <c r="H46">
        <v>2.96</v>
      </c>
      <c r="I46">
        <v>0</v>
      </c>
      <c r="J46">
        <v>76.92</v>
      </c>
      <c r="K46">
        <v>0</v>
      </c>
      <c r="L46">
        <v>4.2799999999999998E-2</v>
      </c>
      <c r="M46">
        <v>7.5499999999999998E-2</v>
      </c>
      <c r="N46">
        <v>103.8135</v>
      </c>
      <c r="O46" t="s">
        <v>30</v>
      </c>
      <c r="P46" t="s">
        <v>24</v>
      </c>
    </row>
    <row r="47" spans="1:16">
      <c r="A47">
        <v>82</v>
      </c>
      <c r="B47">
        <v>0</v>
      </c>
      <c r="C47">
        <v>0</v>
      </c>
      <c r="D47">
        <v>19.14</v>
      </c>
      <c r="E47">
        <v>0.21460000000000001</v>
      </c>
      <c r="F47">
        <v>0</v>
      </c>
      <c r="G47">
        <v>0</v>
      </c>
      <c r="H47">
        <v>0.4733</v>
      </c>
      <c r="I47">
        <v>0</v>
      </c>
      <c r="J47">
        <v>70.400000000000006</v>
      </c>
      <c r="K47">
        <v>7.7700000000000005E-2</v>
      </c>
      <c r="L47">
        <v>7.85E-2</v>
      </c>
      <c r="M47">
        <v>3.8699999999999998E-2</v>
      </c>
      <c r="N47">
        <v>90.422899999999998</v>
      </c>
      <c r="O47" t="s">
        <v>31</v>
      </c>
      <c r="P47" t="s">
        <v>24</v>
      </c>
    </row>
    <row r="48" spans="1:16">
      <c r="A48">
        <v>80</v>
      </c>
      <c r="B48">
        <v>0</v>
      </c>
      <c r="C48">
        <v>0</v>
      </c>
      <c r="D48">
        <v>22.99</v>
      </c>
      <c r="E48">
        <v>1.24E-2</v>
      </c>
      <c r="F48">
        <v>0</v>
      </c>
      <c r="G48">
        <v>0</v>
      </c>
      <c r="H48">
        <v>9.6100000000000005E-2</v>
      </c>
      <c r="I48">
        <v>9.2999999999999992E-3</v>
      </c>
      <c r="J48">
        <v>68.98</v>
      </c>
      <c r="K48">
        <v>5.28E-2</v>
      </c>
      <c r="L48">
        <v>5.7599999999999998E-2</v>
      </c>
      <c r="M48">
        <v>6.9500000000000006E-2</v>
      </c>
      <c r="N48">
        <v>92.267799999999994</v>
      </c>
      <c r="O48" t="s">
        <v>31</v>
      </c>
      <c r="P48" t="s">
        <v>24</v>
      </c>
    </row>
    <row r="49" spans="1:16">
      <c r="A49">
        <v>91</v>
      </c>
      <c r="B49">
        <v>0</v>
      </c>
      <c r="C49">
        <v>0</v>
      </c>
      <c r="D49">
        <v>23.07</v>
      </c>
      <c r="E49">
        <v>1.5100000000000001E-2</v>
      </c>
      <c r="F49">
        <v>0</v>
      </c>
      <c r="G49">
        <v>0</v>
      </c>
      <c r="H49">
        <v>3.1E-2</v>
      </c>
      <c r="I49">
        <v>0</v>
      </c>
      <c r="J49">
        <v>69.349999999999994</v>
      </c>
      <c r="K49">
        <v>9.7000000000000003E-3</v>
      </c>
      <c r="L49">
        <v>2.7E-2</v>
      </c>
      <c r="M49">
        <v>3.9800000000000002E-2</v>
      </c>
      <c r="N49">
        <v>92.542599999999993</v>
      </c>
      <c r="O49" t="s">
        <v>31</v>
      </c>
      <c r="P49" t="s">
        <v>24</v>
      </c>
    </row>
    <row r="50" spans="1:16">
      <c r="A50">
        <v>92</v>
      </c>
      <c r="B50">
        <v>0</v>
      </c>
      <c r="C50">
        <v>0</v>
      </c>
      <c r="D50">
        <v>22.4</v>
      </c>
      <c r="E50">
        <v>2.2100000000000002E-2</v>
      </c>
      <c r="F50">
        <v>0</v>
      </c>
      <c r="G50">
        <v>0</v>
      </c>
      <c r="H50">
        <v>5.2499999999999998E-2</v>
      </c>
      <c r="I50">
        <v>0</v>
      </c>
      <c r="J50">
        <v>70.099999999999994</v>
      </c>
      <c r="K50">
        <v>7.9200000000000007E-2</v>
      </c>
      <c r="L50">
        <v>8.7599999999999997E-2</v>
      </c>
      <c r="M50">
        <v>3.27E-2</v>
      </c>
      <c r="N50">
        <v>92.774199999999993</v>
      </c>
      <c r="O50" t="s">
        <v>31</v>
      </c>
      <c r="P50" t="s">
        <v>24</v>
      </c>
    </row>
    <row r="51" spans="1:16">
      <c r="A51">
        <v>81</v>
      </c>
      <c r="B51">
        <v>0</v>
      </c>
      <c r="C51">
        <v>0</v>
      </c>
      <c r="D51">
        <v>22.82</v>
      </c>
      <c r="E51">
        <v>1.9599999999999999E-2</v>
      </c>
      <c r="F51">
        <v>0</v>
      </c>
      <c r="G51">
        <v>0</v>
      </c>
      <c r="H51">
        <v>0.14019999999999999</v>
      </c>
      <c r="I51">
        <v>0</v>
      </c>
      <c r="J51">
        <v>70.55</v>
      </c>
      <c r="K51">
        <v>5.6899999999999999E-2</v>
      </c>
      <c r="L51">
        <v>6.3899999999999998E-2</v>
      </c>
      <c r="M51">
        <v>2.6599999999999999E-2</v>
      </c>
      <c r="N51">
        <v>93.677300000000002</v>
      </c>
      <c r="O51" t="s">
        <v>31</v>
      </c>
      <c r="P51" t="s">
        <v>24</v>
      </c>
    </row>
    <row r="52" spans="1:16">
      <c r="A52">
        <v>79</v>
      </c>
      <c r="B52">
        <v>0</v>
      </c>
      <c r="C52">
        <v>0</v>
      </c>
      <c r="D52">
        <v>23.24</v>
      </c>
      <c r="E52">
        <v>1.2800000000000001E-2</v>
      </c>
      <c r="F52">
        <v>0</v>
      </c>
      <c r="G52">
        <v>0</v>
      </c>
      <c r="H52">
        <v>0.1139</v>
      </c>
      <c r="I52">
        <v>2.5600000000000001E-2</v>
      </c>
      <c r="J52">
        <v>71.38</v>
      </c>
      <c r="K52">
        <v>5.3199999999999997E-2</v>
      </c>
      <c r="L52">
        <v>6.7199999999999996E-2</v>
      </c>
      <c r="M52">
        <v>4.9599999999999998E-2</v>
      </c>
      <c r="N52">
        <v>94.942300000000003</v>
      </c>
      <c r="O52" t="s">
        <v>31</v>
      </c>
      <c r="P52" t="s">
        <v>24</v>
      </c>
    </row>
    <row r="53" spans="1:16">
      <c r="A53">
        <v>78</v>
      </c>
      <c r="B53">
        <v>0</v>
      </c>
      <c r="C53">
        <v>0</v>
      </c>
      <c r="D53">
        <v>22.95</v>
      </c>
      <c r="E53">
        <v>1.6199999999999999E-2</v>
      </c>
      <c r="F53">
        <v>0</v>
      </c>
      <c r="G53">
        <v>0</v>
      </c>
      <c r="H53">
        <v>0.12280000000000001</v>
      </c>
      <c r="I53">
        <v>0</v>
      </c>
      <c r="J53">
        <v>72.25</v>
      </c>
      <c r="K53">
        <v>0.05</v>
      </c>
      <c r="L53">
        <v>9.8599999999999993E-2</v>
      </c>
      <c r="M53">
        <v>7.2999999999999995E-2</v>
      </c>
      <c r="N53">
        <v>95.560699999999997</v>
      </c>
      <c r="O53" t="s">
        <v>31</v>
      </c>
      <c r="P53" t="s">
        <v>24</v>
      </c>
    </row>
    <row r="54" spans="1:16">
      <c r="A54">
        <v>77</v>
      </c>
      <c r="B54">
        <v>0</v>
      </c>
      <c r="C54">
        <v>0</v>
      </c>
      <c r="D54">
        <v>23.14</v>
      </c>
      <c r="E54">
        <v>3.9800000000000002E-2</v>
      </c>
      <c r="F54">
        <v>0</v>
      </c>
      <c r="G54">
        <v>0</v>
      </c>
      <c r="H54">
        <v>0.1055</v>
      </c>
      <c r="I54">
        <v>0</v>
      </c>
      <c r="J54">
        <v>72.290000000000006</v>
      </c>
      <c r="K54">
        <v>1.04E-2</v>
      </c>
      <c r="L54">
        <v>3.2300000000000002E-2</v>
      </c>
      <c r="M54">
        <v>5.45E-2</v>
      </c>
      <c r="N54">
        <v>95.672600000000003</v>
      </c>
      <c r="O54" t="s">
        <v>31</v>
      </c>
      <c r="P54" t="s">
        <v>24</v>
      </c>
    </row>
    <row r="55" spans="1:16">
      <c r="A55">
        <v>56</v>
      </c>
      <c r="B55">
        <v>19.39</v>
      </c>
      <c r="C55">
        <v>0</v>
      </c>
      <c r="D55">
        <v>32.549999999999997</v>
      </c>
      <c r="E55">
        <v>2.3E-3</v>
      </c>
      <c r="F55">
        <v>0</v>
      </c>
      <c r="G55">
        <v>4.0000000000000002E-4</v>
      </c>
      <c r="H55">
        <v>4.65E-2</v>
      </c>
      <c r="I55">
        <v>8.0999999999999996E-3</v>
      </c>
      <c r="J55">
        <v>51.14</v>
      </c>
      <c r="K55">
        <v>5.5999999999999999E-3</v>
      </c>
      <c r="L55">
        <v>2.4199999999999999E-2</v>
      </c>
      <c r="M55">
        <v>8.09E-2</v>
      </c>
      <c r="N55">
        <v>103.2479</v>
      </c>
      <c r="O55" t="s">
        <v>32</v>
      </c>
      <c r="P55" t="s">
        <v>33</v>
      </c>
    </row>
    <row r="56" spans="1:16">
      <c r="A56">
        <v>55</v>
      </c>
      <c r="B56">
        <v>19.510000000000002</v>
      </c>
      <c r="C56">
        <v>0</v>
      </c>
      <c r="D56">
        <v>33.15</v>
      </c>
      <c r="E56">
        <v>0</v>
      </c>
      <c r="F56">
        <v>0</v>
      </c>
      <c r="G56">
        <v>0</v>
      </c>
      <c r="H56">
        <v>0.10489999999999999</v>
      </c>
      <c r="I56">
        <v>4.1000000000000003E-3</v>
      </c>
      <c r="J56">
        <v>51.72</v>
      </c>
      <c r="K56">
        <v>6.7999999999999996E-3</v>
      </c>
      <c r="L56">
        <v>3.4500000000000003E-2</v>
      </c>
      <c r="M56">
        <v>8.1299999999999997E-2</v>
      </c>
      <c r="N56">
        <v>104.61150000000001</v>
      </c>
      <c r="O56" t="s">
        <v>32</v>
      </c>
      <c r="P56" t="s">
        <v>33</v>
      </c>
    </row>
    <row r="57" spans="1:16">
      <c r="A57">
        <v>50</v>
      </c>
      <c r="B57">
        <v>6.7</v>
      </c>
      <c r="C57">
        <v>0</v>
      </c>
      <c r="D57">
        <v>29.11</v>
      </c>
      <c r="E57">
        <v>0.44130000000000003</v>
      </c>
      <c r="F57">
        <v>0</v>
      </c>
      <c r="G57">
        <v>0</v>
      </c>
      <c r="H57">
        <v>11.56</v>
      </c>
      <c r="I57">
        <v>0</v>
      </c>
      <c r="J57">
        <v>53.09</v>
      </c>
      <c r="K57">
        <v>0</v>
      </c>
      <c r="L57">
        <v>2.9700000000000001E-2</v>
      </c>
      <c r="M57">
        <v>0.13780000000000001</v>
      </c>
      <c r="N57">
        <v>101.0688</v>
      </c>
      <c r="O57" t="s">
        <v>34</v>
      </c>
      <c r="P57" t="s">
        <v>33</v>
      </c>
    </row>
    <row r="58" spans="1:16">
      <c r="A58">
        <v>4</v>
      </c>
      <c r="B58">
        <v>0</v>
      </c>
      <c r="C58">
        <v>0</v>
      </c>
      <c r="D58">
        <v>26.26</v>
      </c>
      <c r="E58">
        <v>0.19589999999999999</v>
      </c>
      <c r="F58">
        <v>0</v>
      </c>
      <c r="G58">
        <v>0</v>
      </c>
      <c r="H58">
        <v>9.83</v>
      </c>
      <c r="I58">
        <v>0</v>
      </c>
      <c r="J58">
        <v>66.64</v>
      </c>
      <c r="K58">
        <v>0</v>
      </c>
      <c r="L58">
        <v>3.2800000000000003E-2</v>
      </c>
      <c r="M58">
        <v>8.0799999999999997E-2</v>
      </c>
      <c r="N58">
        <v>103.0395</v>
      </c>
      <c r="O58" t="s">
        <v>35</v>
      </c>
      <c r="P58" t="s">
        <v>36</v>
      </c>
    </row>
    <row r="59" spans="1:16">
      <c r="A59">
        <v>69</v>
      </c>
      <c r="B59">
        <v>0</v>
      </c>
      <c r="C59">
        <v>0</v>
      </c>
      <c r="D59">
        <v>29.12</v>
      </c>
      <c r="E59">
        <v>6.7999999999999996E-3</v>
      </c>
      <c r="F59">
        <v>0</v>
      </c>
      <c r="G59">
        <v>0</v>
      </c>
      <c r="H59">
        <v>10.14</v>
      </c>
      <c r="I59">
        <v>0</v>
      </c>
      <c r="J59">
        <v>59.79</v>
      </c>
      <c r="K59">
        <v>1.2999999999999999E-3</v>
      </c>
      <c r="L59">
        <v>5.1299999999999998E-2</v>
      </c>
      <c r="M59">
        <v>0.11260000000000001</v>
      </c>
      <c r="N59">
        <v>99.222099999999998</v>
      </c>
      <c r="O59" t="s">
        <v>37</v>
      </c>
      <c r="P59" t="s">
        <v>38</v>
      </c>
    </row>
    <row r="60" spans="1:16">
      <c r="A60">
        <v>75</v>
      </c>
      <c r="B60">
        <v>0</v>
      </c>
      <c r="C60">
        <v>0</v>
      </c>
      <c r="D60">
        <v>30.8</v>
      </c>
      <c r="E60">
        <v>2.4400000000000002E-2</v>
      </c>
      <c r="F60">
        <v>0</v>
      </c>
      <c r="G60">
        <v>0</v>
      </c>
      <c r="H60">
        <v>13.45</v>
      </c>
      <c r="I60">
        <v>0</v>
      </c>
      <c r="J60">
        <v>55.56</v>
      </c>
      <c r="K60">
        <v>3.5999999999999999E-3</v>
      </c>
      <c r="L60">
        <v>3.95E-2</v>
      </c>
      <c r="M60">
        <v>0.14119999999999999</v>
      </c>
      <c r="N60">
        <v>100.01860000000001</v>
      </c>
      <c r="O60" t="s">
        <v>37</v>
      </c>
      <c r="P60" t="s">
        <v>38</v>
      </c>
    </row>
    <row r="61" spans="1:16">
      <c r="A61">
        <v>66</v>
      </c>
      <c r="B61">
        <v>0</v>
      </c>
      <c r="C61">
        <v>0</v>
      </c>
      <c r="D61">
        <v>30.36</v>
      </c>
      <c r="E61">
        <v>1.6299999999999999E-2</v>
      </c>
      <c r="F61">
        <v>0</v>
      </c>
      <c r="G61">
        <v>0</v>
      </c>
      <c r="H61">
        <v>13</v>
      </c>
      <c r="I61">
        <v>7.7000000000000002E-3</v>
      </c>
      <c r="J61">
        <v>56.57</v>
      </c>
      <c r="K61">
        <v>2.0999999999999999E-3</v>
      </c>
      <c r="L61">
        <v>5.0099999999999999E-2</v>
      </c>
      <c r="M61">
        <v>0.13800000000000001</v>
      </c>
      <c r="N61">
        <v>100.14409999999999</v>
      </c>
      <c r="O61" t="s">
        <v>37</v>
      </c>
      <c r="P61" t="s">
        <v>38</v>
      </c>
    </row>
    <row r="62" spans="1:16">
      <c r="A62">
        <v>65</v>
      </c>
      <c r="B62">
        <v>0</v>
      </c>
      <c r="C62">
        <v>0</v>
      </c>
      <c r="D62">
        <v>30.49</v>
      </c>
      <c r="E62">
        <v>1.7000000000000001E-2</v>
      </c>
      <c r="F62">
        <v>0</v>
      </c>
      <c r="G62">
        <v>0</v>
      </c>
      <c r="H62">
        <v>13.18</v>
      </c>
      <c r="I62">
        <v>0</v>
      </c>
      <c r="J62">
        <v>56.84</v>
      </c>
      <c r="K62">
        <v>0</v>
      </c>
      <c r="L62">
        <v>2.3199999999999998E-2</v>
      </c>
      <c r="M62">
        <v>0.12559999999999999</v>
      </c>
      <c r="N62">
        <v>100.6758</v>
      </c>
      <c r="O62" t="s">
        <v>37</v>
      </c>
      <c r="P62" t="s">
        <v>38</v>
      </c>
    </row>
    <row r="63" spans="1:16">
      <c r="A63">
        <v>67</v>
      </c>
      <c r="B63">
        <v>0</v>
      </c>
      <c r="C63">
        <v>0</v>
      </c>
      <c r="D63">
        <v>30.51</v>
      </c>
      <c r="E63">
        <v>4.0000000000000002E-4</v>
      </c>
      <c r="F63">
        <v>0</v>
      </c>
      <c r="G63">
        <v>0</v>
      </c>
      <c r="H63">
        <v>13.29</v>
      </c>
      <c r="I63">
        <v>0</v>
      </c>
      <c r="J63">
        <v>57.19</v>
      </c>
      <c r="K63">
        <v>0</v>
      </c>
      <c r="L63">
        <v>3.0700000000000002E-2</v>
      </c>
      <c r="M63">
        <v>0.1031</v>
      </c>
      <c r="N63">
        <v>101.1242</v>
      </c>
      <c r="O63" t="s">
        <v>37</v>
      </c>
      <c r="P63" t="s">
        <v>38</v>
      </c>
    </row>
    <row r="64" spans="1:16">
      <c r="A64">
        <v>74</v>
      </c>
      <c r="B64">
        <v>0</v>
      </c>
      <c r="C64">
        <v>0</v>
      </c>
      <c r="D64">
        <v>30.65</v>
      </c>
      <c r="E64">
        <v>7.7000000000000002E-3</v>
      </c>
      <c r="F64">
        <v>4.3E-3</v>
      </c>
      <c r="G64">
        <v>0</v>
      </c>
      <c r="H64">
        <v>13.57</v>
      </c>
      <c r="I64">
        <v>0</v>
      </c>
      <c r="J64">
        <v>56.88</v>
      </c>
      <c r="K64">
        <v>0</v>
      </c>
      <c r="L64">
        <v>8.3999999999999995E-3</v>
      </c>
      <c r="M64">
        <v>9.1499999999999998E-2</v>
      </c>
      <c r="N64">
        <v>101.2118</v>
      </c>
      <c r="O64" t="s">
        <v>37</v>
      </c>
      <c r="P64" t="s">
        <v>38</v>
      </c>
    </row>
    <row r="65" spans="1:16">
      <c r="A65">
        <v>68</v>
      </c>
      <c r="B65">
        <v>0</v>
      </c>
      <c r="C65">
        <v>0</v>
      </c>
      <c r="D65">
        <v>31.01</v>
      </c>
      <c r="E65">
        <v>1.2699999999999999E-2</v>
      </c>
      <c r="F65">
        <v>0</v>
      </c>
      <c r="G65">
        <v>0</v>
      </c>
      <c r="H65">
        <v>13.55</v>
      </c>
      <c r="I65">
        <v>0</v>
      </c>
      <c r="J65">
        <v>56.79</v>
      </c>
      <c r="K65">
        <v>0</v>
      </c>
      <c r="L65">
        <v>3.9199999999999999E-2</v>
      </c>
      <c r="M65">
        <v>9.5799999999999996E-2</v>
      </c>
      <c r="N65">
        <v>101.49769999999999</v>
      </c>
      <c r="O65" t="s">
        <v>37</v>
      </c>
      <c r="P65" t="s">
        <v>38</v>
      </c>
    </row>
    <row r="66" spans="1:16">
      <c r="A66">
        <v>207</v>
      </c>
      <c r="B66">
        <v>0</v>
      </c>
      <c r="C66">
        <v>0</v>
      </c>
      <c r="D66">
        <v>22.61</v>
      </c>
      <c r="E66">
        <v>0</v>
      </c>
      <c r="F66">
        <v>0</v>
      </c>
      <c r="G66">
        <v>0</v>
      </c>
      <c r="H66">
        <v>5.13</v>
      </c>
      <c r="I66">
        <v>0</v>
      </c>
      <c r="J66">
        <v>66.8</v>
      </c>
      <c r="K66">
        <v>0</v>
      </c>
      <c r="L66">
        <v>3.2399999999999998E-2</v>
      </c>
      <c r="M66">
        <v>5.2200000000000003E-2</v>
      </c>
      <c r="N66">
        <v>94.624700000000004</v>
      </c>
      <c r="O66" t="s">
        <v>39</v>
      </c>
      <c r="P66" t="s">
        <v>38</v>
      </c>
    </row>
    <row r="67" spans="1:16">
      <c r="A67">
        <v>209</v>
      </c>
      <c r="B67">
        <v>0</v>
      </c>
      <c r="C67">
        <v>0</v>
      </c>
      <c r="D67">
        <v>25.81</v>
      </c>
      <c r="E67">
        <v>6.4000000000000003E-3</v>
      </c>
      <c r="F67">
        <v>3.0000000000000001E-3</v>
      </c>
      <c r="G67">
        <v>0</v>
      </c>
      <c r="H67">
        <v>6.73</v>
      </c>
      <c r="I67">
        <v>0</v>
      </c>
      <c r="J67">
        <v>62.01</v>
      </c>
      <c r="K67">
        <v>0</v>
      </c>
      <c r="L67">
        <v>2.5100000000000001E-2</v>
      </c>
      <c r="M67">
        <v>0.10580000000000001</v>
      </c>
      <c r="N67">
        <v>94.690399999999997</v>
      </c>
      <c r="O67" t="s">
        <v>39</v>
      </c>
      <c r="P67" t="s">
        <v>38</v>
      </c>
    </row>
    <row r="68" spans="1:16">
      <c r="A68">
        <v>215</v>
      </c>
      <c r="B68">
        <v>0</v>
      </c>
      <c r="C68">
        <v>0</v>
      </c>
      <c r="D68">
        <v>26.45</v>
      </c>
      <c r="E68">
        <v>0</v>
      </c>
      <c r="F68">
        <v>0</v>
      </c>
      <c r="G68">
        <v>5.0000000000000001E-4</v>
      </c>
      <c r="H68">
        <v>8.11</v>
      </c>
      <c r="I68">
        <v>6.9999999999999999E-4</v>
      </c>
      <c r="J68">
        <v>60.62</v>
      </c>
      <c r="K68">
        <v>0</v>
      </c>
      <c r="L68">
        <v>4.4900000000000002E-2</v>
      </c>
      <c r="M68">
        <v>9.9400000000000002E-2</v>
      </c>
      <c r="N68">
        <v>95.325599999999994</v>
      </c>
      <c r="O68" t="s">
        <v>39</v>
      </c>
      <c r="P68" t="s">
        <v>38</v>
      </c>
    </row>
    <row r="69" spans="1:16">
      <c r="A69">
        <v>246</v>
      </c>
      <c r="B69">
        <v>0</v>
      </c>
      <c r="C69">
        <v>0</v>
      </c>
      <c r="D69">
        <v>25.84</v>
      </c>
      <c r="E69">
        <v>1.5299999999999999E-2</v>
      </c>
      <c r="F69">
        <v>3.3999999999999998E-3</v>
      </c>
      <c r="G69">
        <v>0</v>
      </c>
      <c r="H69">
        <v>5.97</v>
      </c>
      <c r="I69">
        <v>0</v>
      </c>
      <c r="J69">
        <v>63.35</v>
      </c>
      <c r="K69">
        <v>0</v>
      </c>
      <c r="L69">
        <v>6.5699999999999995E-2</v>
      </c>
      <c r="M69">
        <v>9.0300000000000005E-2</v>
      </c>
      <c r="N69">
        <v>95.334699999999998</v>
      </c>
      <c r="O69" t="s">
        <v>39</v>
      </c>
      <c r="P69" t="s">
        <v>38</v>
      </c>
    </row>
    <row r="70" spans="1:16">
      <c r="A70">
        <v>208</v>
      </c>
      <c r="B70">
        <v>0</v>
      </c>
      <c r="C70">
        <v>0</v>
      </c>
      <c r="D70">
        <v>29.62</v>
      </c>
      <c r="E70">
        <v>2.0299999999999999E-2</v>
      </c>
      <c r="F70">
        <v>5.0000000000000001E-3</v>
      </c>
      <c r="G70">
        <v>0</v>
      </c>
      <c r="H70">
        <v>10.29</v>
      </c>
      <c r="I70">
        <v>0</v>
      </c>
      <c r="J70">
        <v>55.31</v>
      </c>
      <c r="K70">
        <v>0</v>
      </c>
      <c r="L70">
        <v>3.4200000000000001E-2</v>
      </c>
      <c r="M70">
        <v>9.64E-2</v>
      </c>
      <c r="N70">
        <v>95.376000000000005</v>
      </c>
      <c r="O70" t="s">
        <v>39</v>
      </c>
      <c r="P70" t="s">
        <v>38</v>
      </c>
    </row>
    <row r="71" spans="1:16">
      <c r="A71">
        <v>217</v>
      </c>
      <c r="B71">
        <v>0</v>
      </c>
      <c r="C71">
        <v>0</v>
      </c>
      <c r="D71">
        <v>28.42</v>
      </c>
      <c r="E71">
        <v>1.2500000000000001E-2</v>
      </c>
      <c r="F71">
        <v>0</v>
      </c>
      <c r="G71">
        <v>0</v>
      </c>
      <c r="H71">
        <v>9.1300000000000008</v>
      </c>
      <c r="I71">
        <v>0</v>
      </c>
      <c r="J71">
        <v>58.22</v>
      </c>
      <c r="K71">
        <v>0</v>
      </c>
      <c r="L71">
        <v>2.5600000000000001E-2</v>
      </c>
      <c r="M71">
        <v>0.1094</v>
      </c>
      <c r="N71">
        <v>95.917500000000004</v>
      </c>
      <c r="O71" t="s">
        <v>39</v>
      </c>
      <c r="P71" t="s">
        <v>38</v>
      </c>
    </row>
    <row r="72" spans="1:16">
      <c r="A72">
        <v>213</v>
      </c>
      <c r="B72">
        <v>0</v>
      </c>
      <c r="C72">
        <v>0</v>
      </c>
      <c r="D72">
        <v>25.07</v>
      </c>
      <c r="E72">
        <v>1.6000000000000001E-3</v>
      </c>
      <c r="F72">
        <v>9.1999999999999998E-3</v>
      </c>
      <c r="G72">
        <v>0</v>
      </c>
      <c r="H72">
        <v>4.99</v>
      </c>
      <c r="I72">
        <v>0</v>
      </c>
      <c r="J72">
        <v>65.739999999999995</v>
      </c>
      <c r="K72">
        <v>0</v>
      </c>
      <c r="L72">
        <v>6.3899999999999998E-2</v>
      </c>
      <c r="M72">
        <v>6.2100000000000002E-2</v>
      </c>
      <c r="N72">
        <v>95.936899999999994</v>
      </c>
      <c r="O72" t="s">
        <v>39</v>
      </c>
      <c r="P72" t="s">
        <v>38</v>
      </c>
    </row>
    <row r="73" spans="1:16">
      <c r="A73">
        <v>248</v>
      </c>
      <c r="B73">
        <v>0</v>
      </c>
      <c r="C73">
        <v>0</v>
      </c>
      <c r="D73">
        <v>25.82</v>
      </c>
      <c r="E73">
        <v>7.1000000000000004E-3</v>
      </c>
      <c r="F73">
        <v>0</v>
      </c>
      <c r="G73">
        <v>0</v>
      </c>
      <c r="H73">
        <v>5.65</v>
      </c>
      <c r="I73">
        <v>0</v>
      </c>
      <c r="J73">
        <v>64.84</v>
      </c>
      <c r="K73">
        <v>0</v>
      </c>
      <c r="L73">
        <v>3.5900000000000001E-2</v>
      </c>
      <c r="M73">
        <v>0.1079</v>
      </c>
      <c r="N73">
        <v>96.460899999999995</v>
      </c>
      <c r="O73" t="s">
        <v>39</v>
      </c>
      <c r="P73" t="s">
        <v>38</v>
      </c>
    </row>
    <row r="74" spans="1:16">
      <c r="A74">
        <v>211</v>
      </c>
      <c r="B74">
        <v>0</v>
      </c>
      <c r="C74">
        <v>0</v>
      </c>
      <c r="D74">
        <v>27.91</v>
      </c>
      <c r="E74">
        <v>3.3E-3</v>
      </c>
      <c r="F74">
        <v>0</v>
      </c>
      <c r="G74">
        <v>0</v>
      </c>
      <c r="H74">
        <v>6.42</v>
      </c>
      <c r="I74">
        <v>0</v>
      </c>
      <c r="J74">
        <v>62.01</v>
      </c>
      <c r="K74">
        <v>0</v>
      </c>
      <c r="L74">
        <v>5.67E-2</v>
      </c>
      <c r="M74">
        <v>0.1135</v>
      </c>
      <c r="N74">
        <v>96.513499999999993</v>
      </c>
      <c r="O74" t="s">
        <v>39</v>
      </c>
      <c r="P74" t="s">
        <v>38</v>
      </c>
    </row>
    <row r="75" spans="1:16">
      <c r="A75">
        <v>247</v>
      </c>
      <c r="B75">
        <v>4.3E-3</v>
      </c>
      <c r="C75">
        <v>0</v>
      </c>
      <c r="D75">
        <v>29.2</v>
      </c>
      <c r="E75">
        <v>1.9300000000000001E-2</v>
      </c>
      <c r="F75">
        <v>2.1999999999999999E-2</v>
      </c>
      <c r="G75">
        <v>0</v>
      </c>
      <c r="H75">
        <v>9.19</v>
      </c>
      <c r="I75">
        <v>0</v>
      </c>
      <c r="J75">
        <v>57.97</v>
      </c>
      <c r="K75">
        <v>0</v>
      </c>
      <c r="L75">
        <v>3.8300000000000001E-2</v>
      </c>
      <c r="M75">
        <v>0.12570000000000001</v>
      </c>
      <c r="N75">
        <v>96.569699999999997</v>
      </c>
      <c r="O75" t="s">
        <v>39</v>
      </c>
      <c r="P75" t="s">
        <v>38</v>
      </c>
    </row>
    <row r="76" spans="1:16">
      <c r="A76">
        <v>251</v>
      </c>
      <c r="B76">
        <v>0</v>
      </c>
      <c r="C76">
        <v>0</v>
      </c>
      <c r="D76">
        <v>29.16</v>
      </c>
      <c r="E76">
        <v>2.0799999999999999E-2</v>
      </c>
      <c r="F76">
        <v>1.2999999999999999E-2</v>
      </c>
      <c r="G76">
        <v>8.0000000000000004E-4</v>
      </c>
      <c r="H76">
        <v>7.03</v>
      </c>
      <c r="I76">
        <v>0</v>
      </c>
      <c r="J76">
        <v>60.18</v>
      </c>
      <c r="K76">
        <v>0</v>
      </c>
      <c r="L76">
        <v>8.4199999999999997E-2</v>
      </c>
      <c r="M76">
        <v>0.1031</v>
      </c>
      <c r="N76">
        <v>96.591999999999999</v>
      </c>
      <c r="O76" t="s">
        <v>39</v>
      </c>
      <c r="P76" t="s">
        <v>38</v>
      </c>
    </row>
    <row r="77" spans="1:16">
      <c r="A77">
        <v>214</v>
      </c>
      <c r="B77">
        <v>0</v>
      </c>
      <c r="C77">
        <v>0</v>
      </c>
      <c r="D77">
        <v>24.68</v>
      </c>
      <c r="E77">
        <v>0</v>
      </c>
      <c r="F77">
        <v>0</v>
      </c>
      <c r="G77">
        <v>0</v>
      </c>
      <c r="H77">
        <v>6.02</v>
      </c>
      <c r="I77">
        <v>2.9999999999999997E-4</v>
      </c>
      <c r="J77">
        <v>65.930000000000007</v>
      </c>
      <c r="K77">
        <v>0</v>
      </c>
      <c r="L77">
        <v>2.92E-2</v>
      </c>
      <c r="M77">
        <v>8.6300000000000002E-2</v>
      </c>
      <c r="N77">
        <v>96.745900000000006</v>
      </c>
      <c r="O77" t="s">
        <v>39</v>
      </c>
      <c r="P77" t="s">
        <v>38</v>
      </c>
    </row>
    <row r="78" spans="1:16">
      <c r="A78">
        <v>206</v>
      </c>
      <c r="B78">
        <v>0</v>
      </c>
      <c r="C78">
        <v>0</v>
      </c>
      <c r="D78">
        <v>25.42</v>
      </c>
      <c r="E78">
        <v>0</v>
      </c>
      <c r="F78">
        <v>0</v>
      </c>
      <c r="G78">
        <v>0</v>
      </c>
      <c r="H78">
        <v>5.73</v>
      </c>
      <c r="I78">
        <v>0</v>
      </c>
      <c r="J78">
        <v>65.97</v>
      </c>
      <c r="K78">
        <v>0</v>
      </c>
      <c r="L78">
        <v>5.2400000000000002E-2</v>
      </c>
      <c r="M78">
        <v>7.6600000000000001E-2</v>
      </c>
      <c r="N78">
        <v>97.249099999999999</v>
      </c>
      <c r="O78" t="s">
        <v>39</v>
      </c>
      <c r="P78" t="s">
        <v>38</v>
      </c>
    </row>
    <row r="79" spans="1:16">
      <c r="A79">
        <v>249</v>
      </c>
      <c r="B79">
        <v>0</v>
      </c>
      <c r="C79">
        <v>0</v>
      </c>
      <c r="D79">
        <v>29.47</v>
      </c>
      <c r="E79">
        <v>1.3100000000000001E-2</v>
      </c>
      <c r="F79">
        <v>9.1000000000000004E-3</v>
      </c>
      <c r="G79">
        <v>0</v>
      </c>
      <c r="H79">
        <v>10.199999999999999</v>
      </c>
      <c r="I79">
        <v>1E-4</v>
      </c>
      <c r="J79">
        <v>57.48</v>
      </c>
      <c r="K79">
        <v>0</v>
      </c>
      <c r="L79">
        <v>3.0200000000000001E-2</v>
      </c>
      <c r="M79">
        <v>0.1134</v>
      </c>
      <c r="N79">
        <v>97.316000000000003</v>
      </c>
      <c r="O79" t="s">
        <v>39</v>
      </c>
      <c r="P79" t="s">
        <v>38</v>
      </c>
    </row>
    <row r="80" spans="1:16">
      <c r="A80">
        <v>190</v>
      </c>
      <c r="B80">
        <v>0</v>
      </c>
      <c r="C80">
        <v>0</v>
      </c>
      <c r="D80">
        <v>28.96</v>
      </c>
      <c r="E80">
        <v>6.4999999999999997E-3</v>
      </c>
      <c r="F80">
        <v>0</v>
      </c>
      <c r="G80">
        <v>0</v>
      </c>
      <c r="H80">
        <v>12.01</v>
      </c>
      <c r="I80">
        <v>0</v>
      </c>
      <c r="J80">
        <v>56.55</v>
      </c>
      <c r="K80">
        <v>0</v>
      </c>
      <c r="L80">
        <v>1.3299999999999999E-2</v>
      </c>
      <c r="M80">
        <v>0.1109</v>
      </c>
      <c r="N80">
        <v>97.650800000000004</v>
      </c>
      <c r="O80" t="s">
        <v>39</v>
      </c>
      <c r="P80" t="s">
        <v>38</v>
      </c>
    </row>
    <row r="81" spans="1:16">
      <c r="A81">
        <v>212</v>
      </c>
      <c r="B81">
        <v>0</v>
      </c>
      <c r="C81">
        <v>0</v>
      </c>
      <c r="D81">
        <v>24.53</v>
      </c>
      <c r="E81">
        <v>3.7000000000000002E-3</v>
      </c>
      <c r="F81">
        <v>9.4999999999999998E-3</v>
      </c>
      <c r="G81">
        <v>0</v>
      </c>
      <c r="H81">
        <v>4.67</v>
      </c>
      <c r="I81">
        <v>5.9999999999999995E-4</v>
      </c>
      <c r="J81">
        <v>68.28</v>
      </c>
      <c r="K81">
        <v>0</v>
      </c>
      <c r="L81">
        <v>6.8000000000000005E-2</v>
      </c>
      <c r="M81">
        <v>9.4100000000000003E-2</v>
      </c>
      <c r="N81">
        <v>97.656000000000006</v>
      </c>
      <c r="O81" t="s">
        <v>39</v>
      </c>
      <c r="P81" t="s">
        <v>38</v>
      </c>
    </row>
    <row r="82" spans="1:16">
      <c r="A82">
        <v>245</v>
      </c>
      <c r="B82">
        <v>0</v>
      </c>
      <c r="C82">
        <v>0</v>
      </c>
      <c r="D82">
        <v>25.17</v>
      </c>
      <c r="E82">
        <v>0</v>
      </c>
      <c r="F82">
        <v>0</v>
      </c>
      <c r="G82">
        <v>0</v>
      </c>
      <c r="H82">
        <v>5.89</v>
      </c>
      <c r="I82">
        <v>0</v>
      </c>
      <c r="J82">
        <v>66.760000000000005</v>
      </c>
      <c r="K82">
        <v>0</v>
      </c>
      <c r="L82">
        <v>4.36E-2</v>
      </c>
      <c r="M82">
        <v>9.1899999999999996E-2</v>
      </c>
      <c r="N82">
        <v>97.955600000000004</v>
      </c>
      <c r="O82" t="s">
        <v>39</v>
      </c>
      <c r="P82" t="s">
        <v>38</v>
      </c>
    </row>
    <row r="83" spans="1:16">
      <c r="A83">
        <v>219</v>
      </c>
      <c r="B83">
        <v>0</v>
      </c>
      <c r="C83">
        <v>0</v>
      </c>
      <c r="D83">
        <v>23.1</v>
      </c>
      <c r="E83">
        <v>0</v>
      </c>
      <c r="F83">
        <v>0</v>
      </c>
      <c r="G83">
        <v>0</v>
      </c>
      <c r="H83">
        <v>4.75</v>
      </c>
      <c r="I83">
        <v>0</v>
      </c>
      <c r="J83">
        <v>70.209999999999994</v>
      </c>
      <c r="K83">
        <v>0</v>
      </c>
      <c r="L83">
        <v>3.9600000000000003E-2</v>
      </c>
      <c r="M83">
        <v>6.5299999999999997E-2</v>
      </c>
      <c r="N83">
        <v>98.164900000000003</v>
      </c>
      <c r="O83" t="s">
        <v>39</v>
      </c>
      <c r="P83" t="s">
        <v>38</v>
      </c>
    </row>
    <row r="84" spans="1:16">
      <c r="A84">
        <v>250</v>
      </c>
      <c r="B84">
        <v>5.8999999999999999E-3</v>
      </c>
      <c r="C84">
        <v>0</v>
      </c>
      <c r="D84">
        <v>24.82</v>
      </c>
      <c r="E84">
        <v>2.6800000000000001E-2</v>
      </c>
      <c r="F84">
        <v>4.7999999999999996E-3</v>
      </c>
      <c r="G84">
        <v>0</v>
      </c>
      <c r="H84">
        <v>7.31</v>
      </c>
      <c r="I84">
        <v>0</v>
      </c>
      <c r="J84">
        <v>65.930000000000007</v>
      </c>
      <c r="K84">
        <v>0</v>
      </c>
      <c r="L84">
        <v>3.7499999999999999E-2</v>
      </c>
      <c r="M84">
        <v>7.1099999999999997E-2</v>
      </c>
      <c r="N84">
        <v>98.206199999999995</v>
      </c>
      <c r="O84" t="s">
        <v>39</v>
      </c>
      <c r="P84" t="s">
        <v>38</v>
      </c>
    </row>
    <row r="85" spans="1:16">
      <c r="A85">
        <v>216</v>
      </c>
      <c r="B85">
        <v>0</v>
      </c>
      <c r="C85">
        <v>0</v>
      </c>
      <c r="D85">
        <v>24.54</v>
      </c>
      <c r="E85">
        <v>0</v>
      </c>
      <c r="F85">
        <v>8.2000000000000007E-3</v>
      </c>
      <c r="G85">
        <v>0</v>
      </c>
      <c r="H85">
        <v>4.3600000000000003</v>
      </c>
      <c r="I85">
        <v>0</v>
      </c>
      <c r="J85">
        <v>69.180000000000007</v>
      </c>
      <c r="K85">
        <v>0</v>
      </c>
      <c r="L85">
        <v>4.7899999999999998E-2</v>
      </c>
      <c r="M85">
        <v>8.72E-2</v>
      </c>
      <c r="N85">
        <v>98.223399999999998</v>
      </c>
      <c r="O85" t="s">
        <v>39</v>
      </c>
      <c r="P85" t="s">
        <v>38</v>
      </c>
    </row>
    <row r="86" spans="1:16">
      <c r="A86">
        <v>170</v>
      </c>
      <c r="B86">
        <v>0</v>
      </c>
      <c r="C86">
        <v>0</v>
      </c>
      <c r="D86">
        <v>26.11</v>
      </c>
      <c r="E86">
        <v>0</v>
      </c>
      <c r="F86">
        <v>0</v>
      </c>
      <c r="G86">
        <v>1E-4</v>
      </c>
      <c r="H86">
        <v>8.32</v>
      </c>
      <c r="I86">
        <v>0</v>
      </c>
      <c r="J86">
        <v>63.72</v>
      </c>
      <c r="K86">
        <v>0</v>
      </c>
      <c r="L86">
        <v>6.0999999999999999E-2</v>
      </c>
      <c r="M86">
        <v>0.1353</v>
      </c>
      <c r="N86">
        <v>98.346500000000006</v>
      </c>
      <c r="O86" t="s">
        <v>39</v>
      </c>
      <c r="P86" t="s">
        <v>38</v>
      </c>
    </row>
    <row r="87" spans="1:16">
      <c r="A87">
        <v>187</v>
      </c>
      <c r="B87">
        <v>0</v>
      </c>
      <c r="C87">
        <v>0</v>
      </c>
      <c r="D87">
        <v>29.89</v>
      </c>
      <c r="E87">
        <v>1.7600000000000001E-2</v>
      </c>
      <c r="F87">
        <v>1.2999999999999999E-3</v>
      </c>
      <c r="G87">
        <v>0</v>
      </c>
      <c r="H87">
        <v>12.73</v>
      </c>
      <c r="I87">
        <v>3.7000000000000002E-3</v>
      </c>
      <c r="J87">
        <v>55.85</v>
      </c>
      <c r="K87">
        <v>0</v>
      </c>
      <c r="L87">
        <v>3.56E-2</v>
      </c>
      <c r="M87">
        <v>0.1115</v>
      </c>
      <c r="N87">
        <v>98.639799999999994</v>
      </c>
      <c r="O87" t="s">
        <v>39</v>
      </c>
      <c r="P87" t="s">
        <v>38</v>
      </c>
    </row>
    <row r="88" spans="1:16">
      <c r="A88">
        <v>210</v>
      </c>
      <c r="B88">
        <v>0</v>
      </c>
      <c r="C88">
        <v>0</v>
      </c>
      <c r="D88">
        <v>24.39</v>
      </c>
      <c r="E88">
        <v>0</v>
      </c>
      <c r="F88">
        <v>0</v>
      </c>
      <c r="G88">
        <v>0</v>
      </c>
      <c r="H88">
        <v>4.08</v>
      </c>
      <c r="I88">
        <v>0</v>
      </c>
      <c r="J88">
        <v>70.09</v>
      </c>
      <c r="K88">
        <v>0</v>
      </c>
      <c r="L88">
        <v>5.2499999999999998E-2</v>
      </c>
      <c r="M88">
        <v>9.7100000000000006E-2</v>
      </c>
      <c r="N88">
        <v>98.709599999999995</v>
      </c>
      <c r="O88" t="s">
        <v>39</v>
      </c>
      <c r="P88" t="s">
        <v>38</v>
      </c>
    </row>
    <row r="89" spans="1:16">
      <c r="A89">
        <v>186</v>
      </c>
      <c r="B89">
        <v>0</v>
      </c>
      <c r="C89">
        <v>0</v>
      </c>
      <c r="D89">
        <v>30.52</v>
      </c>
      <c r="E89">
        <v>1.4E-2</v>
      </c>
      <c r="F89">
        <v>0</v>
      </c>
      <c r="G89">
        <v>1E-3</v>
      </c>
      <c r="H89">
        <v>11.67</v>
      </c>
      <c r="I89">
        <v>1.95E-2</v>
      </c>
      <c r="J89">
        <v>56.63</v>
      </c>
      <c r="K89">
        <v>0</v>
      </c>
      <c r="L89">
        <v>3.3000000000000002E-2</v>
      </c>
      <c r="M89">
        <v>0.1114</v>
      </c>
      <c r="N89">
        <v>98.998999999999995</v>
      </c>
      <c r="O89" t="s">
        <v>39</v>
      </c>
      <c r="P89" t="s">
        <v>38</v>
      </c>
    </row>
    <row r="90" spans="1:16">
      <c r="A90">
        <v>220</v>
      </c>
      <c r="B90">
        <v>0</v>
      </c>
      <c r="C90">
        <v>0</v>
      </c>
      <c r="D90">
        <v>24.28</v>
      </c>
      <c r="E90">
        <v>0</v>
      </c>
      <c r="F90">
        <v>1.7299999999999999E-2</v>
      </c>
      <c r="G90">
        <v>8.0000000000000004E-4</v>
      </c>
      <c r="H90">
        <v>4.2699999999999996</v>
      </c>
      <c r="I90">
        <v>0</v>
      </c>
      <c r="J90">
        <v>70.430000000000007</v>
      </c>
      <c r="K90">
        <v>0</v>
      </c>
      <c r="L90">
        <v>3.2099999999999997E-2</v>
      </c>
      <c r="M90">
        <v>6.1800000000000001E-2</v>
      </c>
      <c r="N90">
        <v>99.091999999999999</v>
      </c>
      <c r="O90" t="s">
        <v>39</v>
      </c>
      <c r="P90" t="s">
        <v>38</v>
      </c>
    </row>
    <row r="91" spans="1:16">
      <c r="A91">
        <v>223</v>
      </c>
      <c r="B91">
        <v>0</v>
      </c>
      <c r="C91">
        <v>0</v>
      </c>
      <c r="D91">
        <v>24.23</v>
      </c>
      <c r="E91">
        <v>1.5E-3</v>
      </c>
      <c r="F91">
        <v>0</v>
      </c>
      <c r="G91">
        <v>0</v>
      </c>
      <c r="H91">
        <v>3.97</v>
      </c>
      <c r="I91">
        <v>0</v>
      </c>
      <c r="J91">
        <v>70.84</v>
      </c>
      <c r="K91">
        <v>0</v>
      </c>
      <c r="L91">
        <v>3.8899999999999997E-2</v>
      </c>
      <c r="M91">
        <v>4.9500000000000002E-2</v>
      </c>
      <c r="N91">
        <v>99.13</v>
      </c>
      <c r="O91" t="s">
        <v>39</v>
      </c>
      <c r="P91" t="s">
        <v>38</v>
      </c>
    </row>
    <row r="92" spans="1:16">
      <c r="A92">
        <v>188</v>
      </c>
      <c r="B92">
        <v>0</v>
      </c>
      <c r="C92">
        <v>0</v>
      </c>
      <c r="D92">
        <v>29.86</v>
      </c>
      <c r="E92">
        <v>8.9999999999999993E-3</v>
      </c>
      <c r="F92">
        <v>0</v>
      </c>
      <c r="G92">
        <v>0</v>
      </c>
      <c r="H92">
        <v>11.68</v>
      </c>
      <c r="I92">
        <v>0</v>
      </c>
      <c r="J92">
        <v>57.39</v>
      </c>
      <c r="K92">
        <v>0</v>
      </c>
      <c r="L92">
        <v>3.9300000000000002E-2</v>
      </c>
      <c r="M92">
        <v>0.1575</v>
      </c>
      <c r="N92">
        <v>99.135900000000007</v>
      </c>
      <c r="O92" t="s">
        <v>39</v>
      </c>
      <c r="P92" t="s">
        <v>38</v>
      </c>
    </row>
    <row r="93" spans="1:16">
      <c r="A93">
        <v>218</v>
      </c>
      <c r="B93">
        <v>0</v>
      </c>
      <c r="C93">
        <v>0</v>
      </c>
      <c r="D93">
        <v>24.33</v>
      </c>
      <c r="E93">
        <v>2.2000000000000001E-3</v>
      </c>
      <c r="F93">
        <v>0</v>
      </c>
      <c r="G93">
        <v>0</v>
      </c>
      <c r="H93">
        <v>3.92</v>
      </c>
      <c r="I93">
        <v>0</v>
      </c>
      <c r="J93">
        <v>71.28</v>
      </c>
      <c r="K93">
        <v>0</v>
      </c>
      <c r="L93">
        <v>7.7700000000000005E-2</v>
      </c>
      <c r="M93">
        <v>6.9900000000000004E-2</v>
      </c>
      <c r="N93">
        <v>99.6798</v>
      </c>
      <c r="O93" t="s">
        <v>39</v>
      </c>
      <c r="P93" t="s">
        <v>38</v>
      </c>
    </row>
    <row r="94" spans="1:16">
      <c r="A94">
        <v>221</v>
      </c>
      <c r="B94">
        <v>0</v>
      </c>
      <c r="C94">
        <v>0</v>
      </c>
      <c r="D94">
        <v>24.53</v>
      </c>
      <c r="E94">
        <v>0</v>
      </c>
      <c r="F94">
        <v>9.2999999999999992E-3</v>
      </c>
      <c r="G94">
        <v>0</v>
      </c>
      <c r="H94">
        <v>4.1900000000000004</v>
      </c>
      <c r="I94">
        <v>0</v>
      </c>
      <c r="J94">
        <v>70.91</v>
      </c>
      <c r="K94">
        <v>0</v>
      </c>
      <c r="L94">
        <v>4.3400000000000001E-2</v>
      </c>
      <c r="M94">
        <v>5.5800000000000002E-2</v>
      </c>
      <c r="N94">
        <v>99.738600000000005</v>
      </c>
      <c r="O94" t="s">
        <v>39</v>
      </c>
      <c r="P94" t="s">
        <v>38</v>
      </c>
    </row>
    <row r="95" spans="1:16">
      <c r="A95">
        <v>224</v>
      </c>
      <c r="B95">
        <v>0</v>
      </c>
      <c r="C95">
        <v>0</v>
      </c>
      <c r="D95">
        <v>24.59</v>
      </c>
      <c r="E95">
        <v>5.8999999999999999E-3</v>
      </c>
      <c r="F95">
        <v>0</v>
      </c>
      <c r="G95">
        <v>0</v>
      </c>
      <c r="H95">
        <v>4.3499999999999996</v>
      </c>
      <c r="I95">
        <v>0</v>
      </c>
      <c r="J95">
        <v>70.75</v>
      </c>
      <c r="K95">
        <v>0</v>
      </c>
      <c r="L95">
        <v>1.9900000000000001E-2</v>
      </c>
      <c r="M95">
        <v>8.3299999999999999E-2</v>
      </c>
      <c r="N95">
        <v>99.799099999999996</v>
      </c>
      <c r="O95" t="s">
        <v>39</v>
      </c>
      <c r="P95" t="s">
        <v>38</v>
      </c>
    </row>
    <row r="96" spans="1:16">
      <c r="A96">
        <v>222</v>
      </c>
      <c r="B96">
        <v>0</v>
      </c>
      <c r="C96">
        <v>0</v>
      </c>
      <c r="D96">
        <v>24.61</v>
      </c>
      <c r="E96">
        <v>0</v>
      </c>
      <c r="F96">
        <v>0</v>
      </c>
      <c r="G96">
        <v>0</v>
      </c>
      <c r="H96">
        <v>4.1900000000000004</v>
      </c>
      <c r="I96">
        <v>0</v>
      </c>
      <c r="J96">
        <v>71.06</v>
      </c>
      <c r="K96">
        <v>0</v>
      </c>
      <c r="L96">
        <v>4.0500000000000001E-2</v>
      </c>
      <c r="M96">
        <v>5.2400000000000002E-2</v>
      </c>
      <c r="N96">
        <v>99.9529</v>
      </c>
      <c r="O96" t="s">
        <v>39</v>
      </c>
      <c r="P96" t="s">
        <v>38</v>
      </c>
    </row>
    <row r="97" spans="1:16">
      <c r="A97">
        <v>189</v>
      </c>
      <c r="B97">
        <v>0</v>
      </c>
      <c r="C97">
        <v>0</v>
      </c>
      <c r="D97">
        <v>29.4</v>
      </c>
      <c r="E97">
        <v>6.6E-3</v>
      </c>
      <c r="F97">
        <v>0</v>
      </c>
      <c r="G97">
        <v>0</v>
      </c>
      <c r="H97">
        <v>12.53</v>
      </c>
      <c r="I97">
        <v>0</v>
      </c>
      <c r="J97">
        <v>57.98</v>
      </c>
      <c r="K97">
        <v>0</v>
      </c>
      <c r="L97">
        <v>4.9700000000000001E-2</v>
      </c>
      <c r="M97">
        <v>8.77E-2</v>
      </c>
      <c r="N97">
        <v>100.0539</v>
      </c>
      <c r="O97" t="s">
        <v>39</v>
      </c>
      <c r="P97" t="s">
        <v>38</v>
      </c>
    </row>
    <row r="98" spans="1:16">
      <c r="A98">
        <v>175</v>
      </c>
      <c r="B98">
        <v>0</v>
      </c>
      <c r="C98">
        <v>0</v>
      </c>
      <c r="D98">
        <v>21.45</v>
      </c>
      <c r="E98">
        <v>0</v>
      </c>
      <c r="F98">
        <v>1.44E-2</v>
      </c>
      <c r="G98">
        <v>0</v>
      </c>
      <c r="H98">
        <v>5.69</v>
      </c>
      <c r="I98">
        <v>0</v>
      </c>
      <c r="J98">
        <v>72.88</v>
      </c>
      <c r="K98">
        <v>0</v>
      </c>
      <c r="L98">
        <v>5.79E-2</v>
      </c>
      <c r="M98">
        <v>8.6099999999999996E-2</v>
      </c>
      <c r="N98">
        <v>100.17829999999999</v>
      </c>
      <c r="O98" t="s">
        <v>39</v>
      </c>
      <c r="P98" t="s">
        <v>38</v>
      </c>
    </row>
    <row r="99" spans="1:16">
      <c r="A99">
        <v>181</v>
      </c>
      <c r="B99">
        <v>0</v>
      </c>
      <c r="C99">
        <v>0</v>
      </c>
      <c r="D99">
        <v>24.69</v>
      </c>
      <c r="E99">
        <v>0</v>
      </c>
      <c r="F99">
        <v>0</v>
      </c>
      <c r="G99">
        <v>0</v>
      </c>
      <c r="H99">
        <v>4.66</v>
      </c>
      <c r="I99">
        <v>0</v>
      </c>
      <c r="J99">
        <v>71.72</v>
      </c>
      <c r="K99">
        <v>0</v>
      </c>
      <c r="L99">
        <v>5.4600000000000003E-2</v>
      </c>
      <c r="M99">
        <v>7.9000000000000001E-2</v>
      </c>
      <c r="N99">
        <v>101.20359999999999</v>
      </c>
      <c r="O99" t="s">
        <v>39</v>
      </c>
      <c r="P99" t="s">
        <v>38</v>
      </c>
    </row>
    <row r="100" spans="1:16">
      <c r="A100">
        <v>177</v>
      </c>
      <c r="B100">
        <v>0</v>
      </c>
      <c r="C100">
        <v>0</v>
      </c>
      <c r="D100">
        <v>22.86</v>
      </c>
      <c r="E100">
        <v>0</v>
      </c>
      <c r="F100">
        <v>0</v>
      </c>
      <c r="G100">
        <v>0</v>
      </c>
      <c r="H100">
        <v>4.28</v>
      </c>
      <c r="I100">
        <v>0</v>
      </c>
      <c r="J100">
        <v>74.040000000000006</v>
      </c>
      <c r="K100">
        <v>0</v>
      </c>
      <c r="L100">
        <v>4.0300000000000002E-2</v>
      </c>
      <c r="M100">
        <v>7.7799999999999994E-2</v>
      </c>
      <c r="N100">
        <v>101.298</v>
      </c>
      <c r="O100" t="s">
        <v>39</v>
      </c>
      <c r="P100" t="s">
        <v>38</v>
      </c>
    </row>
    <row r="101" spans="1:16">
      <c r="A101">
        <v>182</v>
      </c>
      <c r="B101">
        <v>0</v>
      </c>
      <c r="C101">
        <v>0</v>
      </c>
      <c r="D101">
        <v>24.55</v>
      </c>
      <c r="E101">
        <v>0</v>
      </c>
      <c r="F101">
        <v>0</v>
      </c>
      <c r="G101">
        <v>0</v>
      </c>
      <c r="H101">
        <v>4.3499999999999996</v>
      </c>
      <c r="I101">
        <v>0</v>
      </c>
      <c r="J101">
        <v>72.33</v>
      </c>
      <c r="K101">
        <v>0</v>
      </c>
      <c r="L101">
        <v>7.8E-2</v>
      </c>
      <c r="M101">
        <v>7.4700000000000003E-2</v>
      </c>
      <c r="N101">
        <v>101.3827</v>
      </c>
      <c r="O101" t="s">
        <v>39</v>
      </c>
      <c r="P101" t="s">
        <v>38</v>
      </c>
    </row>
    <row r="102" spans="1:16">
      <c r="A102">
        <v>178</v>
      </c>
      <c r="B102">
        <v>0</v>
      </c>
      <c r="C102">
        <v>0</v>
      </c>
      <c r="D102">
        <v>24.57</v>
      </c>
      <c r="E102">
        <v>0</v>
      </c>
      <c r="F102">
        <v>0</v>
      </c>
      <c r="G102">
        <v>0</v>
      </c>
      <c r="H102">
        <v>4.16</v>
      </c>
      <c r="I102">
        <v>0</v>
      </c>
      <c r="J102">
        <v>73.31</v>
      </c>
      <c r="K102">
        <v>0</v>
      </c>
      <c r="L102">
        <v>5.2900000000000003E-2</v>
      </c>
      <c r="M102">
        <v>7.85E-2</v>
      </c>
      <c r="N102">
        <v>102.1713</v>
      </c>
      <c r="O102" t="s">
        <v>39</v>
      </c>
      <c r="P102" t="s">
        <v>38</v>
      </c>
    </row>
    <row r="103" spans="1:16">
      <c r="A103">
        <v>176</v>
      </c>
      <c r="B103">
        <v>0</v>
      </c>
      <c r="C103">
        <v>0</v>
      </c>
      <c r="D103">
        <v>24.24</v>
      </c>
      <c r="E103">
        <v>0</v>
      </c>
      <c r="F103">
        <v>0</v>
      </c>
      <c r="G103">
        <v>0</v>
      </c>
      <c r="H103">
        <v>3.89</v>
      </c>
      <c r="I103">
        <v>0</v>
      </c>
      <c r="J103">
        <v>73.92</v>
      </c>
      <c r="K103">
        <v>0</v>
      </c>
      <c r="L103">
        <v>4.7600000000000003E-2</v>
      </c>
      <c r="M103">
        <v>9.7000000000000003E-2</v>
      </c>
      <c r="N103">
        <v>102.19450000000001</v>
      </c>
      <c r="O103" t="s">
        <v>39</v>
      </c>
      <c r="P103" t="s">
        <v>38</v>
      </c>
    </row>
    <row r="104" spans="1:16">
      <c r="A104">
        <v>171</v>
      </c>
      <c r="B104">
        <v>0</v>
      </c>
      <c r="C104">
        <v>0</v>
      </c>
      <c r="D104">
        <v>23.15</v>
      </c>
      <c r="E104">
        <v>0</v>
      </c>
      <c r="F104">
        <v>0</v>
      </c>
      <c r="G104">
        <v>2.9999999999999997E-4</v>
      </c>
      <c r="H104">
        <v>4.1900000000000004</v>
      </c>
      <c r="I104">
        <v>0</v>
      </c>
      <c r="J104">
        <v>74.849999999999994</v>
      </c>
      <c r="K104">
        <v>0</v>
      </c>
      <c r="L104">
        <v>4.4600000000000001E-2</v>
      </c>
      <c r="M104">
        <v>8.5300000000000001E-2</v>
      </c>
      <c r="N104">
        <v>102.3201</v>
      </c>
      <c r="O104" t="s">
        <v>39</v>
      </c>
      <c r="P104" t="s">
        <v>38</v>
      </c>
    </row>
    <row r="105" spans="1:16">
      <c r="A105">
        <v>173</v>
      </c>
      <c r="B105">
        <v>0</v>
      </c>
      <c r="C105">
        <v>0</v>
      </c>
      <c r="D105">
        <v>23.53</v>
      </c>
      <c r="E105">
        <v>1.6999999999999999E-3</v>
      </c>
      <c r="F105">
        <v>0</v>
      </c>
      <c r="G105">
        <v>0</v>
      </c>
      <c r="H105">
        <v>4.95</v>
      </c>
      <c r="I105">
        <v>0</v>
      </c>
      <c r="J105">
        <v>73.760000000000005</v>
      </c>
      <c r="K105">
        <v>0</v>
      </c>
      <c r="L105">
        <v>6.0299999999999999E-2</v>
      </c>
      <c r="M105">
        <v>6.8000000000000005E-2</v>
      </c>
      <c r="N105">
        <v>102.3699</v>
      </c>
      <c r="O105" t="s">
        <v>39</v>
      </c>
      <c r="P105" t="s">
        <v>38</v>
      </c>
    </row>
    <row r="106" spans="1:16">
      <c r="A106">
        <v>179</v>
      </c>
      <c r="B106">
        <v>0</v>
      </c>
      <c r="C106">
        <v>0</v>
      </c>
      <c r="D106">
        <v>24.84</v>
      </c>
      <c r="E106">
        <v>6.6E-3</v>
      </c>
      <c r="F106">
        <v>7.4000000000000003E-3</v>
      </c>
      <c r="G106">
        <v>0</v>
      </c>
      <c r="H106">
        <v>4.45</v>
      </c>
      <c r="I106">
        <v>0</v>
      </c>
      <c r="J106">
        <v>73.06</v>
      </c>
      <c r="K106">
        <v>0</v>
      </c>
      <c r="L106">
        <v>1.9300000000000001E-2</v>
      </c>
      <c r="M106">
        <v>8.7900000000000006E-2</v>
      </c>
      <c r="N106">
        <v>102.47110000000001</v>
      </c>
      <c r="O106" t="s">
        <v>39</v>
      </c>
      <c r="P106" t="s">
        <v>38</v>
      </c>
    </row>
    <row r="107" spans="1:16">
      <c r="A107">
        <v>180</v>
      </c>
      <c r="B107">
        <v>0</v>
      </c>
      <c r="C107">
        <v>0</v>
      </c>
      <c r="D107">
        <v>25.83</v>
      </c>
      <c r="E107">
        <v>0</v>
      </c>
      <c r="F107">
        <v>5.1999999999999998E-3</v>
      </c>
      <c r="G107">
        <v>0</v>
      </c>
      <c r="H107">
        <v>6.67</v>
      </c>
      <c r="I107">
        <v>0</v>
      </c>
      <c r="J107">
        <v>70.010000000000005</v>
      </c>
      <c r="K107">
        <v>0</v>
      </c>
      <c r="L107">
        <v>3.61E-2</v>
      </c>
      <c r="M107">
        <v>0.1241</v>
      </c>
      <c r="N107">
        <v>102.67529999999999</v>
      </c>
      <c r="O107" t="s">
        <v>39</v>
      </c>
      <c r="P107" t="s">
        <v>38</v>
      </c>
    </row>
    <row r="108" spans="1:16">
      <c r="A108">
        <v>174</v>
      </c>
      <c r="B108">
        <v>0</v>
      </c>
      <c r="C108">
        <v>0</v>
      </c>
      <c r="D108">
        <v>24.25</v>
      </c>
      <c r="E108">
        <v>0</v>
      </c>
      <c r="F108">
        <v>0</v>
      </c>
      <c r="G108">
        <v>0</v>
      </c>
      <c r="H108">
        <v>3.93</v>
      </c>
      <c r="I108">
        <v>0</v>
      </c>
      <c r="J108">
        <v>75.28</v>
      </c>
      <c r="K108">
        <v>0</v>
      </c>
      <c r="L108">
        <v>3.27E-2</v>
      </c>
      <c r="M108">
        <v>8.6800000000000002E-2</v>
      </c>
      <c r="N108">
        <v>103.57940000000001</v>
      </c>
      <c r="O108" t="s">
        <v>39</v>
      </c>
      <c r="P108" t="s">
        <v>38</v>
      </c>
    </row>
    <row r="109" spans="1:16">
      <c r="A109">
        <v>172</v>
      </c>
      <c r="B109">
        <v>0</v>
      </c>
      <c r="C109">
        <v>0</v>
      </c>
      <c r="D109">
        <v>24.87</v>
      </c>
      <c r="E109">
        <v>0</v>
      </c>
      <c r="F109">
        <v>1.2999999999999999E-3</v>
      </c>
      <c r="G109">
        <v>0</v>
      </c>
      <c r="H109">
        <v>5.05</v>
      </c>
      <c r="I109">
        <v>0</v>
      </c>
      <c r="J109">
        <v>73.62</v>
      </c>
      <c r="K109">
        <v>0</v>
      </c>
      <c r="L109">
        <v>5.7799999999999997E-2</v>
      </c>
      <c r="M109">
        <v>8.5999999999999993E-2</v>
      </c>
      <c r="N109">
        <v>103.68510000000001</v>
      </c>
      <c r="O109" t="s">
        <v>39</v>
      </c>
      <c r="P109" t="s">
        <v>38</v>
      </c>
    </row>
    <row r="110" spans="1:16">
      <c r="A110">
        <v>123</v>
      </c>
      <c r="B110">
        <v>0</v>
      </c>
      <c r="C110">
        <v>0</v>
      </c>
      <c r="D110">
        <v>22.63</v>
      </c>
      <c r="E110">
        <v>0</v>
      </c>
      <c r="F110">
        <v>1.61E-2</v>
      </c>
      <c r="G110">
        <v>0</v>
      </c>
      <c r="H110">
        <v>0</v>
      </c>
      <c r="I110">
        <v>0</v>
      </c>
      <c r="J110">
        <v>77.78</v>
      </c>
      <c r="K110">
        <v>0</v>
      </c>
      <c r="L110">
        <v>3.2199999999999999E-2</v>
      </c>
      <c r="M110">
        <v>6.7799999999999999E-2</v>
      </c>
      <c r="N110">
        <v>100.5261</v>
      </c>
      <c r="O110" t="s">
        <v>40</v>
      </c>
      <c r="P110" t="s">
        <v>38</v>
      </c>
    </row>
    <row r="111" spans="1:16">
      <c r="A111">
        <v>138</v>
      </c>
      <c r="B111">
        <v>0</v>
      </c>
      <c r="C111">
        <v>0</v>
      </c>
      <c r="D111">
        <v>21.56</v>
      </c>
      <c r="E111">
        <v>5.0000000000000001E-4</v>
      </c>
      <c r="F111">
        <v>4.0000000000000002E-4</v>
      </c>
      <c r="G111">
        <v>0</v>
      </c>
      <c r="H111">
        <v>0</v>
      </c>
      <c r="I111">
        <v>2.0000000000000001E-4</v>
      </c>
      <c r="J111">
        <v>79.16</v>
      </c>
      <c r="K111">
        <v>1.6000000000000001E-3</v>
      </c>
      <c r="L111">
        <v>5.57E-2</v>
      </c>
      <c r="M111">
        <v>5.7700000000000001E-2</v>
      </c>
      <c r="N111">
        <v>100.8361</v>
      </c>
      <c r="O111" t="s">
        <v>40</v>
      </c>
      <c r="P111" t="s">
        <v>38</v>
      </c>
    </row>
    <row r="112" spans="1:16">
      <c r="A112">
        <v>137</v>
      </c>
      <c r="B112">
        <v>0</v>
      </c>
      <c r="C112">
        <v>0</v>
      </c>
      <c r="D112">
        <v>21.94</v>
      </c>
      <c r="E112">
        <v>0</v>
      </c>
      <c r="F112">
        <v>6.0000000000000001E-3</v>
      </c>
      <c r="G112">
        <v>0</v>
      </c>
      <c r="H112">
        <v>0</v>
      </c>
      <c r="I112">
        <v>0</v>
      </c>
      <c r="J112">
        <v>78.760000000000005</v>
      </c>
      <c r="K112">
        <v>7.3000000000000001E-3</v>
      </c>
      <c r="L112">
        <v>6.88E-2</v>
      </c>
      <c r="M112">
        <v>7.1599999999999997E-2</v>
      </c>
      <c r="N112">
        <v>100.8537</v>
      </c>
      <c r="O112" t="s">
        <v>40</v>
      </c>
      <c r="P112" t="s">
        <v>38</v>
      </c>
    </row>
    <row r="113" spans="1:16">
      <c r="A113">
        <v>144</v>
      </c>
      <c r="B113">
        <v>0</v>
      </c>
      <c r="C113">
        <v>0</v>
      </c>
      <c r="D113">
        <v>21.7</v>
      </c>
      <c r="E113">
        <v>0</v>
      </c>
      <c r="F113">
        <v>0</v>
      </c>
      <c r="G113">
        <v>0</v>
      </c>
      <c r="H113">
        <v>0</v>
      </c>
      <c r="I113">
        <v>0</v>
      </c>
      <c r="J113">
        <v>79.150000000000006</v>
      </c>
      <c r="K113">
        <v>0</v>
      </c>
      <c r="L113">
        <v>2.4299999999999999E-2</v>
      </c>
      <c r="M113">
        <v>5.9200000000000003E-2</v>
      </c>
      <c r="N113">
        <v>100.93340000000001</v>
      </c>
      <c r="O113" t="s">
        <v>40</v>
      </c>
      <c r="P113" t="s">
        <v>38</v>
      </c>
    </row>
    <row r="114" spans="1:16">
      <c r="A114">
        <v>128</v>
      </c>
      <c r="B114">
        <v>0</v>
      </c>
      <c r="C114">
        <v>0</v>
      </c>
      <c r="D114">
        <v>22.2</v>
      </c>
      <c r="E114">
        <v>0</v>
      </c>
      <c r="F114">
        <v>0</v>
      </c>
      <c r="G114">
        <v>0</v>
      </c>
      <c r="H114">
        <v>3.3999999999999998E-3</v>
      </c>
      <c r="I114">
        <v>1.6000000000000001E-3</v>
      </c>
      <c r="J114">
        <v>78.650000000000006</v>
      </c>
      <c r="K114">
        <v>0</v>
      </c>
      <c r="L114">
        <v>4.3400000000000001E-2</v>
      </c>
      <c r="M114">
        <v>5.91E-2</v>
      </c>
      <c r="N114">
        <v>100.9575</v>
      </c>
      <c r="O114" t="s">
        <v>40</v>
      </c>
      <c r="P114" t="s">
        <v>38</v>
      </c>
    </row>
    <row r="115" spans="1:16">
      <c r="A115">
        <v>142</v>
      </c>
      <c r="B115">
        <v>0</v>
      </c>
      <c r="C115">
        <v>0</v>
      </c>
      <c r="D115">
        <v>22.3</v>
      </c>
      <c r="E115">
        <v>1.47E-2</v>
      </c>
      <c r="F115">
        <v>7.3000000000000001E-3</v>
      </c>
      <c r="G115">
        <v>0</v>
      </c>
      <c r="H115">
        <v>1.9E-3</v>
      </c>
      <c r="I115">
        <v>0</v>
      </c>
      <c r="J115">
        <v>78.83</v>
      </c>
      <c r="K115">
        <v>0</v>
      </c>
      <c r="L115">
        <v>1.52E-2</v>
      </c>
      <c r="M115">
        <v>7.7899999999999997E-2</v>
      </c>
      <c r="N115">
        <v>101.2469</v>
      </c>
      <c r="O115" t="s">
        <v>40</v>
      </c>
      <c r="P115" t="s">
        <v>38</v>
      </c>
    </row>
    <row r="116" spans="1:16">
      <c r="A116">
        <v>136</v>
      </c>
      <c r="B116">
        <v>0</v>
      </c>
      <c r="C116">
        <v>0</v>
      </c>
      <c r="D116">
        <v>21.95</v>
      </c>
      <c r="E116">
        <v>0</v>
      </c>
      <c r="F116">
        <v>0</v>
      </c>
      <c r="G116">
        <v>0</v>
      </c>
      <c r="H116">
        <v>2.0000000000000001E-4</v>
      </c>
      <c r="I116">
        <v>1.8E-3</v>
      </c>
      <c r="J116">
        <v>79.23</v>
      </c>
      <c r="K116">
        <v>2.3999999999999998E-3</v>
      </c>
      <c r="L116">
        <v>0.04</v>
      </c>
      <c r="M116">
        <v>7.9000000000000001E-2</v>
      </c>
      <c r="N116">
        <v>101.3034</v>
      </c>
      <c r="O116" t="s">
        <v>40</v>
      </c>
      <c r="P116" t="s">
        <v>38</v>
      </c>
    </row>
    <row r="117" spans="1:16">
      <c r="A117">
        <v>127</v>
      </c>
      <c r="B117">
        <v>0</v>
      </c>
      <c r="C117">
        <v>0</v>
      </c>
      <c r="D117">
        <v>21.97</v>
      </c>
      <c r="E117">
        <v>0</v>
      </c>
      <c r="F117">
        <v>2.8E-3</v>
      </c>
      <c r="G117">
        <v>0</v>
      </c>
      <c r="H117">
        <v>0</v>
      </c>
      <c r="I117">
        <v>0</v>
      </c>
      <c r="J117">
        <v>79.290000000000006</v>
      </c>
      <c r="K117">
        <v>0</v>
      </c>
      <c r="L117">
        <v>4.9399999999999999E-2</v>
      </c>
      <c r="M117">
        <v>7.8100000000000003E-2</v>
      </c>
      <c r="N117">
        <v>101.3903</v>
      </c>
      <c r="O117" t="s">
        <v>40</v>
      </c>
      <c r="P117" t="s">
        <v>38</v>
      </c>
    </row>
    <row r="118" spans="1:16">
      <c r="A118">
        <v>125</v>
      </c>
      <c r="B118">
        <v>0</v>
      </c>
      <c r="C118">
        <v>0</v>
      </c>
      <c r="D118">
        <v>22.34</v>
      </c>
      <c r="E118">
        <v>1.2699999999999999E-2</v>
      </c>
      <c r="F118">
        <v>2.0999999999999999E-3</v>
      </c>
      <c r="G118">
        <v>0</v>
      </c>
      <c r="H118">
        <v>1.6199999999999999E-2</v>
      </c>
      <c r="I118">
        <v>0</v>
      </c>
      <c r="J118">
        <v>78.97</v>
      </c>
      <c r="K118">
        <v>3.5000000000000001E-3</v>
      </c>
      <c r="L118">
        <v>1.83E-2</v>
      </c>
      <c r="M118">
        <v>6.9699999999999998E-2</v>
      </c>
      <c r="N118">
        <v>101.4325</v>
      </c>
      <c r="O118" t="s">
        <v>40</v>
      </c>
      <c r="P118" t="s">
        <v>38</v>
      </c>
    </row>
    <row r="119" spans="1:16">
      <c r="A119">
        <v>129</v>
      </c>
      <c r="B119">
        <v>0</v>
      </c>
      <c r="C119">
        <v>0</v>
      </c>
      <c r="D119">
        <v>22.31</v>
      </c>
      <c r="E119">
        <v>3.8E-3</v>
      </c>
      <c r="F119">
        <v>0</v>
      </c>
      <c r="G119">
        <v>0</v>
      </c>
      <c r="H119">
        <v>0</v>
      </c>
      <c r="I119">
        <v>0</v>
      </c>
      <c r="J119">
        <v>78.989999999999995</v>
      </c>
      <c r="K119">
        <v>4.1999999999999997E-3</v>
      </c>
      <c r="L119">
        <v>4.7100000000000003E-2</v>
      </c>
      <c r="M119">
        <v>8.6900000000000005E-2</v>
      </c>
      <c r="N119">
        <v>101.4419</v>
      </c>
      <c r="O119" t="s">
        <v>40</v>
      </c>
      <c r="P119" t="s">
        <v>38</v>
      </c>
    </row>
    <row r="120" spans="1:16">
      <c r="A120">
        <v>126</v>
      </c>
      <c r="B120">
        <v>0</v>
      </c>
      <c r="C120">
        <v>0</v>
      </c>
      <c r="D120">
        <v>22.64</v>
      </c>
      <c r="E120">
        <v>1.0500000000000001E-2</v>
      </c>
      <c r="F120">
        <v>3.8E-3</v>
      </c>
      <c r="G120">
        <v>0</v>
      </c>
      <c r="H120">
        <v>1.3899999999999999E-2</v>
      </c>
      <c r="I120">
        <v>0</v>
      </c>
      <c r="J120">
        <v>78.8</v>
      </c>
      <c r="K120">
        <v>7.7999999999999996E-3</v>
      </c>
      <c r="L120">
        <v>7.7399999999999997E-2</v>
      </c>
      <c r="M120">
        <v>5.1499999999999997E-2</v>
      </c>
      <c r="N120">
        <v>101.6048</v>
      </c>
      <c r="O120" t="s">
        <v>40</v>
      </c>
      <c r="P120" t="s">
        <v>38</v>
      </c>
    </row>
    <row r="121" spans="1:16">
      <c r="A121">
        <v>139</v>
      </c>
      <c r="B121">
        <v>0</v>
      </c>
      <c r="C121">
        <v>0</v>
      </c>
      <c r="D121">
        <v>21.94</v>
      </c>
      <c r="E121">
        <v>0</v>
      </c>
      <c r="F121">
        <v>7.1999999999999998E-3</v>
      </c>
      <c r="G121">
        <v>0</v>
      </c>
      <c r="H121">
        <v>5.9999999999999995E-4</v>
      </c>
      <c r="I121">
        <v>0</v>
      </c>
      <c r="J121">
        <v>79.52</v>
      </c>
      <c r="K121">
        <v>2.8E-3</v>
      </c>
      <c r="L121">
        <v>6.2399999999999997E-2</v>
      </c>
      <c r="M121">
        <v>7.6799999999999993E-2</v>
      </c>
      <c r="N121">
        <v>101.6097</v>
      </c>
      <c r="O121" t="s">
        <v>40</v>
      </c>
      <c r="P121" t="s">
        <v>38</v>
      </c>
    </row>
    <row r="122" spans="1:16">
      <c r="A122">
        <v>152</v>
      </c>
      <c r="B122">
        <v>0</v>
      </c>
      <c r="C122">
        <v>0</v>
      </c>
      <c r="D122">
        <v>22.6</v>
      </c>
      <c r="E122">
        <v>1E-3</v>
      </c>
      <c r="F122">
        <v>0</v>
      </c>
      <c r="G122">
        <v>0</v>
      </c>
      <c r="H122">
        <v>4.3E-3</v>
      </c>
      <c r="I122">
        <v>0</v>
      </c>
      <c r="J122">
        <v>78.89</v>
      </c>
      <c r="K122">
        <v>4.0000000000000001E-3</v>
      </c>
      <c r="L122">
        <v>3.15E-2</v>
      </c>
      <c r="M122">
        <v>8.7099999999999997E-2</v>
      </c>
      <c r="N122">
        <v>101.6178</v>
      </c>
      <c r="O122" t="s">
        <v>40</v>
      </c>
      <c r="P122" t="s">
        <v>38</v>
      </c>
    </row>
    <row r="123" spans="1:16">
      <c r="A123">
        <v>153</v>
      </c>
      <c r="B123">
        <v>0</v>
      </c>
      <c r="C123">
        <v>0</v>
      </c>
      <c r="D123">
        <v>22.26</v>
      </c>
      <c r="E123">
        <v>5.5999999999999999E-3</v>
      </c>
      <c r="F123">
        <v>0</v>
      </c>
      <c r="G123">
        <v>8.9999999999999998E-4</v>
      </c>
      <c r="H123">
        <v>0</v>
      </c>
      <c r="I123">
        <v>0</v>
      </c>
      <c r="J123">
        <v>79.34</v>
      </c>
      <c r="K123">
        <v>2.0999999999999999E-3</v>
      </c>
      <c r="L123">
        <v>4.5499999999999999E-2</v>
      </c>
      <c r="M123">
        <v>5.6599999999999998E-2</v>
      </c>
      <c r="N123">
        <v>101.7106</v>
      </c>
      <c r="O123" t="s">
        <v>40</v>
      </c>
      <c r="P123" t="s">
        <v>38</v>
      </c>
    </row>
    <row r="124" spans="1:16">
      <c r="A124">
        <v>145</v>
      </c>
      <c r="B124">
        <v>0</v>
      </c>
      <c r="C124">
        <v>0</v>
      </c>
      <c r="D124">
        <v>21.98</v>
      </c>
      <c r="E124">
        <v>8.3000000000000001E-3</v>
      </c>
      <c r="F124">
        <v>0</v>
      </c>
      <c r="G124">
        <v>0</v>
      </c>
      <c r="H124">
        <v>0.01</v>
      </c>
      <c r="I124">
        <v>1E-4</v>
      </c>
      <c r="J124">
        <v>79.72</v>
      </c>
      <c r="K124">
        <v>8.0000000000000004E-4</v>
      </c>
      <c r="L124">
        <v>1.6899999999999998E-2</v>
      </c>
      <c r="M124">
        <v>7.6799999999999993E-2</v>
      </c>
      <c r="N124">
        <v>101.8128</v>
      </c>
      <c r="O124" t="s">
        <v>40</v>
      </c>
      <c r="P124" t="s">
        <v>38</v>
      </c>
    </row>
    <row r="125" spans="1:16">
      <c r="A125">
        <v>154</v>
      </c>
      <c r="B125">
        <v>0</v>
      </c>
      <c r="C125">
        <v>0</v>
      </c>
      <c r="D125">
        <v>22.13</v>
      </c>
      <c r="E125">
        <v>0</v>
      </c>
      <c r="F125">
        <v>0</v>
      </c>
      <c r="G125">
        <v>0</v>
      </c>
      <c r="H125">
        <v>2.0000000000000001E-4</v>
      </c>
      <c r="I125">
        <v>1E-4</v>
      </c>
      <c r="J125">
        <v>79.599999999999994</v>
      </c>
      <c r="K125">
        <v>0</v>
      </c>
      <c r="L125">
        <v>3.1699999999999999E-2</v>
      </c>
      <c r="M125">
        <v>8.0399999999999999E-2</v>
      </c>
      <c r="N125">
        <v>101.84229999999999</v>
      </c>
      <c r="O125" t="s">
        <v>40</v>
      </c>
      <c r="P125" t="s">
        <v>38</v>
      </c>
    </row>
    <row r="126" spans="1:16">
      <c r="A126">
        <v>155</v>
      </c>
      <c r="B126">
        <v>0</v>
      </c>
      <c r="C126">
        <v>0</v>
      </c>
      <c r="D126">
        <v>21.95</v>
      </c>
      <c r="E126">
        <v>0</v>
      </c>
      <c r="F126">
        <v>0</v>
      </c>
      <c r="G126">
        <v>0</v>
      </c>
      <c r="H126">
        <v>3.5999999999999999E-3</v>
      </c>
      <c r="I126">
        <v>1.2999999999999999E-3</v>
      </c>
      <c r="J126">
        <v>79.86</v>
      </c>
      <c r="K126">
        <v>1E-3</v>
      </c>
      <c r="L126">
        <v>6.2399999999999997E-2</v>
      </c>
      <c r="M126">
        <v>4.8300000000000003E-2</v>
      </c>
      <c r="N126">
        <v>101.92659999999999</v>
      </c>
      <c r="O126" t="s">
        <v>40</v>
      </c>
      <c r="P126" t="s">
        <v>38</v>
      </c>
    </row>
    <row r="127" spans="1:16">
      <c r="A127">
        <v>146</v>
      </c>
      <c r="B127">
        <v>0</v>
      </c>
      <c r="C127">
        <v>0</v>
      </c>
      <c r="D127">
        <v>22.03</v>
      </c>
      <c r="E127">
        <v>0</v>
      </c>
      <c r="F127">
        <v>0</v>
      </c>
      <c r="G127">
        <v>0</v>
      </c>
      <c r="H127">
        <v>0</v>
      </c>
      <c r="I127">
        <v>0</v>
      </c>
      <c r="J127">
        <v>79.83</v>
      </c>
      <c r="K127">
        <v>4.1999999999999997E-3</v>
      </c>
      <c r="L127">
        <v>5.3100000000000001E-2</v>
      </c>
      <c r="M127">
        <v>6.4699999999999994E-2</v>
      </c>
      <c r="N127">
        <v>101.9819</v>
      </c>
      <c r="O127" t="s">
        <v>40</v>
      </c>
      <c r="P127" t="s">
        <v>38</v>
      </c>
    </row>
    <row r="128" spans="1:16">
      <c r="A128">
        <v>124</v>
      </c>
      <c r="B128">
        <v>0</v>
      </c>
      <c r="C128">
        <v>0</v>
      </c>
      <c r="D128">
        <v>22.66</v>
      </c>
      <c r="E128">
        <v>1.5100000000000001E-2</v>
      </c>
      <c r="F128">
        <v>0</v>
      </c>
      <c r="G128">
        <v>0</v>
      </c>
      <c r="H128">
        <v>9.9000000000000008E-3</v>
      </c>
      <c r="I128">
        <v>0</v>
      </c>
      <c r="J128">
        <v>79.209999999999994</v>
      </c>
      <c r="K128">
        <v>1.9E-3</v>
      </c>
      <c r="L128">
        <v>4.3799999999999999E-2</v>
      </c>
      <c r="M128">
        <v>6.4699999999999994E-2</v>
      </c>
      <c r="N128">
        <v>102.00530000000001</v>
      </c>
      <c r="O128" t="s">
        <v>40</v>
      </c>
      <c r="P128" t="s">
        <v>38</v>
      </c>
    </row>
    <row r="129" spans="1:16">
      <c r="A129">
        <v>141</v>
      </c>
      <c r="B129">
        <v>0</v>
      </c>
      <c r="C129">
        <v>0</v>
      </c>
      <c r="D129">
        <v>21.73</v>
      </c>
      <c r="E129">
        <v>1.14E-2</v>
      </c>
      <c r="F129">
        <v>0</v>
      </c>
      <c r="G129">
        <v>0</v>
      </c>
      <c r="H129">
        <v>3.4299999999999997E-2</v>
      </c>
      <c r="I129">
        <v>3.1399999999999997E-2</v>
      </c>
      <c r="J129">
        <v>79.819999999999993</v>
      </c>
      <c r="K129">
        <v>0.37219999999999998</v>
      </c>
      <c r="L129">
        <v>5.62E-2</v>
      </c>
      <c r="M129">
        <v>7.1499999999999994E-2</v>
      </c>
      <c r="N129">
        <v>102.12690000000001</v>
      </c>
      <c r="O129" t="s">
        <v>40</v>
      </c>
      <c r="P129" t="s">
        <v>38</v>
      </c>
    </row>
    <row r="130" spans="1:16">
      <c r="A130">
        <v>143</v>
      </c>
      <c r="B130">
        <v>0</v>
      </c>
      <c r="C130">
        <v>0</v>
      </c>
      <c r="D130">
        <v>22.25</v>
      </c>
      <c r="E130">
        <v>0</v>
      </c>
      <c r="F130">
        <v>0</v>
      </c>
      <c r="G130">
        <v>0</v>
      </c>
      <c r="H130">
        <v>1.1000000000000001E-3</v>
      </c>
      <c r="I130">
        <v>3.8999999999999998E-3</v>
      </c>
      <c r="J130">
        <v>79.819999999999993</v>
      </c>
      <c r="K130">
        <v>2.5000000000000001E-3</v>
      </c>
      <c r="L130">
        <v>7.6999999999999999E-2</v>
      </c>
      <c r="M130">
        <v>7.6200000000000004E-2</v>
      </c>
      <c r="N130">
        <v>102.2307</v>
      </c>
      <c r="O130" t="s">
        <v>40</v>
      </c>
      <c r="P130" t="s">
        <v>38</v>
      </c>
    </row>
    <row r="131" spans="1:16">
      <c r="A131">
        <v>140</v>
      </c>
      <c r="B131">
        <v>0</v>
      </c>
      <c r="C131">
        <v>0</v>
      </c>
      <c r="D131">
        <v>22.44</v>
      </c>
      <c r="E131">
        <v>3.5999999999999999E-3</v>
      </c>
      <c r="F131">
        <v>0</v>
      </c>
      <c r="G131">
        <v>0</v>
      </c>
      <c r="H131">
        <v>6.4999999999999997E-3</v>
      </c>
      <c r="I131">
        <v>0</v>
      </c>
      <c r="J131">
        <v>79.709999999999994</v>
      </c>
      <c r="K131">
        <v>5.4000000000000003E-3</v>
      </c>
      <c r="L131">
        <v>5.1200000000000002E-2</v>
      </c>
      <c r="M131">
        <v>7.7399999999999997E-2</v>
      </c>
      <c r="N131">
        <v>102.294</v>
      </c>
      <c r="O131" t="s">
        <v>40</v>
      </c>
      <c r="P131" t="s">
        <v>38</v>
      </c>
    </row>
    <row r="132" spans="1:16">
      <c r="A132">
        <v>135</v>
      </c>
      <c r="B132">
        <v>0</v>
      </c>
      <c r="C132">
        <v>0</v>
      </c>
      <c r="D132">
        <v>22.05</v>
      </c>
      <c r="E132">
        <v>1.6500000000000001E-2</v>
      </c>
      <c r="F132">
        <v>0</v>
      </c>
      <c r="G132">
        <v>0</v>
      </c>
      <c r="H132">
        <v>2.1600000000000001E-2</v>
      </c>
      <c r="I132">
        <v>0</v>
      </c>
      <c r="J132">
        <v>78.989999999999995</v>
      </c>
      <c r="K132">
        <v>1.21E-2</v>
      </c>
      <c r="L132">
        <v>0.04</v>
      </c>
      <c r="M132">
        <v>8.4900000000000003E-2</v>
      </c>
      <c r="N132">
        <v>101.215</v>
      </c>
      <c r="O132" t="s">
        <v>41</v>
      </c>
      <c r="P132" t="s">
        <v>38</v>
      </c>
    </row>
    <row r="133" spans="1:16">
      <c r="A133">
        <v>72</v>
      </c>
      <c r="B133">
        <v>0</v>
      </c>
      <c r="C133">
        <v>0</v>
      </c>
      <c r="D133">
        <v>32.07</v>
      </c>
      <c r="E133">
        <v>8.0000000000000002E-3</v>
      </c>
      <c r="F133">
        <v>1.5E-3</v>
      </c>
      <c r="G133">
        <v>0</v>
      </c>
      <c r="H133">
        <v>14.58</v>
      </c>
      <c r="I133">
        <v>0</v>
      </c>
      <c r="J133">
        <v>53.47</v>
      </c>
      <c r="K133">
        <v>0</v>
      </c>
      <c r="L133">
        <v>1.6E-2</v>
      </c>
      <c r="M133">
        <v>0.15859999999999999</v>
      </c>
      <c r="N133">
        <v>100.304</v>
      </c>
      <c r="O133" t="s">
        <v>42</v>
      </c>
      <c r="P133" t="s">
        <v>38</v>
      </c>
    </row>
    <row r="134" spans="1:16">
      <c r="A134">
        <v>71</v>
      </c>
      <c r="B134">
        <v>0</v>
      </c>
      <c r="C134">
        <v>0</v>
      </c>
      <c r="D134">
        <v>31.68</v>
      </c>
      <c r="E134">
        <v>1.3899999999999999E-2</v>
      </c>
      <c r="F134">
        <v>0</v>
      </c>
      <c r="G134">
        <v>0</v>
      </c>
      <c r="H134">
        <v>14.52</v>
      </c>
      <c r="I134">
        <v>0</v>
      </c>
      <c r="J134">
        <v>54.71</v>
      </c>
      <c r="K134">
        <v>0</v>
      </c>
      <c r="L134">
        <v>3.85E-2</v>
      </c>
      <c r="M134">
        <v>0.16470000000000001</v>
      </c>
      <c r="N134">
        <v>101.1271</v>
      </c>
      <c r="O134" t="s">
        <v>42</v>
      </c>
      <c r="P134" t="s">
        <v>38</v>
      </c>
    </row>
    <row r="135" spans="1:16">
      <c r="A135">
        <v>73</v>
      </c>
      <c r="B135">
        <v>0</v>
      </c>
      <c r="C135">
        <v>0</v>
      </c>
      <c r="D135">
        <v>31.79</v>
      </c>
      <c r="E135">
        <v>5.0000000000000001E-3</v>
      </c>
      <c r="F135">
        <v>2.5999999999999999E-3</v>
      </c>
      <c r="G135">
        <v>0</v>
      </c>
      <c r="H135">
        <v>14.43</v>
      </c>
      <c r="I135">
        <v>0</v>
      </c>
      <c r="J135">
        <v>54.84</v>
      </c>
      <c r="K135">
        <v>0</v>
      </c>
      <c r="L135">
        <v>4.2000000000000003E-2</v>
      </c>
      <c r="M135">
        <v>0.15379999999999999</v>
      </c>
      <c r="N135">
        <v>101.2633</v>
      </c>
      <c r="O135" t="s">
        <v>42</v>
      </c>
      <c r="P135" t="s">
        <v>38</v>
      </c>
    </row>
    <row r="136" spans="1:16">
      <c r="A136">
        <v>73</v>
      </c>
      <c r="B136">
        <v>0</v>
      </c>
      <c r="C136">
        <v>0</v>
      </c>
      <c r="D136">
        <v>26.29</v>
      </c>
      <c r="E136">
        <v>0.1084</v>
      </c>
      <c r="F136">
        <v>0</v>
      </c>
      <c r="G136">
        <v>0</v>
      </c>
      <c r="H136">
        <v>8.4600000000000009</v>
      </c>
      <c r="I136">
        <v>0</v>
      </c>
      <c r="J136">
        <v>61.31</v>
      </c>
      <c r="K136">
        <v>0</v>
      </c>
      <c r="L136">
        <v>2.8400000000000002E-2</v>
      </c>
      <c r="M136">
        <v>6.2E-2</v>
      </c>
      <c r="N136">
        <v>96.258899999999997</v>
      </c>
      <c r="O136" t="s">
        <v>43</v>
      </c>
      <c r="P136" t="s">
        <v>44</v>
      </c>
    </row>
    <row r="137" spans="1:16">
      <c r="A137">
        <v>72</v>
      </c>
      <c r="B137">
        <v>0</v>
      </c>
      <c r="C137">
        <v>0</v>
      </c>
      <c r="D137">
        <v>25.34</v>
      </c>
      <c r="E137">
        <v>0.17749999999999999</v>
      </c>
      <c r="F137">
        <v>1.89E-2</v>
      </c>
      <c r="G137">
        <v>0</v>
      </c>
      <c r="H137">
        <v>7.05</v>
      </c>
      <c r="I137">
        <v>0</v>
      </c>
      <c r="J137">
        <v>63.85</v>
      </c>
      <c r="K137">
        <v>0</v>
      </c>
      <c r="L137">
        <v>1.5299999999999999E-2</v>
      </c>
      <c r="M137">
        <v>7.9899999999999999E-2</v>
      </c>
      <c r="N137">
        <v>96.531700000000001</v>
      </c>
      <c r="O137" t="s">
        <v>43</v>
      </c>
      <c r="P137" t="s">
        <v>44</v>
      </c>
    </row>
    <row r="138" spans="1:16">
      <c r="A138">
        <v>71</v>
      </c>
      <c r="B138">
        <v>0</v>
      </c>
      <c r="C138">
        <v>0</v>
      </c>
      <c r="D138">
        <v>25.14</v>
      </c>
      <c r="E138">
        <v>0.16689999999999999</v>
      </c>
      <c r="F138">
        <v>4.7999999999999996E-3</v>
      </c>
      <c r="G138">
        <v>0</v>
      </c>
      <c r="H138">
        <v>7.05</v>
      </c>
      <c r="I138">
        <v>0</v>
      </c>
      <c r="J138">
        <v>64.58</v>
      </c>
      <c r="K138">
        <v>0</v>
      </c>
      <c r="L138">
        <v>5.7599999999999998E-2</v>
      </c>
      <c r="M138">
        <v>6.7400000000000002E-2</v>
      </c>
      <c r="N138">
        <v>97.066800000000001</v>
      </c>
      <c r="O138" t="s">
        <v>43</v>
      </c>
      <c r="P138" t="s">
        <v>44</v>
      </c>
    </row>
    <row r="139" spans="1:16">
      <c r="A139">
        <v>70</v>
      </c>
      <c r="B139">
        <v>0</v>
      </c>
      <c r="C139">
        <v>0</v>
      </c>
      <c r="D139">
        <v>25.05</v>
      </c>
      <c r="E139">
        <v>0.19359999999999999</v>
      </c>
      <c r="F139">
        <v>0</v>
      </c>
      <c r="G139">
        <v>0</v>
      </c>
      <c r="H139">
        <v>6.46</v>
      </c>
      <c r="I139">
        <v>0</v>
      </c>
      <c r="J139">
        <v>65.349999999999994</v>
      </c>
      <c r="K139">
        <v>0</v>
      </c>
      <c r="L139">
        <v>4.2599999999999999E-2</v>
      </c>
      <c r="M139">
        <v>6.3E-2</v>
      </c>
      <c r="N139">
        <v>97.159300000000002</v>
      </c>
      <c r="O139" t="s">
        <v>43</v>
      </c>
      <c r="P139" t="s">
        <v>44</v>
      </c>
    </row>
    <row r="140" spans="1:16">
      <c r="A140">
        <v>16</v>
      </c>
      <c r="B140">
        <v>0</v>
      </c>
      <c r="C140">
        <v>0</v>
      </c>
      <c r="D140">
        <v>27.25</v>
      </c>
      <c r="E140">
        <v>1.5599999999999999E-2</v>
      </c>
      <c r="F140">
        <v>0</v>
      </c>
      <c r="G140">
        <v>0</v>
      </c>
      <c r="H140">
        <v>1.47</v>
      </c>
      <c r="I140">
        <v>0</v>
      </c>
      <c r="J140">
        <v>71.7</v>
      </c>
      <c r="K140">
        <v>0</v>
      </c>
      <c r="L140">
        <v>3.7900000000000003E-2</v>
      </c>
      <c r="M140">
        <v>7.5300000000000006E-2</v>
      </c>
      <c r="N140">
        <v>100.5487</v>
      </c>
      <c r="O140" t="s">
        <v>45</v>
      </c>
      <c r="P140" t="s">
        <v>46</v>
      </c>
    </row>
    <row r="141" spans="1:16">
      <c r="A141">
        <v>15</v>
      </c>
      <c r="B141">
        <v>0</v>
      </c>
      <c r="C141">
        <v>0</v>
      </c>
      <c r="D141">
        <v>29.99</v>
      </c>
      <c r="E141">
        <v>2.3699999999999999E-2</v>
      </c>
      <c r="F141">
        <v>4.0000000000000002E-4</v>
      </c>
      <c r="G141">
        <v>0</v>
      </c>
      <c r="H141">
        <v>0.88690000000000002</v>
      </c>
      <c r="I141">
        <v>0</v>
      </c>
      <c r="J141">
        <v>71.569999999999993</v>
      </c>
      <c r="K141">
        <v>0</v>
      </c>
      <c r="L141">
        <v>6.8099999999999994E-2</v>
      </c>
      <c r="M141">
        <v>9.0899999999999995E-2</v>
      </c>
      <c r="N141">
        <v>102.62990000000001</v>
      </c>
      <c r="O141" t="s">
        <v>45</v>
      </c>
      <c r="P141" t="s">
        <v>46</v>
      </c>
    </row>
    <row r="142" spans="1:16">
      <c r="A142">
        <v>14</v>
      </c>
      <c r="B142">
        <v>0</v>
      </c>
      <c r="C142">
        <v>0</v>
      </c>
      <c r="D142">
        <v>27.66</v>
      </c>
      <c r="E142">
        <v>3.5400000000000001E-2</v>
      </c>
      <c r="F142">
        <v>1.6999999999999999E-3</v>
      </c>
      <c r="G142">
        <v>0</v>
      </c>
      <c r="H142">
        <v>1.25</v>
      </c>
      <c r="I142">
        <v>0</v>
      </c>
      <c r="J142">
        <v>71.2</v>
      </c>
      <c r="K142">
        <v>0</v>
      </c>
      <c r="L142">
        <v>4.4299999999999999E-2</v>
      </c>
      <c r="M142">
        <v>9.0499999999999997E-2</v>
      </c>
      <c r="N142">
        <v>100.2818</v>
      </c>
      <c r="O142" t="s">
        <v>45</v>
      </c>
      <c r="P142" t="s">
        <v>46</v>
      </c>
    </row>
  </sheetData>
  <phoneticPr fontId="1"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00468-218D-4485-9109-52E67D2381FE}">
  <dimension ref="A1:P11"/>
  <sheetViews>
    <sheetView workbookViewId="0">
      <selection activeCell="O2" sqref="O2"/>
    </sheetView>
  </sheetViews>
  <sheetFormatPr defaultRowHeight="12.75"/>
  <sheetData>
    <row r="1" spans="1:16">
      <c r="A1" t="s">
        <v>0</v>
      </c>
      <c r="B1" t="s">
        <v>1</v>
      </c>
      <c r="C1" t="s">
        <v>2</v>
      </c>
      <c r="D1" t="s">
        <v>3</v>
      </c>
      <c r="E1" t="s">
        <v>4</v>
      </c>
      <c r="F1" t="s">
        <v>5</v>
      </c>
      <c r="G1" t="s">
        <v>6</v>
      </c>
      <c r="H1" t="s">
        <v>7</v>
      </c>
      <c r="I1" t="s">
        <v>8</v>
      </c>
      <c r="J1" t="s">
        <v>9</v>
      </c>
      <c r="K1" t="s">
        <v>10</v>
      </c>
      <c r="L1" t="s">
        <v>11</v>
      </c>
      <c r="M1" t="s">
        <v>12</v>
      </c>
      <c r="N1" t="s">
        <v>13</v>
      </c>
      <c r="O1" t="s">
        <v>47</v>
      </c>
      <c r="P1" t="s">
        <v>15</v>
      </c>
    </row>
    <row r="2" spans="1:16">
      <c r="A2">
        <v>17</v>
      </c>
      <c r="B2">
        <v>19.78</v>
      </c>
      <c r="C2">
        <v>0</v>
      </c>
      <c r="D2">
        <v>33.619999999999997</v>
      </c>
      <c r="E2">
        <v>6.3E-3</v>
      </c>
      <c r="F2">
        <v>0.1052</v>
      </c>
      <c r="G2">
        <v>1.2999999999999999E-3</v>
      </c>
      <c r="H2">
        <v>1.06</v>
      </c>
      <c r="I2">
        <v>0</v>
      </c>
      <c r="J2">
        <v>48.57</v>
      </c>
      <c r="K2">
        <v>3.44E-2</v>
      </c>
      <c r="L2">
        <v>3.3300000000000003E-2</v>
      </c>
      <c r="M2">
        <v>0.10150000000000001</v>
      </c>
      <c r="N2">
        <v>103.312</v>
      </c>
      <c r="O2" t="s">
        <v>48</v>
      </c>
      <c r="P2" t="s">
        <v>49</v>
      </c>
    </row>
    <row r="3" spans="1:16">
      <c r="A3">
        <v>18</v>
      </c>
      <c r="B3">
        <v>19.88</v>
      </c>
      <c r="C3">
        <v>0</v>
      </c>
      <c r="D3">
        <v>33.799999999999997</v>
      </c>
      <c r="E3">
        <v>0</v>
      </c>
      <c r="F3">
        <v>0</v>
      </c>
      <c r="G3">
        <v>0</v>
      </c>
      <c r="H3">
        <v>0.69020000000000004</v>
      </c>
      <c r="I3">
        <v>0</v>
      </c>
      <c r="J3">
        <v>48.47</v>
      </c>
      <c r="K3">
        <v>0.14530000000000001</v>
      </c>
      <c r="L3">
        <v>2.6200000000000001E-2</v>
      </c>
      <c r="M3">
        <v>0.1086</v>
      </c>
      <c r="N3">
        <v>103.1202</v>
      </c>
      <c r="O3" t="s">
        <v>48</v>
      </c>
      <c r="P3" t="s">
        <v>49</v>
      </c>
    </row>
    <row r="4" spans="1:16">
      <c r="A4">
        <v>12</v>
      </c>
      <c r="B4">
        <v>19.96</v>
      </c>
      <c r="C4">
        <v>0</v>
      </c>
      <c r="D4">
        <v>33.83</v>
      </c>
      <c r="E4">
        <v>0</v>
      </c>
      <c r="F4">
        <v>0</v>
      </c>
      <c r="G4">
        <v>0</v>
      </c>
      <c r="H4">
        <v>0.7873</v>
      </c>
      <c r="I4">
        <v>0</v>
      </c>
      <c r="J4">
        <v>48.22</v>
      </c>
      <c r="K4">
        <v>0.18709999999999999</v>
      </c>
      <c r="L4">
        <v>5.0299999999999997E-2</v>
      </c>
      <c r="M4">
        <v>9.98E-2</v>
      </c>
      <c r="N4">
        <v>103.1345</v>
      </c>
      <c r="O4" t="s">
        <v>50</v>
      </c>
      <c r="P4" t="s">
        <v>49</v>
      </c>
    </row>
    <row r="5" spans="1:16">
      <c r="A5">
        <v>253</v>
      </c>
      <c r="B5">
        <v>18.559999999999999</v>
      </c>
      <c r="C5">
        <v>0</v>
      </c>
      <c r="D5">
        <v>29.28</v>
      </c>
      <c r="E5">
        <v>5.8999999999999997E-2</v>
      </c>
      <c r="F5">
        <v>0</v>
      </c>
      <c r="G5">
        <v>0.15060000000000001</v>
      </c>
      <c r="H5">
        <v>3.1</v>
      </c>
      <c r="I5">
        <v>4.5400000000000003E-2</v>
      </c>
      <c r="J5">
        <v>42.44</v>
      </c>
      <c r="K5">
        <v>0</v>
      </c>
      <c r="L5">
        <v>6.08</v>
      </c>
      <c r="M5">
        <v>0.80089999999999995</v>
      </c>
      <c r="N5">
        <v>100.5158</v>
      </c>
      <c r="O5" t="s">
        <v>51</v>
      </c>
      <c r="P5" t="s">
        <v>38</v>
      </c>
    </row>
    <row r="6" spans="1:16">
      <c r="A6">
        <v>254</v>
      </c>
      <c r="B6">
        <v>17.43</v>
      </c>
      <c r="C6">
        <v>0</v>
      </c>
      <c r="D6">
        <v>29.89</v>
      </c>
      <c r="E6">
        <v>3.2000000000000001E-2</v>
      </c>
      <c r="F6">
        <v>1.5E-3</v>
      </c>
      <c r="G6">
        <v>0.11600000000000001</v>
      </c>
      <c r="H6">
        <v>4.8499999999999996</v>
      </c>
      <c r="I6">
        <v>3.9199999999999999E-2</v>
      </c>
      <c r="J6">
        <v>42.27</v>
      </c>
      <c r="K6">
        <v>0</v>
      </c>
      <c r="L6">
        <v>4.37</v>
      </c>
      <c r="M6">
        <v>1.28</v>
      </c>
      <c r="N6">
        <v>100.2786</v>
      </c>
      <c r="O6" t="s">
        <v>51</v>
      </c>
      <c r="P6" t="s">
        <v>38</v>
      </c>
    </row>
    <row r="7" spans="1:16">
      <c r="A7">
        <v>13</v>
      </c>
      <c r="B7">
        <v>21.76</v>
      </c>
      <c r="C7">
        <v>0</v>
      </c>
      <c r="D7">
        <v>31.11</v>
      </c>
      <c r="E7">
        <v>5.2499999999999998E-2</v>
      </c>
      <c r="F7">
        <v>5.4800000000000001E-2</v>
      </c>
      <c r="G7">
        <v>0.1106</v>
      </c>
      <c r="H7">
        <v>6.22</v>
      </c>
      <c r="I7">
        <v>2.18E-2</v>
      </c>
      <c r="J7">
        <v>40.119999999999997</v>
      </c>
      <c r="K7">
        <v>0</v>
      </c>
      <c r="L7">
        <v>1.69</v>
      </c>
      <c r="M7">
        <v>7.7499999999999999E-2</v>
      </c>
      <c r="N7">
        <v>101.21720000000001</v>
      </c>
      <c r="O7" t="s">
        <v>50</v>
      </c>
      <c r="P7" t="s">
        <v>49</v>
      </c>
    </row>
    <row r="8" spans="1:16">
      <c r="A8">
        <v>15</v>
      </c>
      <c r="B8">
        <v>23.27</v>
      </c>
      <c r="C8">
        <v>0</v>
      </c>
      <c r="D8">
        <v>32.78</v>
      </c>
      <c r="E8">
        <v>1.0999999999999999E-2</v>
      </c>
      <c r="F8">
        <v>0.16800000000000001</v>
      </c>
      <c r="G8">
        <v>4.7999999999999996E-3</v>
      </c>
      <c r="H8">
        <v>4.2699999999999996</v>
      </c>
      <c r="I8">
        <v>2.9899999999999999E-2</v>
      </c>
      <c r="J8">
        <v>35.75</v>
      </c>
      <c r="K8">
        <v>0</v>
      </c>
      <c r="L8">
        <v>1.1100000000000001</v>
      </c>
      <c r="M8">
        <v>8.6800000000000002E-2</v>
      </c>
      <c r="N8">
        <v>97.480599999999995</v>
      </c>
      <c r="O8" t="s">
        <v>48</v>
      </c>
      <c r="P8" t="s">
        <v>49</v>
      </c>
    </row>
    <row r="9" spans="1:16">
      <c r="A9">
        <v>99</v>
      </c>
      <c r="B9">
        <v>9.09</v>
      </c>
      <c r="C9">
        <v>0</v>
      </c>
      <c r="D9">
        <v>24.95</v>
      </c>
      <c r="E9">
        <v>1.17</v>
      </c>
      <c r="F9">
        <v>12.64</v>
      </c>
      <c r="G9">
        <v>0</v>
      </c>
      <c r="H9">
        <v>9.43</v>
      </c>
      <c r="I9">
        <v>0</v>
      </c>
      <c r="J9">
        <v>34.69</v>
      </c>
      <c r="K9">
        <v>7.3099999999999998E-2</v>
      </c>
      <c r="L9">
        <v>2.57</v>
      </c>
      <c r="M9">
        <v>8.6400000000000005E-2</v>
      </c>
      <c r="N9">
        <v>94.699600000000004</v>
      </c>
      <c r="O9" t="s">
        <v>52</v>
      </c>
      <c r="P9" t="s">
        <v>53</v>
      </c>
    </row>
    <row r="10" spans="1:16">
      <c r="A10">
        <v>97</v>
      </c>
      <c r="B10">
        <v>9.39</v>
      </c>
      <c r="C10">
        <v>0</v>
      </c>
      <c r="D10">
        <v>23.6</v>
      </c>
      <c r="E10">
        <v>1.1499999999999999</v>
      </c>
      <c r="F10">
        <v>12.12</v>
      </c>
      <c r="G10">
        <v>0</v>
      </c>
      <c r="H10">
        <v>7.86</v>
      </c>
      <c r="I10">
        <v>0</v>
      </c>
      <c r="J10">
        <v>35.04</v>
      </c>
      <c r="K10">
        <v>0</v>
      </c>
      <c r="L10">
        <v>1.94</v>
      </c>
      <c r="M10">
        <v>8.4500000000000006E-2</v>
      </c>
      <c r="N10">
        <v>91.184600000000003</v>
      </c>
      <c r="O10" t="s">
        <v>52</v>
      </c>
      <c r="P10" t="s">
        <v>53</v>
      </c>
    </row>
    <row r="11" spans="1:16">
      <c r="A11">
        <v>4</v>
      </c>
      <c r="B11">
        <v>19.2</v>
      </c>
      <c r="C11">
        <v>0</v>
      </c>
      <c r="D11">
        <v>32.6</v>
      </c>
      <c r="E11">
        <v>0</v>
      </c>
      <c r="F11">
        <v>0</v>
      </c>
      <c r="G11">
        <v>0</v>
      </c>
      <c r="H11">
        <v>0.42299999999999999</v>
      </c>
      <c r="I11">
        <v>0</v>
      </c>
      <c r="J11">
        <v>50.29</v>
      </c>
      <c r="K11">
        <v>0</v>
      </c>
      <c r="L11">
        <v>5.04E-2</v>
      </c>
      <c r="M11">
        <v>0</v>
      </c>
      <c r="N11">
        <v>102.5633</v>
      </c>
      <c r="O11" t="s">
        <v>54</v>
      </c>
      <c r="P11" t="s">
        <v>46</v>
      </c>
    </row>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E5E9-2877-4029-9325-304ADC6EFA0B}">
  <dimension ref="A1:P43"/>
  <sheetViews>
    <sheetView workbookViewId="0">
      <selection activeCell="P2" sqref="P2"/>
    </sheetView>
  </sheetViews>
  <sheetFormatPr defaultRowHeight="12.75"/>
  <sheetData>
    <row r="1" spans="1:16">
      <c r="A1" t="s">
        <v>0</v>
      </c>
      <c r="B1" t="s">
        <v>1</v>
      </c>
      <c r="C1" t="s">
        <v>2</v>
      </c>
      <c r="D1" t="s">
        <v>3</v>
      </c>
      <c r="E1" t="s">
        <v>4</v>
      </c>
      <c r="F1" t="s">
        <v>5</v>
      </c>
      <c r="G1" t="s">
        <v>6</v>
      </c>
      <c r="H1" t="s">
        <v>7</v>
      </c>
      <c r="I1" t="s">
        <v>8</v>
      </c>
      <c r="J1" t="s">
        <v>9</v>
      </c>
      <c r="K1" t="s">
        <v>10</v>
      </c>
      <c r="L1" t="s">
        <v>11</v>
      </c>
      <c r="M1" t="s">
        <v>12</v>
      </c>
      <c r="N1" t="s">
        <v>13</v>
      </c>
      <c r="O1" t="s">
        <v>47</v>
      </c>
      <c r="P1" t="s">
        <v>15</v>
      </c>
    </row>
    <row r="2" spans="1:16">
      <c r="A2">
        <v>22</v>
      </c>
      <c r="B2">
        <v>66.63</v>
      </c>
      <c r="C2">
        <v>0</v>
      </c>
      <c r="D2">
        <v>4.24</v>
      </c>
      <c r="E2">
        <v>3.2599999999999997E-2</v>
      </c>
      <c r="F2">
        <v>0</v>
      </c>
      <c r="G2">
        <v>0</v>
      </c>
      <c r="H2">
        <v>28.84</v>
      </c>
      <c r="I2">
        <v>0</v>
      </c>
      <c r="J2">
        <v>1.0800000000000001E-2</v>
      </c>
      <c r="K2">
        <v>0</v>
      </c>
      <c r="L2">
        <v>2.6599999999999999E-2</v>
      </c>
      <c r="M2">
        <v>2.01E-2</v>
      </c>
      <c r="N2">
        <f>SUM(B2:M2)</f>
        <v>99.8001</v>
      </c>
      <c r="O2" t="s">
        <v>55</v>
      </c>
      <c r="P2" t="s">
        <v>44</v>
      </c>
    </row>
    <row r="3" spans="1:16">
      <c r="A3">
        <v>83</v>
      </c>
      <c r="B3">
        <v>72.23</v>
      </c>
      <c r="C3">
        <v>0</v>
      </c>
      <c r="D3">
        <v>1.76</v>
      </c>
      <c r="E3">
        <v>4.1999999999999997E-3</v>
      </c>
      <c r="F3">
        <v>1.9099999999999999E-2</v>
      </c>
      <c r="G3">
        <v>0</v>
      </c>
      <c r="H3">
        <v>29.43</v>
      </c>
      <c r="I3">
        <v>0</v>
      </c>
      <c r="J3">
        <v>1.06E-2</v>
      </c>
      <c r="K3">
        <v>0</v>
      </c>
      <c r="L3">
        <v>0</v>
      </c>
      <c r="M3">
        <v>2.6200000000000001E-2</v>
      </c>
      <c r="N3">
        <v>103.48</v>
      </c>
      <c r="O3" t="s">
        <v>56</v>
      </c>
      <c r="P3" t="s">
        <v>44</v>
      </c>
    </row>
    <row r="4" spans="1:16">
      <c r="A4">
        <v>31</v>
      </c>
      <c r="B4">
        <v>71.95</v>
      </c>
      <c r="C4">
        <v>0</v>
      </c>
      <c r="D4">
        <v>1.71</v>
      </c>
      <c r="E4">
        <v>6.7000000000000002E-3</v>
      </c>
      <c r="F4">
        <v>0</v>
      </c>
      <c r="G4">
        <v>0</v>
      </c>
      <c r="H4">
        <v>29.69</v>
      </c>
      <c r="I4">
        <v>0</v>
      </c>
      <c r="J4">
        <v>0</v>
      </c>
      <c r="K4">
        <v>0</v>
      </c>
      <c r="L4">
        <v>0</v>
      </c>
      <c r="M4">
        <v>4.0800000000000003E-2</v>
      </c>
      <c r="N4">
        <v>103.3974</v>
      </c>
      <c r="O4" t="s">
        <v>57</v>
      </c>
      <c r="P4" t="s">
        <v>44</v>
      </c>
    </row>
    <row r="5" spans="1:16">
      <c r="A5">
        <v>92</v>
      </c>
      <c r="B5">
        <v>71.8</v>
      </c>
      <c r="C5">
        <v>0</v>
      </c>
      <c r="D5">
        <v>2.2599999999999998</v>
      </c>
      <c r="E5">
        <v>0</v>
      </c>
      <c r="F5">
        <v>0</v>
      </c>
      <c r="G5">
        <v>0</v>
      </c>
      <c r="H5">
        <v>29.65</v>
      </c>
      <c r="I5">
        <v>0</v>
      </c>
      <c r="J5">
        <v>3.3999999999999998E-3</v>
      </c>
      <c r="K5">
        <v>0</v>
      </c>
      <c r="L5">
        <v>0</v>
      </c>
      <c r="M5">
        <v>3.6400000000000002E-2</v>
      </c>
      <c r="N5">
        <v>103.74979999999999</v>
      </c>
      <c r="O5" t="s">
        <v>56</v>
      </c>
      <c r="P5" t="s">
        <v>44</v>
      </c>
    </row>
    <row r="6" spans="1:16">
      <c r="A6">
        <v>68</v>
      </c>
      <c r="B6">
        <v>71.47</v>
      </c>
      <c r="C6">
        <v>0</v>
      </c>
      <c r="D6">
        <v>2.52</v>
      </c>
      <c r="E6">
        <v>1.0500000000000001E-2</v>
      </c>
      <c r="F6">
        <v>3.0000000000000001E-3</v>
      </c>
      <c r="G6">
        <v>0</v>
      </c>
      <c r="H6">
        <v>29.69</v>
      </c>
      <c r="I6">
        <v>0</v>
      </c>
      <c r="J6">
        <v>1.1599999999999999E-2</v>
      </c>
      <c r="K6">
        <v>0</v>
      </c>
      <c r="L6">
        <v>3.0999999999999999E-3</v>
      </c>
      <c r="M6">
        <v>2.6800000000000001E-2</v>
      </c>
      <c r="N6">
        <v>103.7349</v>
      </c>
      <c r="O6" t="s">
        <v>57</v>
      </c>
      <c r="P6" t="s">
        <v>44</v>
      </c>
    </row>
    <row r="7" spans="1:16">
      <c r="A7">
        <v>33</v>
      </c>
      <c r="B7">
        <v>71.36</v>
      </c>
      <c r="C7">
        <v>0</v>
      </c>
      <c r="D7">
        <v>2.59</v>
      </c>
      <c r="E7">
        <v>0</v>
      </c>
      <c r="F7">
        <v>0</v>
      </c>
      <c r="G7">
        <v>0</v>
      </c>
      <c r="H7">
        <v>30.14</v>
      </c>
      <c r="I7">
        <v>0</v>
      </c>
      <c r="J7">
        <v>0</v>
      </c>
      <c r="K7">
        <v>0</v>
      </c>
      <c r="L7">
        <v>0</v>
      </c>
      <c r="M7">
        <v>1.2200000000000001E-2</v>
      </c>
      <c r="N7">
        <v>104.10209999999999</v>
      </c>
      <c r="O7" t="s">
        <v>57</v>
      </c>
      <c r="P7" t="s">
        <v>44</v>
      </c>
    </row>
    <row r="8" spans="1:16">
      <c r="A8">
        <v>43</v>
      </c>
      <c r="B8">
        <v>71.25</v>
      </c>
      <c r="C8">
        <v>0</v>
      </c>
      <c r="D8">
        <v>2.86</v>
      </c>
      <c r="E8">
        <v>0</v>
      </c>
      <c r="F8">
        <v>0</v>
      </c>
      <c r="G8">
        <v>0</v>
      </c>
      <c r="H8">
        <v>29.88</v>
      </c>
      <c r="I8">
        <v>0</v>
      </c>
      <c r="J8">
        <v>1.11E-2</v>
      </c>
      <c r="K8">
        <v>0</v>
      </c>
      <c r="L8">
        <v>0</v>
      </c>
      <c r="M8">
        <v>3.6400000000000002E-2</v>
      </c>
      <c r="N8">
        <v>104.03740000000001</v>
      </c>
      <c r="O8" t="s">
        <v>57</v>
      </c>
      <c r="P8" t="s">
        <v>44</v>
      </c>
    </row>
    <row r="9" spans="1:16">
      <c r="A9">
        <v>56</v>
      </c>
      <c r="B9">
        <v>71.239999999999995</v>
      </c>
      <c r="C9">
        <v>0</v>
      </c>
      <c r="D9">
        <v>2.4500000000000002</v>
      </c>
      <c r="E9">
        <v>0</v>
      </c>
      <c r="F9">
        <v>0</v>
      </c>
      <c r="G9">
        <v>4.5999999999999999E-3</v>
      </c>
      <c r="H9">
        <v>29.81</v>
      </c>
      <c r="I9">
        <v>0</v>
      </c>
      <c r="J9">
        <v>0</v>
      </c>
      <c r="K9">
        <v>0</v>
      </c>
      <c r="L9">
        <v>0</v>
      </c>
      <c r="M9">
        <v>3.8199999999999998E-2</v>
      </c>
      <c r="N9">
        <v>103.5427</v>
      </c>
      <c r="O9" t="s">
        <v>57</v>
      </c>
      <c r="P9" t="s">
        <v>44</v>
      </c>
    </row>
    <row r="10" spans="1:16">
      <c r="A10">
        <v>69</v>
      </c>
      <c r="B10">
        <v>71.2</v>
      </c>
      <c r="C10">
        <v>0</v>
      </c>
      <c r="D10">
        <v>2.71</v>
      </c>
      <c r="E10">
        <v>6.8999999999999999E-3</v>
      </c>
      <c r="F10">
        <v>0</v>
      </c>
      <c r="G10">
        <v>0</v>
      </c>
      <c r="H10">
        <v>29.81</v>
      </c>
      <c r="I10">
        <v>1E-4</v>
      </c>
      <c r="J10">
        <v>1.2E-2</v>
      </c>
      <c r="K10">
        <v>0</v>
      </c>
      <c r="L10">
        <v>0</v>
      </c>
      <c r="M10">
        <v>3.1600000000000003E-2</v>
      </c>
      <c r="N10">
        <v>103.7705</v>
      </c>
      <c r="O10" t="s">
        <v>57</v>
      </c>
      <c r="P10" t="s">
        <v>44</v>
      </c>
    </row>
    <row r="11" spans="1:16">
      <c r="A11">
        <v>91</v>
      </c>
      <c r="B11">
        <v>71.12</v>
      </c>
      <c r="C11">
        <v>0</v>
      </c>
      <c r="D11">
        <v>2.75</v>
      </c>
      <c r="E11">
        <v>5.1000000000000004E-3</v>
      </c>
      <c r="F11">
        <v>0</v>
      </c>
      <c r="G11">
        <v>0</v>
      </c>
      <c r="H11">
        <v>29.88</v>
      </c>
      <c r="I11">
        <v>0</v>
      </c>
      <c r="J11">
        <v>0</v>
      </c>
      <c r="K11">
        <v>0</v>
      </c>
      <c r="L11">
        <v>1.52E-2</v>
      </c>
      <c r="M11">
        <v>3.3500000000000002E-2</v>
      </c>
      <c r="N11">
        <v>103.80370000000001</v>
      </c>
      <c r="O11" t="s">
        <v>56</v>
      </c>
      <c r="P11" t="s">
        <v>44</v>
      </c>
    </row>
    <row r="12" spans="1:16">
      <c r="A12">
        <v>55</v>
      </c>
      <c r="B12">
        <v>71.08</v>
      </c>
      <c r="C12">
        <v>0</v>
      </c>
      <c r="D12">
        <v>2.62</v>
      </c>
      <c r="E12">
        <v>6.3E-3</v>
      </c>
      <c r="F12">
        <v>0</v>
      </c>
      <c r="G12">
        <v>0</v>
      </c>
      <c r="H12">
        <v>30.04</v>
      </c>
      <c r="I12">
        <v>0</v>
      </c>
      <c r="J12">
        <v>0</v>
      </c>
      <c r="K12">
        <v>0</v>
      </c>
      <c r="L12">
        <v>2.0000000000000001E-4</v>
      </c>
      <c r="M12">
        <v>3.73E-2</v>
      </c>
      <c r="N12">
        <v>103.7838</v>
      </c>
      <c r="O12" t="s">
        <v>57</v>
      </c>
      <c r="P12" t="s">
        <v>44</v>
      </c>
    </row>
    <row r="13" spans="1:16">
      <c r="A13">
        <v>32</v>
      </c>
      <c r="B13">
        <v>71.05</v>
      </c>
      <c r="C13">
        <v>0</v>
      </c>
      <c r="D13">
        <v>2.78</v>
      </c>
      <c r="E13">
        <v>0</v>
      </c>
      <c r="F13">
        <v>0</v>
      </c>
      <c r="G13">
        <v>0</v>
      </c>
      <c r="H13">
        <v>30.47</v>
      </c>
      <c r="I13">
        <v>0</v>
      </c>
      <c r="J13">
        <v>8.0999999999999996E-3</v>
      </c>
      <c r="K13">
        <v>0</v>
      </c>
      <c r="L13">
        <v>1.5599999999999999E-2</v>
      </c>
      <c r="M13">
        <v>8.5000000000000006E-3</v>
      </c>
      <c r="N13">
        <v>104.3322</v>
      </c>
      <c r="O13" t="s">
        <v>57</v>
      </c>
      <c r="P13" t="s">
        <v>44</v>
      </c>
    </row>
    <row r="14" spans="1:16">
      <c r="A14">
        <v>84</v>
      </c>
      <c r="B14">
        <v>70.97</v>
      </c>
      <c r="C14">
        <v>0</v>
      </c>
      <c r="D14">
        <v>2.72</v>
      </c>
      <c r="E14">
        <v>0</v>
      </c>
      <c r="F14">
        <v>0</v>
      </c>
      <c r="G14">
        <v>0</v>
      </c>
      <c r="H14">
        <v>29.57</v>
      </c>
      <c r="I14">
        <v>0</v>
      </c>
      <c r="J14">
        <v>0</v>
      </c>
      <c r="K14">
        <v>0</v>
      </c>
      <c r="L14">
        <v>1.5E-3</v>
      </c>
      <c r="M14">
        <v>4.7E-2</v>
      </c>
      <c r="N14">
        <v>103.30840000000001</v>
      </c>
      <c r="O14" t="s">
        <v>56</v>
      </c>
      <c r="P14" t="s">
        <v>44</v>
      </c>
    </row>
    <row r="15" spans="1:16">
      <c r="A15">
        <v>125</v>
      </c>
      <c r="B15">
        <v>70.87</v>
      </c>
      <c r="C15">
        <v>0</v>
      </c>
      <c r="D15">
        <v>2.96</v>
      </c>
      <c r="E15">
        <v>2.2000000000000001E-3</v>
      </c>
      <c r="F15">
        <v>0</v>
      </c>
      <c r="G15">
        <v>0</v>
      </c>
      <c r="H15">
        <v>29.77</v>
      </c>
      <c r="I15">
        <v>0</v>
      </c>
      <c r="J15">
        <v>0</v>
      </c>
      <c r="K15">
        <v>0</v>
      </c>
      <c r="L15">
        <v>7.4999999999999997E-3</v>
      </c>
      <c r="M15">
        <v>1.6799999999999999E-2</v>
      </c>
      <c r="N15">
        <v>103.6264</v>
      </c>
      <c r="O15" t="s">
        <v>56</v>
      </c>
      <c r="P15" t="s">
        <v>44</v>
      </c>
    </row>
    <row r="16" spans="1:16">
      <c r="A16">
        <v>81</v>
      </c>
      <c r="B16">
        <v>70.760000000000005</v>
      </c>
      <c r="C16">
        <v>0</v>
      </c>
      <c r="D16">
        <v>2.91</v>
      </c>
      <c r="E16">
        <v>0</v>
      </c>
      <c r="F16">
        <v>0</v>
      </c>
      <c r="G16">
        <v>0</v>
      </c>
      <c r="H16">
        <v>29.78</v>
      </c>
      <c r="I16">
        <v>0</v>
      </c>
      <c r="J16">
        <v>5.8999999999999999E-3</v>
      </c>
      <c r="K16">
        <v>0</v>
      </c>
      <c r="L16">
        <v>9.2999999999999992E-3</v>
      </c>
      <c r="M16">
        <v>4.6800000000000001E-2</v>
      </c>
      <c r="N16">
        <v>103.5119</v>
      </c>
      <c r="O16" t="s">
        <v>56</v>
      </c>
      <c r="P16" t="s">
        <v>44</v>
      </c>
    </row>
    <row r="17" spans="1:16">
      <c r="A17">
        <v>90</v>
      </c>
      <c r="B17">
        <v>70.66</v>
      </c>
      <c r="C17">
        <v>0</v>
      </c>
      <c r="D17">
        <v>3.21</v>
      </c>
      <c r="E17">
        <v>0</v>
      </c>
      <c r="F17">
        <v>0</v>
      </c>
      <c r="G17">
        <v>0</v>
      </c>
      <c r="H17">
        <v>29.98</v>
      </c>
      <c r="I17">
        <v>0</v>
      </c>
      <c r="J17">
        <v>0</v>
      </c>
      <c r="K17">
        <v>0</v>
      </c>
      <c r="L17">
        <v>0</v>
      </c>
      <c r="M17">
        <v>3.5499999999999997E-2</v>
      </c>
      <c r="N17">
        <v>103.88549999999999</v>
      </c>
      <c r="O17" t="s">
        <v>56</v>
      </c>
      <c r="P17" t="s">
        <v>44</v>
      </c>
    </row>
    <row r="18" spans="1:16">
      <c r="A18">
        <v>126</v>
      </c>
      <c r="B18">
        <v>70.45</v>
      </c>
      <c r="C18">
        <v>0</v>
      </c>
      <c r="D18">
        <v>3.24</v>
      </c>
      <c r="E18">
        <v>1.55E-2</v>
      </c>
      <c r="F18">
        <v>0</v>
      </c>
      <c r="G18">
        <v>0</v>
      </c>
      <c r="H18">
        <v>29.76</v>
      </c>
      <c r="I18">
        <v>0</v>
      </c>
      <c r="J18">
        <v>2.8E-3</v>
      </c>
      <c r="K18">
        <v>0</v>
      </c>
      <c r="L18">
        <v>0</v>
      </c>
      <c r="M18">
        <v>1.23E-2</v>
      </c>
      <c r="N18">
        <v>103.48050000000001</v>
      </c>
      <c r="O18" t="s">
        <v>56</v>
      </c>
      <c r="P18" t="s">
        <v>44</v>
      </c>
    </row>
    <row r="19" spans="1:16">
      <c r="A19">
        <v>127</v>
      </c>
      <c r="B19">
        <v>70.39</v>
      </c>
      <c r="C19">
        <v>0</v>
      </c>
      <c r="D19">
        <v>3.25</v>
      </c>
      <c r="E19">
        <v>3.5999999999999999E-3</v>
      </c>
      <c r="F19">
        <v>0</v>
      </c>
      <c r="G19">
        <v>0</v>
      </c>
      <c r="H19">
        <v>29.72</v>
      </c>
      <c r="I19">
        <v>0</v>
      </c>
      <c r="J19">
        <v>0</v>
      </c>
      <c r="K19">
        <v>0</v>
      </c>
      <c r="L19">
        <v>8.9999999999999993E-3</v>
      </c>
      <c r="M19">
        <v>4.0800000000000003E-2</v>
      </c>
      <c r="N19">
        <v>103.4134</v>
      </c>
      <c r="O19" t="s">
        <v>56</v>
      </c>
      <c r="P19" t="s">
        <v>44</v>
      </c>
    </row>
    <row r="20" spans="1:16">
      <c r="A20">
        <v>82</v>
      </c>
      <c r="B20">
        <v>70.209999999999994</v>
      </c>
      <c r="C20">
        <v>0</v>
      </c>
      <c r="D20">
        <v>3.27</v>
      </c>
      <c r="E20">
        <v>6.8999999999999999E-3</v>
      </c>
      <c r="F20">
        <v>1.38E-2</v>
      </c>
      <c r="G20">
        <v>0</v>
      </c>
      <c r="H20">
        <v>29.7</v>
      </c>
      <c r="I20">
        <v>0</v>
      </c>
      <c r="J20">
        <v>0</v>
      </c>
      <c r="K20">
        <v>0</v>
      </c>
      <c r="L20">
        <v>0</v>
      </c>
      <c r="M20">
        <v>4.65E-2</v>
      </c>
      <c r="N20">
        <v>103.2471</v>
      </c>
      <c r="O20" t="s">
        <v>56</v>
      </c>
      <c r="P20" t="s">
        <v>44</v>
      </c>
    </row>
    <row r="21" spans="1:16">
      <c r="A21">
        <v>75</v>
      </c>
      <c r="B21">
        <v>72.790000000000006</v>
      </c>
      <c r="C21">
        <v>0</v>
      </c>
      <c r="D21">
        <v>2.29</v>
      </c>
      <c r="E21">
        <v>0</v>
      </c>
      <c r="F21">
        <v>0</v>
      </c>
      <c r="G21">
        <v>0</v>
      </c>
      <c r="H21">
        <v>29.83</v>
      </c>
      <c r="I21">
        <v>0</v>
      </c>
      <c r="J21">
        <v>7.3000000000000001E-3</v>
      </c>
      <c r="K21">
        <v>0</v>
      </c>
      <c r="L21">
        <v>0</v>
      </c>
      <c r="M21">
        <v>3.7600000000000001E-2</v>
      </c>
      <c r="N21">
        <v>104.95480000000001</v>
      </c>
      <c r="O21" t="s">
        <v>58</v>
      </c>
      <c r="P21" t="s">
        <v>17</v>
      </c>
    </row>
    <row r="22" spans="1:16">
      <c r="A22">
        <v>73</v>
      </c>
      <c r="B22">
        <v>73.38</v>
      </c>
      <c r="C22">
        <v>0</v>
      </c>
      <c r="D22">
        <v>1.27</v>
      </c>
      <c r="E22">
        <v>9.7000000000000003E-3</v>
      </c>
      <c r="F22">
        <v>5.0000000000000001E-4</v>
      </c>
      <c r="G22">
        <v>0</v>
      </c>
      <c r="H22">
        <v>28.97</v>
      </c>
      <c r="I22">
        <v>0</v>
      </c>
      <c r="J22">
        <v>2.4799999999999999E-2</v>
      </c>
      <c r="K22">
        <v>0</v>
      </c>
      <c r="L22">
        <v>0</v>
      </c>
      <c r="M22">
        <v>2.9899999999999999E-2</v>
      </c>
      <c r="N22">
        <v>103.6848</v>
      </c>
      <c r="O22" t="s">
        <v>59</v>
      </c>
      <c r="P22" t="s">
        <v>60</v>
      </c>
    </row>
    <row r="23" spans="1:16">
      <c r="A23">
        <v>86</v>
      </c>
      <c r="B23">
        <v>73.34</v>
      </c>
      <c r="C23">
        <v>0</v>
      </c>
      <c r="D23">
        <v>1.5</v>
      </c>
      <c r="E23">
        <v>0</v>
      </c>
      <c r="F23">
        <v>2.52E-2</v>
      </c>
      <c r="G23">
        <v>0</v>
      </c>
      <c r="H23">
        <v>28.51</v>
      </c>
      <c r="I23">
        <v>0</v>
      </c>
      <c r="J23">
        <v>1.3100000000000001E-2</v>
      </c>
      <c r="K23">
        <v>0</v>
      </c>
      <c r="L23">
        <v>0</v>
      </c>
      <c r="M23">
        <v>3.1399999999999997E-2</v>
      </c>
      <c r="N23">
        <v>103.4196</v>
      </c>
      <c r="O23" t="s">
        <v>59</v>
      </c>
      <c r="P23" t="s">
        <v>60</v>
      </c>
    </row>
    <row r="24" spans="1:16">
      <c r="A24">
        <v>87</v>
      </c>
      <c r="B24">
        <v>73.34</v>
      </c>
      <c r="C24">
        <v>0</v>
      </c>
      <c r="D24">
        <v>1.76</v>
      </c>
      <c r="E24">
        <v>1.61E-2</v>
      </c>
      <c r="F24">
        <v>2.2800000000000001E-2</v>
      </c>
      <c r="G24">
        <v>0</v>
      </c>
      <c r="H24">
        <v>29.13</v>
      </c>
      <c r="I24">
        <v>0</v>
      </c>
      <c r="J24">
        <v>3.0999999999999999E-3</v>
      </c>
      <c r="K24">
        <v>0</v>
      </c>
      <c r="L24">
        <v>0</v>
      </c>
      <c r="M24">
        <v>2.53E-2</v>
      </c>
      <c r="N24">
        <v>104.2972</v>
      </c>
      <c r="O24" t="s">
        <v>59</v>
      </c>
      <c r="P24" t="s">
        <v>60</v>
      </c>
    </row>
    <row r="25" spans="1:16">
      <c r="A25">
        <v>88</v>
      </c>
      <c r="B25">
        <v>73.02</v>
      </c>
      <c r="C25">
        <v>0</v>
      </c>
      <c r="D25">
        <v>1.85</v>
      </c>
      <c r="E25">
        <v>0</v>
      </c>
      <c r="F25">
        <v>0</v>
      </c>
      <c r="G25">
        <v>0</v>
      </c>
      <c r="H25">
        <v>28.93</v>
      </c>
      <c r="I25">
        <v>0</v>
      </c>
      <c r="J25">
        <v>0</v>
      </c>
      <c r="K25">
        <v>0</v>
      </c>
      <c r="L25">
        <v>0</v>
      </c>
      <c r="M25">
        <v>1.9400000000000001E-2</v>
      </c>
      <c r="N25">
        <v>103.8193</v>
      </c>
      <c r="O25" t="s">
        <v>59</v>
      </c>
      <c r="P25" t="s">
        <v>60</v>
      </c>
    </row>
    <row r="26" spans="1:16">
      <c r="A26">
        <v>71</v>
      </c>
      <c r="B26">
        <v>72.92</v>
      </c>
      <c r="C26">
        <v>0</v>
      </c>
      <c r="D26">
        <v>1.72</v>
      </c>
      <c r="E26">
        <v>0</v>
      </c>
      <c r="F26">
        <v>1.32E-2</v>
      </c>
      <c r="G26">
        <v>0</v>
      </c>
      <c r="H26">
        <v>29.18</v>
      </c>
      <c r="I26">
        <v>0</v>
      </c>
      <c r="J26">
        <v>1.3299999999999999E-2</v>
      </c>
      <c r="K26">
        <v>0</v>
      </c>
      <c r="L26">
        <v>6.3E-3</v>
      </c>
      <c r="M26">
        <v>3.8800000000000001E-2</v>
      </c>
      <c r="N26">
        <v>103.89149999999999</v>
      </c>
      <c r="O26" t="s">
        <v>59</v>
      </c>
      <c r="P26" t="s">
        <v>60</v>
      </c>
    </row>
    <row r="27" spans="1:16">
      <c r="A27">
        <v>93</v>
      </c>
      <c r="B27">
        <v>72.540000000000006</v>
      </c>
      <c r="C27">
        <v>0</v>
      </c>
      <c r="D27">
        <v>1.99</v>
      </c>
      <c r="E27">
        <v>2.5000000000000001E-3</v>
      </c>
      <c r="F27">
        <v>0</v>
      </c>
      <c r="G27">
        <v>0</v>
      </c>
      <c r="H27">
        <v>29.29</v>
      </c>
      <c r="I27">
        <v>0</v>
      </c>
      <c r="J27">
        <v>0</v>
      </c>
      <c r="K27">
        <v>0</v>
      </c>
      <c r="L27">
        <v>0</v>
      </c>
      <c r="M27">
        <v>4.6399999999999997E-2</v>
      </c>
      <c r="N27">
        <v>103.8689</v>
      </c>
      <c r="O27" t="s">
        <v>59</v>
      </c>
      <c r="P27" t="s">
        <v>60</v>
      </c>
    </row>
    <row r="28" spans="1:16">
      <c r="A28">
        <v>79</v>
      </c>
      <c r="B28">
        <v>72.53</v>
      </c>
      <c r="C28">
        <v>0</v>
      </c>
      <c r="D28">
        <v>2</v>
      </c>
      <c r="E28">
        <v>5.3E-3</v>
      </c>
      <c r="F28">
        <v>0</v>
      </c>
      <c r="G28">
        <v>0</v>
      </c>
      <c r="H28">
        <v>29.14</v>
      </c>
      <c r="I28">
        <v>0</v>
      </c>
      <c r="J28">
        <v>0</v>
      </c>
      <c r="K28">
        <v>0</v>
      </c>
      <c r="L28">
        <v>0</v>
      </c>
      <c r="M28">
        <v>2.1499999999999998E-2</v>
      </c>
      <c r="N28">
        <v>103.69670000000001</v>
      </c>
      <c r="O28" t="s">
        <v>59</v>
      </c>
      <c r="P28" t="s">
        <v>60</v>
      </c>
    </row>
    <row r="29" spans="1:16">
      <c r="A29">
        <v>37</v>
      </c>
      <c r="B29">
        <v>72.41</v>
      </c>
      <c r="C29">
        <v>0</v>
      </c>
      <c r="D29">
        <v>1.97</v>
      </c>
      <c r="E29">
        <v>5.3E-3</v>
      </c>
      <c r="F29">
        <v>0</v>
      </c>
      <c r="G29">
        <v>0</v>
      </c>
      <c r="H29">
        <v>29.3</v>
      </c>
      <c r="I29">
        <v>0</v>
      </c>
      <c r="J29">
        <v>0</v>
      </c>
      <c r="K29">
        <v>0</v>
      </c>
      <c r="L29">
        <v>0</v>
      </c>
      <c r="M29">
        <v>5.5599999999999997E-2</v>
      </c>
      <c r="N29">
        <v>103.7409</v>
      </c>
      <c r="O29" t="s">
        <v>61</v>
      </c>
      <c r="P29" t="s">
        <v>60</v>
      </c>
    </row>
    <row r="30" spans="1:16">
      <c r="A30">
        <v>72</v>
      </c>
      <c r="B30">
        <v>72.39</v>
      </c>
      <c r="C30">
        <v>0</v>
      </c>
      <c r="D30">
        <v>2.02</v>
      </c>
      <c r="E30">
        <v>7.0000000000000001E-3</v>
      </c>
      <c r="F30">
        <v>1E-4</v>
      </c>
      <c r="G30">
        <v>0</v>
      </c>
      <c r="H30">
        <v>29.36</v>
      </c>
      <c r="I30">
        <v>0</v>
      </c>
      <c r="J30">
        <v>2.0299999999999999E-2</v>
      </c>
      <c r="K30">
        <v>0</v>
      </c>
      <c r="L30">
        <v>2.5999999999999999E-3</v>
      </c>
      <c r="M30">
        <v>3.49E-2</v>
      </c>
      <c r="N30">
        <v>103.8348</v>
      </c>
      <c r="O30" t="s">
        <v>59</v>
      </c>
      <c r="P30" t="s">
        <v>60</v>
      </c>
    </row>
    <row r="31" spans="1:16">
      <c r="A31">
        <v>38</v>
      </c>
      <c r="B31">
        <v>72.260000000000005</v>
      </c>
      <c r="C31">
        <v>0</v>
      </c>
      <c r="D31">
        <v>2.08</v>
      </c>
      <c r="E31">
        <v>5.7999999999999996E-3</v>
      </c>
      <c r="F31">
        <v>3.2000000000000002E-3</v>
      </c>
      <c r="G31">
        <v>0</v>
      </c>
      <c r="H31">
        <v>29.17</v>
      </c>
      <c r="I31">
        <v>0</v>
      </c>
      <c r="J31">
        <v>0</v>
      </c>
      <c r="K31">
        <v>0</v>
      </c>
      <c r="L31">
        <v>0</v>
      </c>
      <c r="M31">
        <v>5.8200000000000002E-2</v>
      </c>
      <c r="N31">
        <v>103.5771</v>
      </c>
      <c r="O31" t="s">
        <v>61</v>
      </c>
      <c r="P31" t="s">
        <v>60</v>
      </c>
    </row>
    <row r="32" spans="1:16">
      <c r="A32">
        <v>35</v>
      </c>
      <c r="B32">
        <v>72.180000000000007</v>
      </c>
      <c r="C32">
        <v>0</v>
      </c>
      <c r="D32">
        <v>2.1800000000000002</v>
      </c>
      <c r="E32">
        <v>1.5100000000000001E-2</v>
      </c>
      <c r="F32">
        <v>9.7000000000000003E-3</v>
      </c>
      <c r="G32">
        <v>0</v>
      </c>
      <c r="H32">
        <v>29.53</v>
      </c>
      <c r="I32">
        <v>0</v>
      </c>
      <c r="J32">
        <v>7.6E-3</v>
      </c>
      <c r="K32">
        <v>0</v>
      </c>
      <c r="L32">
        <v>0</v>
      </c>
      <c r="M32">
        <v>2.6599999999999999E-2</v>
      </c>
      <c r="N32">
        <v>103.94889999999999</v>
      </c>
      <c r="O32" t="s">
        <v>61</v>
      </c>
      <c r="P32" t="s">
        <v>60</v>
      </c>
    </row>
    <row r="33" spans="1:16">
      <c r="A33">
        <v>36</v>
      </c>
      <c r="B33">
        <v>72</v>
      </c>
      <c r="C33">
        <v>0</v>
      </c>
      <c r="D33">
        <v>2.33</v>
      </c>
      <c r="E33">
        <v>4.0000000000000002E-4</v>
      </c>
      <c r="F33">
        <v>2.3E-3</v>
      </c>
      <c r="G33">
        <v>0</v>
      </c>
      <c r="H33">
        <v>29.51</v>
      </c>
      <c r="I33">
        <v>0</v>
      </c>
      <c r="J33">
        <v>0</v>
      </c>
      <c r="K33">
        <v>0</v>
      </c>
      <c r="L33">
        <v>1.9400000000000001E-2</v>
      </c>
      <c r="M33">
        <v>4.2599999999999999E-2</v>
      </c>
      <c r="N33">
        <v>103.9046</v>
      </c>
      <c r="O33" t="s">
        <v>61</v>
      </c>
      <c r="P33" t="s">
        <v>60</v>
      </c>
    </row>
    <row r="34" spans="1:16">
      <c r="A34">
        <v>42</v>
      </c>
      <c r="B34">
        <v>71.260000000000005</v>
      </c>
      <c r="C34">
        <v>0</v>
      </c>
      <c r="D34">
        <v>2.7</v>
      </c>
      <c r="E34">
        <v>0</v>
      </c>
      <c r="F34">
        <v>0</v>
      </c>
      <c r="G34">
        <v>0</v>
      </c>
      <c r="H34">
        <v>29.96</v>
      </c>
      <c r="I34">
        <v>0</v>
      </c>
      <c r="J34">
        <v>1.03E-2</v>
      </c>
      <c r="K34">
        <v>0</v>
      </c>
      <c r="L34">
        <v>0</v>
      </c>
      <c r="M34">
        <v>4.0000000000000002E-4</v>
      </c>
      <c r="N34">
        <v>103.9306</v>
      </c>
      <c r="O34" t="s">
        <v>62</v>
      </c>
      <c r="P34" t="s">
        <v>44</v>
      </c>
    </row>
    <row r="35" spans="1:16">
      <c r="A35">
        <v>46</v>
      </c>
      <c r="B35">
        <v>71.23</v>
      </c>
      <c r="C35">
        <v>0</v>
      </c>
      <c r="D35">
        <v>2.99</v>
      </c>
      <c r="E35">
        <v>0</v>
      </c>
      <c r="F35">
        <v>0</v>
      </c>
      <c r="G35">
        <v>0</v>
      </c>
      <c r="H35">
        <v>29.89</v>
      </c>
      <c r="I35">
        <v>0</v>
      </c>
      <c r="J35">
        <v>1.78E-2</v>
      </c>
      <c r="K35">
        <v>0</v>
      </c>
      <c r="L35">
        <v>5.5999999999999999E-3</v>
      </c>
      <c r="M35">
        <v>3.0499999999999999E-2</v>
      </c>
      <c r="N35">
        <v>104.16379999999999</v>
      </c>
      <c r="O35" t="s">
        <v>62</v>
      </c>
      <c r="P35" t="s">
        <v>44</v>
      </c>
    </row>
    <row r="36" spans="1:16">
      <c r="A36">
        <v>91</v>
      </c>
      <c r="B36">
        <v>71.41</v>
      </c>
      <c r="C36">
        <v>0</v>
      </c>
      <c r="D36">
        <v>2.94</v>
      </c>
      <c r="E36">
        <v>0</v>
      </c>
      <c r="F36">
        <v>0</v>
      </c>
      <c r="G36">
        <v>0</v>
      </c>
      <c r="H36">
        <v>29.69</v>
      </c>
      <c r="I36">
        <v>0</v>
      </c>
      <c r="J36">
        <v>0</v>
      </c>
      <c r="K36">
        <v>0</v>
      </c>
      <c r="L36">
        <v>4.5999999999999999E-3</v>
      </c>
      <c r="M36">
        <v>2.6200000000000001E-2</v>
      </c>
      <c r="N36">
        <v>104.07080000000001</v>
      </c>
      <c r="O36" t="s">
        <v>63</v>
      </c>
      <c r="P36" t="s">
        <v>44</v>
      </c>
    </row>
    <row r="37" spans="1:16">
      <c r="A37">
        <v>43</v>
      </c>
      <c r="B37">
        <v>71.58</v>
      </c>
      <c r="C37">
        <v>0</v>
      </c>
      <c r="D37">
        <v>2.2999999999999998</v>
      </c>
      <c r="E37">
        <v>0</v>
      </c>
      <c r="F37">
        <v>0</v>
      </c>
      <c r="G37">
        <v>0</v>
      </c>
      <c r="H37">
        <v>29.66</v>
      </c>
      <c r="I37">
        <v>0</v>
      </c>
      <c r="J37">
        <v>0</v>
      </c>
      <c r="K37">
        <v>0</v>
      </c>
      <c r="L37">
        <v>0</v>
      </c>
      <c r="M37">
        <v>2.0500000000000001E-2</v>
      </c>
      <c r="N37">
        <v>103.5605</v>
      </c>
      <c r="O37" t="s">
        <v>62</v>
      </c>
      <c r="P37" t="s">
        <v>44</v>
      </c>
    </row>
    <row r="38" spans="1:16">
      <c r="A38">
        <v>33</v>
      </c>
      <c r="B38">
        <v>72.33</v>
      </c>
      <c r="C38">
        <v>0</v>
      </c>
      <c r="D38">
        <v>2.14</v>
      </c>
      <c r="E38">
        <v>5.4000000000000003E-3</v>
      </c>
      <c r="F38">
        <v>0</v>
      </c>
      <c r="G38">
        <v>0</v>
      </c>
      <c r="H38">
        <v>29.64</v>
      </c>
      <c r="I38">
        <v>2.2000000000000001E-3</v>
      </c>
      <c r="J38">
        <v>2.5000000000000001E-3</v>
      </c>
      <c r="K38">
        <v>0</v>
      </c>
      <c r="L38">
        <v>0</v>
      </c>
      <c r="M38">
        <v>1.3299999999999999E-2</v>
      </c>
      <c r="N38">
        <v>104.13330000000001</v>
      </c>
      <c r="O38" t="s">
        <v>62</v>
      </c>
      <c r="P38" t="s">
        <v>44</v>
      </c>
    </row>
    <row r="39" spans="1:16">
      <c r="A39">
        <v>32</v>
      </c>
      <c r="B39">
        <v>71.77</v>
      </c>
      <c r="C39">
        <v>0</v>
      </c>
      <c r="D39">
        <v>2.42</v>
      </c>
      <c r="E39">
        <v>0</v>
      </c>
      <c r="F39">
        <v>0</v>
      </c>
      <c r="G39">
        <v>0</v>
      </c>
      <c r="H39">
        <v>29.63</v>
      </c>
      <c r="I39">
        <v>6.9999999999999999E-4</v>
      </c>
      <c r="J39">
        <v>0</v>
      </c>
      <c r="K39">
        <v>0</v>
      </c>
      <c r="L39">
        <v>0</v>
      </c>
      <c r="M39">
        <v>2.8799999999999999E-2</v>
      </c>
      <c r="N39">
        <v>103.8494</v>
      </c>
      <c r="O39" t="s">
        <v>62</v>
      </c>
      <c r="P39" t="s">
        <v>44</v>
      </c>
    </row>
    <row r="40" spans="1:16">
      <c r="A40">
        <v>41</v>
      </c>
      <c r="B40">
        <v>71.52</v>
      </c>
      <c r="C40">
        <v>0</v>
      </c>
      <c r="D40">
        <v>2.27</v>
      </c>
      <c r="E40">
        <v>6.7999999999999996E-3</v>
      </c>
      <c r="F40">
        <v>0</v>
      </c>
      <c r="G40">
        <v>0</v>
      </c>
      <c r="H40">
        <v>29.49</v>
      </c>
      <c r="I40">
        <v>2.3999999999999998E-3</v>
      </c>
      <c r="J40">
        <v>0</v>
      </c>
      <c r="K40">
        <v>0</v>
      </c>
      <c r="L40">
        <v>0</v>
      </c>
      <c r="M40">
        <v>1.4500000000000001E-2</v>
      </c>
      <c r="N40">
        <v>103.3036</v>
      </c>
      <c r="O40" t="s">
        <v>62</v>
      </c>
      <c r="P40" t="s">
        <v>44</v>
      </c>
    </row>
    <row r="41" spans="1:16">
      <c r="A41">
        <v>26</v>
      </c>
      <c r="B41">
        <v>73.989999999999995</v>
      </c>
      <c r="C41">
        <v>0</v>
      </c>
      <c r="D41">
        <v>1.66</v>
      </c>
      <c r="E41">
        <v>0</v>
      </c>
      <c r="F41">
        <v>0</v>
      </c>
      <c r="G41">
        <v>0</v>
      </c>
      <c r="H41">
        <v>28.71</v>
      </c>
      <c r="I41">
        <v>0</v>
      </c>
      <c r="J41">
        <v>2.9899999999999999E-2</v>
      </c>
      <c r="K41">
        <v>0</v>
      </c>
      <c r="L41">
        <v>1.1900000000000001E-2</v>
      </c>
      <c r="M41">
        <v>2.0999999999999999E-3</v>
      </c>
      <c r="N41">
        <v>104.4038</v>
      </c>
      <c r="O41" t="s">
        <v>64</v>
      </c>
      <c r="P41" t="s">
        <v>46</v>
      </c>
    </row>
    <row r="42" spans="1:16">
      <c r="A42">
        <v>32</v>
      </c>
      <c r="B42">
        <v>72.900000000000006</v>
      </c>
      <c r="C42">
        <v>0</v>
      </c>
      <c r="D42">
        <v>2.13</v>
      </c>
      <c r="E42">
        <v>0</v>
      </c>
      <c r="F42">
        <v>3.8999999999999998E-3</v>
      </c>
      <c r="G42">
        <v>0</v>
      </c>
      <c r="H42">
        <v>28.93</v>
      </c>
      <c r="I42">
        <v>0</v>
      </c>
      <c r="J42">
        <v>0</v>
      </c>
      <c r="K42">
        <v>0</v>
      </c>
      <c r="L42">
        <v>0</v>
      </c>
      <c r="M42">
        <v>0</v>
      </c>
      <c r="N42">
        <v>103.96380000000001</v>
      </c>
      <c r="O42" t="s">
        <v>65</v>
      </c>
      <c r="P42" t="s">
        <v>46</v>
      </c>
    </row>
    <row r="43" spans="1:16">
      <c r="A43">
        <v>25</v>
      </c>
      <c r="B43">
        <v>73.89</v>
      </c>
      <c r="C43">
        <v>0</v>
      </c>
      <c r="D43">
        <v>1.62</v>
      </c>
      <c r="E43">
        <v>0</v>
      </c>
      <c r="F43">
        <v>3.8E-3</v>
      </c>
      <c r="G43">
        <v>0</v>
      </c>
      <c r="H43">
        <v>28.59</v>
      </c>
      <c r="I43">
        <v>0</v>
      </c>
      <c r="J43">
        <v>9.1999999999999998E-3</v>
      </c>
      <c r="K43">
        <v>0</v>
      </c>
      <c r="L43">
        <v>0</v>
      </c>
      <c r="M43">
        <v>7.1000000000000004E-3</v>
      </c>
      <c r="N43">
        <v>104.12009999999999</v>
      </c>
      <c r="O43" t="s">
        <v>64</v>
      </c>
      <c r="P43" t="s">
        <v>46</v>
      </c>
    </row>
  </sheetData>
  <phoneticPr fontId="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D16AD-8197-43D8-BDBF-344CF745550D}">
  <dimension ref="A1:P248"/>
  <sheetViews>
    <sheetView workbookViewId="0">
      <selection activeCell="O2" sqref="O2"/>
    </sheetView>
  </sheetViews>
  <sheetFormatPr defaultRowHeight="12.75"/>
  <sheetData>
    <row r="1" spans="1:16">
      <c r="A1" t="s">
        <v>0</v>
      </c>
      <c r="B1" t="s">
        <v>1</v>
      </c>
      <c r="C1" t="s">
        <v>2</v>
      </c>
      <c r="D1" t="s">
        <v>3</v>
      </c>
      <c r="E1" t="s">
        <v>4</v>
      </c>
      <c r="F1" t="s">
        <v>5</v>
      </c>
      <c r="G1" t="s">
        <v>6</v>
      </c>
      <c r="H1" t="s">
        <v>7</v>
      </c>
      <c r="I1" t="s">
        <v>8</v>
      </c>
      <c r="J1" t="s">
        <v>9</v>
      </c>
      <c r="K1" t="s">
        <v>10</v>
      </c>
      <c r="L1" t="s">
        <v>11</v>
      </c>
      <c r="M1" t="s">
        <v>12</v>
      </c>
      <c r="N1" t="s">
        <v>13</v>
      </c>
      <c r="O1" t="s">
        <v>47</v>
      </c>
      <c r="P1" t="s">
        <v>15</v>
      </c>
    </row>
    <row r="2" spans="1:16">
      <c r="A2">
        <v>31</v>
      </c>
      <c r="B2">
        <v>47.09</v>
      </c>
      <c r="C2">
        <v>0</v>
      </c>
      <c r="D2">
        <v>20.62</v>
      </c>
      <c r="E2">
        <v>3.3E-3</v>
      </c>
      <c r="F2">
        <v>0</v>
      </c>
      <c r="G2">
        <v>0</v>
      </c>
      <c r="H2">
        <v>36.25</v>
      </c>
      <c r="I2">
        <v>0</v>
      </c>
      <c r="J2">
        <v>7.0000000000000001E-3</v>
      </c>
      <c r="K2">
        <v>0</v>
      </c>
      <c r="L2">
        <v>7.6700000000000004E-2</v>
      </c>
      <c r="M2">
        <v>6.8099999999999994E-2</v>
      </c>
      <c r="N2">
        <v>104.1151</v>
      </c>
      <c r="O2" t="s">
        <v>66</v>
      </c>
      <c r="P2" t="s">
        <v>53</v>
      </c>
    </row>
    <row r="3" spans="1:16">
      <c r="A3">
        <v>32</v>
      </c>
      <c r="B3">
        <v>47.31</v>
      </c>
      <c r="C3">
        <v>0</v>
      </c>
      <c r="D3">
        <v>20.37</v>
      </c>
      <c r="E3">
        <v>0</v>
      </c>
      <c r="F3">
        <v>3.0999999999999999E-3</v>
      </c>
      <c r="G3">
        <v>0</v>
      </c>
      <c r="H3">
        <v>36.08</v>
      </c>
      <c r="I3">
        <v>0</v>
      </c>
      <c r="J3">
        <v>0</v>
      </c>
      <c r="K3">
        <v>0</v>
      </c>
      <c r="L3">
        <v>1.2500000000000001E-2</v>
      </c>
      <c r="M3">
        <v>7.2300000000000003E-2</v>
      </c>
      <c r="N3">
        <v>103.84780000000001</v>
      </c>
      <c r="O3" t="s">
        <v>66</v>
      </c>
      <c r="P3" t="s">
        <v>53</v>
      </c>
    </row>
    <row r="4" spans="1:16">
      <c r="A4">
        <v>33</v>
      </c>
      <c r="B4">
        <v>47.39</v>
      </c>
      <c r="C4">
        <v>0</v>
      </c>
      <c r="D4">
        <v>20.57</v>
      </c>
      <c r="E4">
        <v>0</v>
      </c>
      <c r="F4">
        <v>0</v>
      </c>
      <c r="G4">
        <v>0</v>
      </c>
      <c r="H4">
        <v>36.200000000000003</v>
      </c>
      <c r="I4">
        <v>0</v>
      </c>
      <c r="J4">
        <v>0</v>
      </c>
      <c r="K4">
        <v>0</v>
      </c>
      <c r="L4">
        <v>6.0400000000000002E-2</v>
      </c>
      <c r="M4">
        <v>9.11E-2</v>
      </c>
      <c r="N4">
        <v>104.3115</v>
      </c>
      <c r="O4" t="s">
        <v>66</v>
      </c>
      <c r="P4" t="s">
        <v>53</v>
      </c>
    </row>
    <row r="5" spans="1:16">
      <c r="A5">
        <v>34</v>
      </c>
      <c r="B5">
        <v>47.56</v>
      </c>
      <c r="C5">
        <v>0</v>
      </c>
      <c r="D5">
        <v>20.32</v>
      </c>
      <c r="E5">
        <v>3.0000000000000001E-3</v>
      </c>
      <c r="F5">
        <v>3.5299999999999998E-2</v>
      </c>
      <c r="G5">
        <v>0</v>
      </c>
      <c r="H5">
        <v>35.81</v>
      </c>
      <c r="I5">
        <v>0</v>
      </c>
      <c r="J5">
        <v>0</v>
      </c>
      <c r="K5">
        <v>0</v>
      </c>
      <c r="L5">
        <v>9.11E-2</v>
      </c>
      <c r="M5">
        <v>9.1499999999999998E-2</v>
      </c>
      <c r="N5">
        <v>103.9109</v>
      </c>
      <c r="O5" t="s">
        <v>66</v>
      </c>
      <c r="P5" t="s">
        <v>53</v>
      </c>
    </row>
    <row r="6" spans="1:16">
      <c r="A6">
        <v>35</v>
      </c>
      <c r="B6">
        <v>47.28</v>
      </c>
      <c r="C6">
        <v>0</v>
      </c>
      <c r="D6">
        <v>20.58</v>
      </c>
      <c r="E6">
        <v>0</v>
      </c>
      <c r="F6">
        <v>0</v>
      </c>
      <c r="G6">
        <v>0</v>
      </c>
      <c r="H6">
        <v>35.729999999999997</v>
      </c>
      <c r="I6">
        <v>0</v>
      </c>
      <c r="J6">
        <v>1.7899999999999999E-2</v>
      </c>
      <c r="K6">
        <v>0</v>
      </c>
      <c r="L6">
        <v>1.23E-2</v>
      </c>
      <c r="M6">
        <v>8.8300000000000003E-2</v>
      </c>
      <c r="N6">
        <v>103.7084</v>
      </c>
      <c r="O6" t="s">
        <v>66</v>
      </c>
      <c r="P6" t="s">
        <v>53</v>
      </c>
    </row>
    <row r="7" spans="1:16">
      <c r="A7">
        <v>8</v>
      </c>
      <c r="B7">
        <v>47.41</v>
      </c>
      <c r="C7">
        <v>0</v>
      </c>
      <c r="D7">
        <v>20.100000000000001</v>
      </c>
      <c r="E7">
        <v>0</v>
      </c>
      <c r="F7">
        <v>0</v>
      </c>
      <c r="G7">
        <v>1.5E-3</v>
      </c>
      <c r="H7">
        <v>35.96</v>
      </c>
      <c r="I7">
        <v>0</v>
      </c>
      <c r="J7">
        <v>5.4999999999999997E-3</v>
      </c>
      <c r="K7">
        <v>0</v>
      </c>
      <c r="L7">
        <v>4.1999999999999997E-3</v>
      </c>
      <c r="M7">
        <v>4.9200000000000001E-2</v>
      </c>
      <c r="N7">
        <v>103.5304</v>
      </c>
      <c r="O7" t="s">
        <v>67</v>
      </c>
      <c r="P7" t="s">
        <v>44</v>
      </c>
    </row>
    <row r="8" spans="1:16">
      <c r="A8">
        <v>6</v>
      </c>
      <c r="B8">
        <v>47.29</v>
      </c>
      <c r="C8">
        <v>0</v>
      </c>
      <c r="D8">
        <v>19.850000000000001</v>
      </c>
      <c r="E8">
        <v>8.0000000000000002E-3</v>
      </c>
      <c r="F8">
        <v>6.9999999999999999E-4</v>
      </c>
      <c r="G8">
        <v>0</v>
      </c>
      <c r="H8">
        <v>36.25</v>
      </c>
      <c r="I8">
        <v>0</v>
      </c>
      <c r="J8">
        <v>0</v>
      </c>
      <c r="K8">
        <v>0</v>
      </c>
      <c r="L8">
        <v>1.46E-2</v>
      </c>
      <c r="M8">
        <v>5.8000000000000003E-2</v>
      </c>
      <c r="N8">
        <v>103.4713</v>
      </c>
      <c r="O8" t="s">
        <v>67</v>
      </c>
      <c r="P8" t="s">
        <v>44</v>
      </c>
    </row>
    <row r="9" spans="1:16">
      <c r="A9">
        <v>7</v>
      </c>
      <c r="B9">
        <v>47.28</v>
      </c>
      <c r="C9">
        <v>0</v>
      </c>
      <c r="D9">
        <v>20.04</v>
      </c>
      <c r="E9">
        <v>2.2000000000000001E-3</v>
      </c>
      <c r="F9">
        <v>7.6E-3</v>
      </c>
      <c r="G9">
        <v>0</v>
      </c>
      <c r="H9">
        <v>36.1</v>
      </c>
      <c r="I9">
        <v>0</v>
      </c>
      <c r="J9">
        <v>3.5999999999999999E-3</v>
      </c>
      <c r="K9">
        <v>0</v>
      </c>
      <c r="L9">
        <v>0</v>
      </c>
      <c r="M9">
        <v>5.4600000000000003E-2</v>
      </c>
      <c r="N9">
        <v>103.4879</v>
      </c>
      <c r="O9" t="s">
        <v>67</v>
      </c>
      <c r="P9" t="s">
        <v>44</v>
      </c>
    </row>
    <row r="10" spans="1:16">
      <c r="A10">
        <v>80</v>
      </c>
      <c r="B10">
        <v>49.14</v>
      </c>
      <c r="C10">
        <v>0</v>
      </c>
      <c r="D10">
        <v>18.79</v>
      </c>
      <c r="E10">
        <v>0</v>
      </c>
      <c r="F10">
        <v>1.78E-2</v>
      </c>
      <c r="G10">
        <v>0</v>
      </c>
      <c r="H10">
        <v>35.369999999999997</v>
      </c>
      <c r="I10">
        <v>0</v>
      </c>
      <c r="J10">
        <v>0</v>
      </c>
      <c r="K10">
        <v>0</v>
      </c>
      <c r="L10">
        <v>0</v>
      </c>
      <c r="M10">
        <v>3.2399999999999998E-2</v>
      </c>
      <c r="N10">
        <v>103.3501</v>
      </c>
      <c r="O10" t="s">
        <v>68</v>
      </c>
      <c r="P10" t="s">
        <v>44</v>
      </c>
    </row>
    <row r="11" spans="1:16">
      <c r="A11">
        <v>122</v>
      </c>
      <c r="B11">
        <v>48.81</v>
      </c>
      <c r="C11">
        <v>0</v>
      </c>
      <c r="D11">
        <v>19.170000000000002</v>
      </c>
      <c r="E11">
        <v>0</v>
      </c>
      <c r="F11">
        <v>1.8700000000000001E-2</v>
      </c>
      <c r="G11">
        <v>0</v>
      </c>
      <c r="H11">
        <v>35.869999999999997</v>
      </c>
      <c r="I11">
        <v>0</v>
      </c>
      <c r="J11">
        <v>0</v>
      </c>
      <c r="K11">
        <v>0</v>
      </c>
      <c r="L11">
        <v>0</v>
      </c>
      <c r="M11">
        <v>5.6099999999999997E-2</v>
      </c>
      <c r="N11">
        <v>103.9247</v>
      </c>
      <c r="O11" t="s">
        <v>68</v>
      </c>
      <c r="P11" t="s">
        <v>44</v>
      </c>
    </row>
    <row r="12" spans="1:16">
      <c r="A12">
        <v>121</v>
      </c>
      <c r="B12">
        <v>48.61</v>
      </c>
      <c r="C12">
        <v>0</v>
      </c>
      <c r="D12">
        <v>19.34</v>
      </c>
      <c r="E12">
        <v>6.3E-3</v>
      </c>
      <c r="F12">
        <v>0.11020000000000001</v>
      </c>
      <c r="G12">
        <v>0</v>
      </c>
      <c r="H12">
        <v>35.61</v>
      </c>
      <c r="I12">
        <v>0</v>
      </c>
      <c r="J12">
        <v>8.6E-3</v>
      </c>
      <c r="K12">
        <v>0</v>
      </c>
      <c r="L12">
        <v>0</v>
      </c>
      <c r="M12">
        <v>7.6799999999999993E-2</v>
      </c>
      <c r="N12">
        <v>103.76179999999999</v>
      </c>
      <c r="O12" t="s">
        <v>68</v>
      </c>
      <c r="P12" t="s">
        <v>44</v>
      </c>
    </row>
    <row r="13" spans="1:16">
      <c r="A13">
        <v>94</v>
      </c>
      <c r="B13">
        <v>48.59</v>
      </c>
      <c r="C13">
        <v>0</v>
      </c>
      <c r="D13">
        <v>19.309999999999999</v>
      </c>
      <c r="E13">
        <v>8.9999999999999993E-3</v>
      </c>
      <c r="F13">
        <v>7.0300000000000001E-2</v>
      </c>
      <c r="G13">
        <v>0</v>
      </c>
      <c r="H13">
        <v>35.549999999999997</v>
      </c>
      <c r="I13">
        <v>0</v>
      </c>
      <c r="J13">
        <v>0</v>
      </c>
      <c r="K13">
        <v>0</v>
      </c>
      <c r="L13">
        <v>0</v>
      </c>
      <c r="M13">
        <v>5.0599999999999999E-2</v>
      </c>
      <c r="N13">
        <v>103.57980000000001</v>
      </c>
      <c r="O13" t="s">
        <v>68</v>
      </c>
      <c r="P13" t="s">
        <v>44</v>
      </c>
    </row>
    <row r="14" spans="1:16">
      <c r="A14">
        <v>93</v>
      </c>
      <c r="B14">
        <v>48.5</v>
      </c>
      <c r="C14">
        <v>0</v>
      </c>
      <c r="D14">
        <v>19.45</v>
      </c>
      <c r="E14">
        <v>0</v>
      </c>
      <c r="F14">
        <v>1.9699999999999999E-2</v>
      </c>
      <c r="G14">
        <v>0</v>
      </c>
      <c r="H14">
        <v>35.630000000000003</v>
      </c>
      <c r="I14">
        <v>0</v>
      </c>
      <c r="J14">
        <v>0</v>
      </c>
      <c r="K14">
        <v>0</v>
      </c>
      <c r="L14">
        <v>2.5999999999999999E-3</v>
      </c>
      <c r="M14">
        <v>4.9399999999999999E-2</v>
      </c>
      <c r="N14">
        <v>103.6516</v>
      </c>
      <c r="O14" t="s">
        <v>68</v>
      </c>
      <c r="P14" t="s">
        <v>44</v>
      </c>
    </row>
    <row r="15" spans="1:16">
      <c r="A15">
        <v>95</v>
      </c>
      <c r="B15">
        <v>48.47</v>
      </c>
      <c r="C15">
        <v>0</v>
      </c>
      <c r="D15">
        <v>19.489999999999998</v>
      </c>
      <c r="E15">
        <v>2.2599999999999999E-2</v>
      </c>
      <c r="F15">
        <v>5.5100000000000003E-2</v>
      </c>
      <c r="G15">
        <v>0</v>
      </c>
      <c r="H15">
        <v>35.24</v>
      </c>
      <c r="I15">
        <v>0</v>
      </c>
      <c r="J15">
        <v>1.0999999999999999E-2</v>
      </c>
      <c r="K15">
        <v>0</v>
      </c>
      <c r="L15">
        <v>0</v>
      </c>
      <c r="M15">
        <v>7.9799999999999996E-2</v>
      </c>
      <c r="N15">
        <v>103.36839999999999</v>
      </c>
      <c r="O15" t="s">
        <v>68</v>
      </c>
      <c r="P15" t="s">
        <v>44</v>
      </c>
    </row>
    <row r="16" spans="1:16">
      <c r="A16">
        <v>123</v>
      </c>
      <c r="B16">
        <v>48.21</v>
      </c>
      <c r="C16">
        <v>0</v>
      </c>
      <c r="D16">
        <v>19.43</v>
      </c>
      <c r="E16">
        <v>5.9999999999999995E-4</v>
      </c>
      <c r="F16">
        <v>5.21E-2</v>
      </c>
      <c r="G16">
        <v>0</v>
      </c>
      <c r="H16">
        <v>35.46</v>
      </c>
      <c r="I16">
        <v>0</v>
      </c>
      <c r="J16">
        <v>0</v>
      </c>
      <c r="K16">
        <v>0</v>
      </c>
      <c r="L16">
        <v>0</v>
      </c>
      <c r="M16">
        <v>6.2899999999999998E-2</v>
      </c>
      <c r="N16">
        <v>103.21550000000001</v>
      </c>
      <c r="O16" t="s">
        <v>68</v>
      </c>
      <c r="P16" t="s">
        <v>44</v>
      </c>
    </row>
    <row r="17" spans="1:16">
      <c r="A17">
        <v>45</v>
      </c>
      <c r="B17">
        <v>49.83</v>
      </c>
      <c r="C17">
        <v>0</v>
      </c>
      <c r="D17">
        <v>18.399999999999999</v>
      </c>
      <c r="E17">
        <v>1.37E-2</v>
      </c>
      <c r="F17">
        <v>0</v>
      </c>
      <c r="G17">
        <v>0</v>
      </c>
      <c r="H17">
        <v>35.4</v>
      </c>
      <c r="I17">
        <v>0</v>
      </c>
      <c r="J17">
        <v>0</v>
      </c>
      <c r="K17">
        <v>0</v>
      </c>
      <c r="L17">
        <v>3.3300000000000003E-2</v>
      </c>
      <c r="M17">
        <v>5.4899999999999997E-2</v>
      </c>
      <c r="N17">
        <v>103.7319</v>
      </c>
      <c r="O17" t="s">
        <v>69</v>
      </c>
      <c r="P17" t="s">
        <v>44</v>
      </c>
    </row>
    <row r="18" spans="1:16">
      <c r="A18">
        <v>67</v>
      </c>
      <c r="B18">
        <v>49.36</v>
      </c>
      <c r="C18">
        <v>0</v>
      </c>
      <c r="D18">
        <v>18.34</v>
      </c>
      <c r="E18">
        <v>1.41E-2</v>
      </c>
      <c r="F18">
        <v>5.4000000000000003E-3</v>
      </c>
      <c r="G18">
        <v>0</v>
      </c>
      <c r="H18">
        <v>34.83</v>
      </c>
      <c r="I18">
        <v>0</v>
      </c>
      <c r="J18">
        <v>1.6899999999999998E-2</v>
      </c>
      <c r="K18">
        <v>0</v>
      </c>
      <c r="L18">
        <v>5.0000000000000001E-3</v>
      </c>
      <c r="M18">
        <v>6.0400000000000002E-2</v>
      </c>
      <c r="N18">
        <v>102.6317</v>
      </c>
      <c r="O18" t="s">
        <v>69</v>
      </c>
      <c r="P18" t="s">
        <v>44</v>
      </c>
    </row>
    <row r="19" spans="1:16">
      <c r="A19">
        <v>66</v>
      </c>
      <c r="B19">
        <v>49.33</v>
      </c>
      <c r="C19">
        <v>0</v>
      </c>
      <c r="D19">
        <v>18.66</v>
      </c>
      <c r="E19">
        <v>5.0000000000000001E-3</v>
      </c>
      <c r="F19">
        <v>1.9E-3</v>
      </c>
      <c r="G19">
        <v>0</v>
      </c>
      <c r="H19">
        <v>35.26</v>
      </c>
      <c r="I19">
        <v>0</v>
      </c>
      <c r="J19">
        <v>8.6999999999999994E-3</v>
      </c>
      <c r="K19">
        <v>0</v>
      </c>
      <c r="L19">
        <v>0</v>
      </c>
      <c r="M19">
        <v>7.85E-2</v>
      </c>
      <c r="N19">
        <v>103.34399999999999</v>
      </c>
      <c r="O19" t="s">
        <v>69</v>
      </c>
      <c r="P19" t="s">
        <v>44</v>
      </c>
    </row>
    <row r="20" spans="1:16">
      <c r="A20">
        <v>54</v>
      </c>
      <c r="B20">
        <v>48.9</v>
      </c>
      <c r="C20">
        <v>0</v>
      </c>
      <c r="D20">
        <v>18.89</v>
      </c>
      <c r="E20">
        <v>0</v>
      </c>
      <c r="F20">
        <v>5.4999999999999997E-3</v>
      </c>
      <c r="G20">
        <v>0</v>
      </c>
      <c r="H20">
        <v>35.200000000000003</v>
      </c>
      <c r="I20">
        <v>0</v>
      </c>
      <c r="J20">
        <v>0</v>
      </c>
      <c r="K20">
        <v>0</v>
      </c>
      <c r="L20">
        <v>0</v>
      </c>
      <c r="M20">
        <v>6.8699999999999997E-2</v>
      </c>
      <c r="N20">
        <v>103.0641</v>
      </c>
      <c r="O20" t="s">
        <v>69</v>
      </c>
      <c r="P20" t="s">
        <v>44</v>
      </c>
    </row>
    <row r="21" spans="1:16">
      <c r="A21">
        <v>28</v>
      </c>
      <c r="B21">
        <v>48.53</v>
      </c>
      <c r="C21">
        <v>0</v>
      </c>
      <c r="D21">
        <v>19.190000000000001</v>
      </c>
      <c r="E21">
        <v>1.18E-2</v>
      </c>
      <c r="F21">
        <v>4.7999999999999996E-3</v>
      </c>
      <c r="G21">
        <v>0</v>
      </c>
      <c r="H21">
        <v>35.78</v>
      </c>
      <c r="I21">
        <v>0</v>
      </c>
      <c r="J21">
        <v>0</v>
      </c>
      <c r="K21">
        <v>0</v>
      </c>
      <c r="L21">
        <v>0</v>
      </c>
      <c r="M21">
        <v>7.9500000000000001E-2</v>
      </c>
      <c r="N21">
        <v>103.596</v>
      </c>
      <c r="O21" t="s">
        <v>69</v>
      </c>
      <c r="P21" t="s">
        <v>44</v>
      </c>
    </row>
    <row r="22" spans="1:16">
      <c r="A22">
        <v>65</v>
      </c>
      <c r="B22">
        <v>48.44</v>
      </c>
      <c r="C22">
        <v>0</v>
      </c>
      <c r="D22">
        <v>19.399999999999999</v>
      </c>
      <c r="E22">
        <v>6.3E-3</v>
      </c>
      <c r="F22">
        <v>3.2099999999999997E-2</v>
      </c>
      <c r="G22">
        <v>0</v>
      </c>
      <c r="H22">
        <v>35.64</v>
      </c>
      <c r="I22">
        <v>0</v>
      </c>
      <c r="J22">
        <v>0</v>
      </c>
      <c r="K22">
        <v>0</v>
      </c>
      <c r="L22">
        <v>2.6200000000000001E-2</v>
      </c>
      <c r="M22">
        <v>5.3499999999999999E-2</v>
      </c>
      <c r="N22">
        <v>103.598</v>
      </c>
      <c r="O22" t="s">
        <v>69</v>
      </c>
      <c r="P22" t="s">
        <v>44</v>
      </c>
    </row>
    <row r="23" spans="1:16">
      <c r="A23">
        <v>53</v>
      </c>
      <c r="B23">
        <v>48.28</v>
      </c>
      <c r="C23">
        <v>0</v>
      </c>
      <c r="D23">
        <v>19.23</v>
      </c>
      <c r="E23">
        <v>1.15E-2</v>
      </c>
      <c r="F23">
        <v>0</v>
      </c>
      <c r="G23">
        <v>0</v>
      </c>
      <c r="H23">
        <v>35.86</v>
      </c>
      <c r="I23">
        <v>0</v>
      </c>
      <c r="J23">
        <v>9.4000000000000004E-3</v>
      </c>
      <c r="K23">
        <v>0</v>
      </c>
      <c r="L23">
        <v>0</v>
      </c>
      <c r="M23">
        <v>7.8200000000000006E-2</v>
      </c>
      <c r="N23">
        <v>103.46899999999999</v>
      </c>
      <c r="O23" t="s">
        <v>69</v>
      </c>
      <c r="P23" t="s">
        <v>44</v>
      </c>
    </row>
    <row r="24" spans="1:16">
      <c r="A24">
        <v>44</v>
      </c>
      <c r="B24">
        <v>48.26</v>
      </c>
      <c r="C24">
        <v>0</v>
      </c>
      <c r="D24">
        <v>19.559999999999999</v>
      </c>
      <c r="E24">
        <v>1.5100000000000001E-2</v>
      </c>
      <c r="F24">
        <v>0</v>
      </c>
      <c r="G24">
        <v>0</v>
      </c>
      <c r="H24">
        <v>35.97</v>
      </c>
      <c r="I24">
        <v>0</v>
      </c>
      <c r="J24">
        <v>1.5900000000000001E-2</v>
      </c>
      <c r="K24">
        <v>0</v>
      </c>
      <c r="L24">
        <v>0</v>
      </c>
      <c r="M24">
        <v>5.7799999999999997E-2</v>
      </c>
      <c r="N24">
        <v>103.87869999999999</v>
      </c>
      <c r="O24" t="s">
        <v>69</v>
      </c>
      <c r="P24" t="s">
        <v>44</v>
      </c>
    </row>
    <row r="25" spans="1:16">
      <c r="A25">
        <v>26</v>
      </c>
      <c r="B25">
        <v>48.25</v>
      </c>
      <c r="C25">
        <v>0</v>
      </c>
      <c r="D25">
        <v>19.27</v>
      </c>
      <c r="E25">
        <v>3.5999999999999999E-3</v>
      </c>
      <c r="F25">
        <v>0</v>
      </c>
      <c r="G25">
        <v>0</v>
      </c>
      <c r="H25">
        <v>35.86</v>
      </c>
      <c r="I25">
        <v>0</v>
      </c>
      <c r="J25">
        <v>5.3E-3</v>
      </c>
      <c r="K25">
        <v>0</v>
      </c>
      <c r="L25">
        <v>0</v>
      </c>
      <c r="M25">
        <v>9.4899999999999998E-2</v>
      </c>
      <c r="N25">
        <v>103.4838</v>
      </c>
      <c r="O25" t="s">
        <v>69</v>
      </c>
      <c r="P25" t="s">
        <v>44</v>
      </c>
    </row>
    <row r="26" spans="1:16">
      <c r="A26">
        <v>27</v>
      </c>
      <c r="B26">
        <v>48.2</v>
      </c>
      <c r="C26">
        <v>0</v>
      </c>
      <c r="D26">
        <v>19.36</v>
      </c>
      <c r="E26">
        <v>1.1999999999999999E-3</v>
      </c>
      <c r="F26">
        <v>0</v>
      </c>
      <c r="G26">
        <v>0</v>
      </c>
      <c r="H26">
        <v>35.69</v>
      </c>
      <c r="I26">
        <v>0</v>
      </c>
      <c r="J26">
        <v>2.3999999999999998E-3</v>
      </c>
      <c r="K26">
        <v>0</v>
      </c>
      <c r="L26">
        <v>1.49E-2</v>
      </c>
      <c r="M26">
        <v>6.59E-2</v>
      </c>
      <c r="N26">
        <v>103.3343</v>
      </c>
      <c r="O26" t="s">
        <v>69</v>
      </c>
      <c r="P26" t="s">
        <v>44</v>
      </c>
    </row>
    <row r="27" spans="1:16">
      <c r="A27">
        <v>11</v>
      </c>
      <c r="B27">
        <v>45.98</v>
      </c>
      <c r="C27">
        <v>0</v>
      </c>
      <c r="D27">
        <v>21.4</v>
      </c>
      <c r="E27">
        <v>1.2999999999999999E-3</v>
      </c>
      <c r="F27">
        <v>0.13550000000000001</v>
      </c>
      <c r="G27">
        <v>0</v>
      </c>
      <c r="H27">
        <v>36.57</v>
      </c>
      <c r="I27">
        <v>0</v>
      </c>
      <c r="J27">
        <v>0</v>
      </c>
      <c r="K27">
        <v>0</v>
      </c>
      <c r="L27">
        <v>0</v>
      </c>
      <c r="M27">
        <v>8.9300000000000004E-2</v>
      </c>
      <c r="N27">
        <v>104.176</v>
      </c>
      <c r="O27" t="s">
        <v>70</v>
      </c>
      <c r="P27" t="s">
        <v>71</v>
      </c>
    </row>
    <row r="28" spans="1:16">
      <c r="A28">
        <v>19</v>
      </c>
      <c r="B28">
        <v>45.56</v>
      </c>
      <c r="C28">
        <v>0</v>
      </c>
      <c r="D28">
        <v>20.82</v>
      </c>
      <c r="E28">
        <v>1.2999999999999999E-2</v>
      </c>
      <c r="F28">
        <v>0.40160000000000001</v>
      </c>
      <c r="G28">
        <v>0</v>
      </c>
      <c r="H28">
        <v>35.85</v>
      </c>
      <c r="I28">
        <v>0</v>
      </c>
      <c r="J28">
        <v>2.18E-2</v>
      </c>
      <c r="K28">
        <v>0</v>
      </c>
      <c r="L28">
        <v>8.0000000000000004E-4</v>
      </c>
      <c r="M28">
        <v>6.7100000000000007E-2</v>
      </c>
      <c r="N28">
        <v>102.7343</v>
      </c>
      <c r="O28" t="s">
        <v>70</v>
      </c>
      <c r="P28" t="s">
        <v>71</v>
      </c>
    </row>
    <row r="29" spans="1:16">
      <c r="A29">
        <v>10</v>
      </c>
      <c r="B29">
        <v>45.5</v>
      </c>
      <c r="C29">
        <v>0</v>
      </c>
      <c r="D29">
        <v>21.02</v>
      </c>
      <c r="E29">
        <v>0</v>
      </c>
      <c r="F29">
        <v>0.92010000000000003</v>
      </c>
      <c r="G29">
        <v>0</v>
      </c>
      <c r="H29">
        <v>36</v>
      </c>
      <c r="I29">
        <v>2.0000000000000001E-4</v>
      </c>
      <c r="J29">
        <v>8.6E-3</v>
      </c>
      <c r="K29">
        <v>0</v>
      </c>
      <c r="L29">
        <v>3.1899999999999998E-2</v>
      </c>
      <c r="M29">
        <v>0.11310000000000001</v>
      </c>
      <c r="N29">
        <v>103.5938</v>
      </c>
      <c r="O29" t="s">
        <v>70</v>
      </c>
      <c r="P29" t="s">
        <v>71</v>
      </c>
    </row>
    <row r="30" spans="1:16">
      <c r="A30">
        <v>3</v>
      </c>
      <c r="B30">
        <v>44.47</v>
      </c>
      <c r="C30">
        <v>0</v>
      </c>
      <c r="D30">
        <v>22.07</v>
      </c>
      <c r="E30">
        <v>6.1000000000000004E-3</v>
      </c>
      <c r="F30">
        <v>0.17630000000000001</v>
      </c>
      <c r="G30">
        <v>0</v>
      </c>
      <c r="H30">
        <v>36.159999999999997</v>
      </c>
      <c r="I30">
        <v>0</v>
      </c>
      <c r="J30">
        <v>1.6400000000000001E-2</v>
      </c>
      <c r="K30">
        <v>0</v>
      </c>
      <c r="L30">
        <v>8.2000000000000007E-3</v>
      </c>
      <c r="M30">
        <v>0.1007</v>
      </c>
      <c r="N30">
        <v>103.0077</v>
      </c>
      <c r="O30" t="s">
        <v>70</v>
      </c>
      <c r="P30" t="s">
        <v>71</v>
      </c>
    </row>
    <row r="31" spans="1:16">
      <c r="A31">
        <v>22</v>
      </c>
      <c r="B31">
        <v>46.94</v>
      </c>
      <c r="C31">
        <v>0</v>
      </c>
      <c r="D31">
        <v>20.48</v>
      </c>
      <c r="E31">
        <v>1.6999999999999999E-3</v>
      </c>
      <c r="F31">
        <v>0</v>
      </c>
      <c r="G31">
        <v>0</v>
      </c>
      <c r="H31">
        <v>36.4</v>
      </c>
      <c r="I31">
        <v>0</v>
      </c>
      <c r="J31">
        <v>0</v>
      </c>
      <c r="K31">
        <v>0</v>
      </c>
      <c r="L31">
        <v>0</v>
      </c>
      <c r="M31">
        <v>7.1599999999999997E-2</v>
      </c>
      <c r="N31">
        <v>103.89319999999999</v>
      </c>
      <c r="O31" t="s">
        <v>72</v>
      </c>
      <c r="P31" t="s">
        <v>49</v>
      </c>
    </row>
    <row r="32" spans="1:16">
      <c r="A32">
        <v>23</v>
      </c>
      <c r="B32">
        <v>45.57</v>
      </c>
      <c r="C32">
        <v>0</v>
      </c>
      <c r="D32">
        <v>21.29</v>
      </c>
      <c r="E32">
        <v>0</v>
      </c>
      <c r="F32">
        <v>0</v>
      </c>
      <c r="G32">
        <v>0</v>
      </c>
      <c r="H32">
        <v>36.68</v>
      </c>
      <c r="I32">
        <v>0</v>
      </c>
      <c r="J32">
        <v>1.2800000000000001E-2</v>
      </c>
      <c r="K32">
        <v>0</v>
      </c>
      <c r="L32">
        <v>0</v>
      </c>
      <c r="M32">
        <v>8.0600000000000005E-2</v>
      </c>
      <c r="N32">
        <v>103.63330000000001</v>
      </c>
      <c r="O32" t="s">
        <v>72</v>
      </c>
      <c r="P32" t="s">
        <v>49</v>
      </c>
    </row>
    <row r="33" spans="1:16">
      <c r="A33">
        <v>24</v>
      </c>
      <c r="B33">
        <v>44.33</v>
      </c>
      <c r="C33">
        <v>0</v>
      </c>
      <c r="D33">
        <v>21.91</v>
      </c>
      <c r="E33">
        <v>8.2000000000000007E-3</v>
      </c>
      <c r="F33">
        <v>0.28189999999999998</v>
      </c>
      <c r="G33">
        <v>0</v>
      </c>
      <c r="H33">
        <v>36.22</v>
      </c>
      <c r="I33">
        <v>0</v>
      </c>
      <c r="J33">
        <v>1.29E-2</v>
      </c>
      <c r="K33">
        <v>0</v>
      </c>
      <c r="L33">
        <v>0</v>
      </c>
      <c r="M33">
        <v>0.15379999999999999</v>
      </c>
      <c r="N33">
        <v>102.91679999999999</v>
      </c>
      <c r="O33" t="s">
        <v>72</v>
      </c>
      <c r="P33" t="s">
        <v>49</v>
      </c>
    </row>
    <row r="34" spans="1:16">
      <c r="A34">
        <v>30</v>
      </c>
      <c r="B34">
        <v>47.23</v>
      </c>
      <c r="C34">
        <v>0</v>
      </c>
      <c r="D34">
        <v>20.37</v>
      </c>
      <c r="E34">
        <v>2.2200000000000001E-2</v>
      </c>
      <c r="F34">
        <v>0</v>
      </c>
      <c r="G34">
        <v>0</v>
      </c>
      <c r="H34">
        <v>36.03</v>
      </c>
      <c r="I34">
        <v>0</v>
      </c>
      <c r="J34">
        <v>3.0000000000000001E-3</v>
      </c>
      <c r="K34">
        <v>0</v>
      </c>
      <c r="L34">
        <v>0</v>
      </c>
      <c r="M34">
        <v>9.1700000000000004E-2</v>
      </c>
      <c r="N34">
        <v>103.74679999999999</v>
      </c>
      <c r="O34" t="s">
        <v>73</v>
      </c>
      <c r="P34" t="s">
        <v>49</v>
      </c>
    </row>
    <row r="35" spans="1:16">
      <c r="A35">
        <v>31</v>
      </c>
      <c r="B35">
        <v>47.18</v>
      </c>
      <c r="C35">
        <v>0</v>
      </c>
      <c r="D35">
        <v>20.32</v>
      </c>
      <c r="E35">
        <v>5.9999999999999995E-4</v>
      </c>
      <c r="F35">
        <v>1.52E-2</v>
      </c>
      <c r="G35">
        <v>0</v>
      </c>
      <c r="H35">
        <v>36.14</v>
      </c>
      <c r="I35">
        <v>0</v>
      </c>
      <c r="J35">
        <v>0</v>
      </c>
      <c r="K35">
        <v>0</v>
      </c>
      <c r="L35">
        <v>0</v>
      </c>
      <c r="M35">
        <v>9.6199999999999994E-2</v>
      </c>
      <c r="N35">
        <v>103.75190000000001</v>
      </c>
      <c r="O35" t="s">
        <v>73</v>
      </c>
      <c r="P35" t="s">
        <v>49</v>
      </c>
    </row>
    <row r="36" spans="1:16">
      <c r="A36">
        <v>29</v>
      </c>
      <c r="B36">
        <v>47.08</v>
      </c>
      <c r="C36">
        <v>0</v>
      </c>
      <c r="D36">
        <v>20.399999999999999</v>
      </c>
      <c r="E36">
        <v>0</v>
      </c>
      <c r="F36">
        <v>0</v>
      </c>
      <c r="G36">
        <v>0</v>
      </c>
      <c r="H36">
        <v>35.97</v>
      </c>
      <c r="I36">
        <v>0</v>
      </c>
      <c r="J36">
        <v>0</v>
      </c>
      <c r="K36">
        <v>0</v>
      </c>
      <c r="L36">
        <v>1.7100000000000001E-2</v>
      </c>
      <c r="M36">
        <v>9.4799999999999995E-2</v>
      </c>
      <c r="N36">
        <v>103.56189999999999</v>
      </c>
      <c r="O36" t="s">
        <v>73</v>
      </c>
      <c r="P36" t="s">
        <v>49</v>
      </c>
    </row>
    <row r="37" spans="1:16">
      <c r="A37">
        <v>27</v>
      </c>
      <c r="B37">
        <v>46.85</v>
      </c>
      <c r="C37">
        <v>0</v>
      </c>
      <c r="D37">
        <v>20.49</v>
      </c>
      <c r="E37">
        <v>5.3E-3</v>
      </c>
      <c r="F37">
        <v>0</v>
      </c>
      <c r="G37">
        <v>0</v>
      </c>
      <c r="H37">
        <v>36.18</v>
      </c>
      <c r="I37">
        <v>0</v>
      </c>
      <c r="J37">
        <v>8.0000000000000004E-4</v>
      </c>
      <c r="K37">
        <v>0</v>
      </c>
      <c r="L37">
        <v>9.7000000000000003E-3</v>
      </c>
      <c r="M37">
        <v>7.8100000000000003E-2</v>
      </c>
      <c r="N37">
        <v>103.6138</v>
      </c>
      <c r="O37" t="s">
        <v>73</v>
      </c>
      <c r="P37" t="s">
        <v>49</v>
      </c>
    </row>
    <row r="38" spans="1:16">
      <c r="A38">
        <v>32</v>
      </c>
      <c r="B38">
        <v>46.63</v>
      </c>
      <c r="C38">
        <v>0</v>
      </c>
      <c r="D38">
        <v>20.86</v>
      </c>
      <c r="E38">
        <v>1.49E-2</v>
      </c>
      <c r="F38">
        <v>1.7899999999999999E-2</v>
      </c>
      <c r="G38">
        <v>0</v>
      </c>
      <c r="H38">
        <v>36.22</v>
      </c>
      <c r="I38">
        <v>0</v>
      </c>
      <c r="J38">
        <v>4.5999999999999999E-3</v>
      </c>
      <c r="K38">
        <v>0</v>
      </c>
      <c r="L38">
        <v>3.0099999999999998E-2</v>
      </c>
      <c r="M38">
        <v>6.6100000000000006E-2</v>
      </c>
      <c r="N38">
        <v>103.8436</v>
      </c>
      <c r="O38" t="s">
        <v>73</v>
      </c>
      <c r="P38" t="s">
        <v>49</v>
      </c>
    </row>
    <row r="39" spans="1:16">
      <c r="A39">
        <v>26</v>
      </c>
      <c r="B39">
        <v>46.34</v>
      </c>
      <c r="C39">
        <v>0</v>
      </c>
      <c r="D39">
        <v>20.77</v>
      </c>
      <c r="E39">
        <v>1.1999999999999999E-3</v>
      </c>
      <c r="F39">
        <v>1.67E-2</v>
      </c>
      <c r="G39">
        <v>0</v>
      </c>
      <c r="H39">
        <v>35.979999999999997</v>
      </c>
      <c r="I39">
        <v>1E-3</v>
      </c>
      <c r="J39">
        <v>1.44E-2</v>
      </c>
      <c r="K39">
        <v>0</v>
      </c>
      <c r="L39">
        <v>9.4000000000000004E-3</v>
      </c>
      <c r="M39">
        <v>9.0499999999999997E-2</v>
      </c>
      <c r="N39">
        <v>103.2231</v>
      </c>
      <c r="O39" t="s">
        <v>73</v>
      </c>
      <c r="P39" t="s">
        <v>49</v>
      </c>
    </row>
    <row r="40" spans="1:16">
      <c r="A40">
        <v>25</v>
      </c>
      <c r="B40">
        <v>46.05</v>
      </c>
      <c r="C40">
        <v>0</v>
      </c>
      <c r="D40">
        <v>21.09</v>
      </c>
      <c r="E40">
        <v>1.7899999999999999E-2</v>
      </c>
      <c r="F40">
        <v>0</v>
      </c>
      <c r="G40">
        <v>0</v>
      </c>
      <c r="H40">
        <v>36.6</v>
      </c>
      <c r="I40">
        <v>0</v>
      </c>
      <c r="J40">
        <v>2.7000000000000001E-3</v>
      </c>
      <c r="K40">
        <v>0</v>
      </c>
      <c r="L40">
        <v>0</v>
      </c>
      <c r="M40">
        <v>8.2199999999999995E-2</v>
      </c>
      <c r="N40">
        <v>103.84269999999999</v>
      </c>
      <c r="O40" t="s">
        <v>73</v>
      </c>
      <c r="P40" t="s">
        <v>49</v>
      </c>
    </row>
    <row r="41" spans="1:16">
      <c r="A41">
        <v>261</v>
      </c>
      <c r="B41">
        <v>50.03</v>
      </c>
      <c r="C41">
        <v>0</v>
      </c>
      <c r="D41">
        <v>18.39</v>
      </c>
      <c r="E41">
        <v>2.3999999999999998E-3</v>
      </c>
      <c r="F41">
        <v>0</v>
      </c>
      <c r="G41">
        <v>0</v>
      </c>
      <c r="H41">
        <v>35.43</v>
      </c>
      <c r="I41">
        <v>0</v>
      </c>
      <c r="J41">
        <v>0</v>
      </c>
      <c r="K41">
        <v>0</v>
      </c>
      <c r="L41">
        <v>0</v>
      </c>
      <c r="M41">
        <v>6.2300000000000001E-2</v>
      </c>
      <c r="N41">
        <v>103.91459999999999</v>
      </c>
      <c r="O41" t="s">
        <v>74</v>
      </c>
      <c r="P41" t="s">
        <v>49</v>
      </c>
    </row>
    <row r="42" spans="1:16">
      <c r="A42">
        <v>259</v>
      </c>
      <c r="B42">
        <v>49.35</v>
      </c>
      <c r="C42">
        <v>0</v>
      </c>
      <c r="D42">
        <v>18.55</v>
      </c>
      <c r="E42">
        <v>0</v>
      </c>
      <c r="F42">
        <v>1.1299999999999999E-2</v>
      </c>
      <c r="G42">
        <v>0</v>
      </c>
      <c r="H42">
        <v>34.83</v>
      </c>
      <c r="I42">
        <v>0</v>
      </c>
      <c r="J42">
        <v>3.2000000000000002E-3</v>
      </c>
      <c r="K42">
        <v>0</v>
      </c>
      <c r="L42">
        <v>0</v>
      </c>
      <c r="M42">
        <v>5.5899999999999998E-2</v>
      </c>
      <c r="N42">
        <v>102.80029999999999</v>
      </c>
      <c r="O42" t="s">
        <v>74</v>
      </c>
      <c r="P42" t="s">
        <v>49</v>
      </c>
    </row>
    <row r="43" spans="1:16">
      <c r="A43">
        <v>260</v>
      </c>
      <c r="B43">
        <v>49.27</v>
      </c>
      <c r="C43">
        <v>0</v>
      </c>
      <c r="D43">
        <v>18.66</v>
      </c>
      <c r="E43">
        <v>0</v>
      </c>
      <c r="F43">
        <v>0</v>
      </c>
      <c r="G43">
        <v>0</v>
      </c>
      <c r="H43">
        <v>35.33</v>
      </c>
      <c r="I43">
        <v>0</v>
      </c>
      <c r="J43">
        <v>0</v>
      </c>
      <c r="K43">
        <v>0</v>
      </c>
      <c r="L43">
        <v>1.06E-2</v>
      </c>
      <c r="M43">
        <v>6.2600000000000003E-2</v>
      </c>
      <c r="N43">
        <v>103.3331</v>
      </c>
      <c r="O43" t="s">
        <v>74</v>
      </c>
      <c r="P43" t="s">
        <v>49</v>
      </c>
    </row>
    <row r="44" spans="1:16">
      <c r="A44">
        <v>257</v>
      </c>
      <c r="B44">
        <v>48.93</v>
      </c>
      <c r="C44">
        <v>0</v>
      </c>
      <c r="D44">
        <v>19.11</v>
      </c>
      <c r="E44">
        <v>0</v>
      </c>
      <c r="F44">
        <v>1.6E-2</v>
      </c>
      <c r="G44">
        <v>0</v>
      </c>
      <c r="H44">
        <v>35</v>
      </c>
      <c r="I44">
        <v>0</v>
      </c>
      <c r="J44">
        <v>0</v>
      </c>
      <c r="K44">
        <v>0</v>
      </c>
      <c r="L44">
        <v>0</v>
      </c>
      <c r="M44">
        <v>6.7900000000000002E-2</v>
      </c>
      <c r="N44">
        <v>103.1238</v>
      </c>
      <c r="O44" t="s">
        <v>74</v>
      </c>
      <c r="P44" t="s">
        <v>49</v>
      </c>
    </row>
    <row r="45" spans="1:16">
      <c r="A45">
        <v>258</v>
      </c>
      <c r="B45">
        <v>48.67</v>
      </c>
      <c r="C45">
        <v>0</v>
      </c>
      <c r="D45">
        <v>19.3</v>
      </c>
      <c r="E45">
        <v>2.0299999999999999E-2</v>
      </c>
      <c r="F45">
        <v>0</v>
      </c>
      <c r="G45">
        <v>0</v>
      </c>
      <c r="H45">
        <v>35.29</v>
      </c>
      <c r="I45">
        <v>0</v>
      </c>
      <c r="J45">
        <v>4.0000000000000002E-4</v>
      </c>
      <c r="K45">
        <v>0</v>
      </c>
      <c r="L45">
        <v>0</v>
      </c>
      <c r="M45">
        <v>8.0500000000000002E-2</v>
      </c>
      <c r="N45">
        <v>103.36109999999999</v>
      </c>
      <c r="O45" t="s">
        <v>74</v>
      </c>
      <c r="P45" t="s">
        <v>49</v>
      </c>
    </row>
    <row r="46" spans="1:16">
      <c r="A46">
        <v>42</v>
      </c>
      <c r="B46">
        <v>47.27</v>
      </c>
      <c r="C46">
        <v>0</v>
      </c>
      <c r="D46">
        <v>20.41</v>
      </c>
      <c r="E46">
        <v>5.4000000000000003E-3</v>
      </c>
      <c r="F46">
        <v>0</v>
      </c>
      <c r="G46">
        <v>0</v>
      </c>
      <c r="H46">
        <v>35.270000000000003</v>
      </c>
      <c r="I46">
        <v>0</v>
      </c>
      <c r="J46">
        <v>1.6000000000000001E-3</v>
      </c>
      <c r="K46">
        <v>0</v>
      </c>
      <c r="L46">
        <v>3.5000000000000001E-3</v>
      </c>
      <c r="M46">
        <v>7.7200000000000005E-2</v>
      </c>
      <c r="N46">
        <v>103.0377</v>
      </c>
      <c r="O46" t="s">
        <v>75</v>
      </c>
      <c r="P46" t="s">
        <v>49</v>
      </c>
    </row>
    <row r="47" spans="1:16">
      <c r="A47">
        <v>35</v>
      </c>
      <c r="B47">
        <v>46.66</v>
      </c>
      <c r="C47">
        <v>0</v>
      </c>
      <c r="D47">
        <v>21.03</v>
      </c>
      <c r="E47">
        <v>1.7000000000000001E-2</v>
      </c>
      <c r="F47">
        <v>0</v>
      </c>
      <c r="G47">
        <v>0</v>
      </c>
      <c r="H47">
        <v>35.700000000000003</v>
      </c>
      <c r="I47">
        <v>1E-4</v>
      </c>
      <c r="J47">
        <v>7.0000000000000001E-3</v>
      </c>
      <c r="K47">
        <v>0</v>
      </c>
      <c r="L47">
        <v>4.4999999999999997E-3</v>
      </c>
      <c r="M47">
        <v>7.9100000000000004E-2</v>
      </c>
      <c r="N47">
        <v>103.49769999999999</v>
      </c>
      <c r="O47" t="s">
        <v>75</v>
      </c>
      <c r="P47" t="s">
        <v>49</v>
      </c>
    </row>
    <row r="48" spans="1:16">
      <c r="A48">
        <v>39</v>
      </c>
      <c r="B48">
        <v>45.53</v>
      </c>
      <c r="C48">
        <v>0</v>
      </c>
      <c r="D48">
        <v>21.73</v>
      </c>
      <c r="E48">
        <v>1.2200000000000001E-2</v>
      </c>
      <c r="F48">
        <v>3.6299999999999999E-2</v>
      </c>
      <c r="G48">
        <v>0</v>
      </c>
      <c r="H48">
        <v>35.729999999999997</v>
      </c>
      <c r="I48">
        <v>0</v>
      </c>
      <c r="J48">
        <v>0</v>
      </c>
      <c r="K48">
        <v>0</v>
      </c>
      <c r="L48">
        <v>0</v>
      </c>
      <c r="M48">
        <v>8.8300000000000003E-2</v>
      </c>
      <c r="N48">
        <v>103.1267</v>
      </c>
      <c r="O48" t="s">
        <v>75</v>
      </c>
      <c r="P48" t="s">
        <v>49</v>
      </c>
    </row>
    <row r="49" spans="1:16">
      <c r="A49">
        <v>36</v>
      </c>
      <c r="B49">
        <v>45.03</v>
      </c>
      <c r="C49">
        <v>0</v>
      </c>
      <c r="D49">
        <v>21.92</v>
      </c>
      <c r="E49">
        <v>2.5999999999999999E-3</v>
      </c>
      <c r="F49">
        <v>1.6500000000000001E-2</v>
      </c>
      <c r="G49">
        <v>0</v>
      </c>
      <c r="H49">
        <v>36.18</v>
      </c>
      <c r="I49">
        <v>0</v>
      </c>
      <c r="J49">
        <v>3.7000000000000002E-3</v>
      </c>
      <c r="K49">
        <v>0</v>
      </c>
      <c r="L49">
        <v>0</v>
      </c>
      <c r="M49">
        <v>7.7700000000000005E-2</v>
      </c>
      <c r="N49">
        <v>103.2304</v>
      </c>
      <c r="O49" t="s">
        <v>75</v>
      </c>
      <c r="P49" t="s">
        <v>49</v>
      </c>
    </row>
    <row r="50" spans="1:16">
      <c r="A50">
        <v>37</v>
      </c>
      <c r="B50">
        <v>44.73</v>
      </c>
      <c r="C50">
        <v>0</v>
      </c>
      <c r="D50">
        <v>22.1</v>
      </c>
      <c r="E50">
        <v>4.0000000000000002E-4</v>
      </c>
      <c r="F50">
        <v>6.0999999999999999E-2</v>
      </c>
      <c r="G50">
        <v>0</v>
      </c>
      <c r="H50">
        <v>35.99</v>
      </c>
      <c r="I50">
        <v>0</v>
      </c>
      <c r="J50">
        <v>0</v>
      </c>
      <c r="K50">
        <v>0</v>
      </c>
      <c r="L50">
        <v>0</v>
      </c>
      <c r="M50">
        <v>0.10589999999999999</v>
      </c>
      <c r="N50">
        <v>102.9872</v>
      </c>
      <c r="O50" t="s">
        <v>75</v>
      </c>
      <c r="P50" t="s">
        <v>49</v>
      </c>
    </row>
    <row r="51" spans="1:16">
      <c r="A51">
        <v>33</v>
      </c>
      <c r="B51">
        <v>44.71</v>
      </c>
      <c r="C51">
        <v>0</v>
      </c>
      <c r="D51">
        <v>22.23</v>
      </c>
      <c r="E51">
        <v>1.72E-2</v>
      </c>
      <c r="F51">
        <v>2.9700000000000001E-2</v>
      </c>
      <c r="G51">
        <v>0</v>
      </c>
      <c r="H51">
        <v>36.5</v>
      </c>
      <c r="I51">
        <v>0</v>
      </c>
      <c r="J51">
        <v>0</v>
      </c>
      <c r="K51">
        <v>0</v>
      </c>
      <c r="L51">
        <v>0</v>
      </c>
      <c r="M51">
        <v>9.9199999999999997E-2</v>
      </c>
      <c r="N51">
        <v>103.586</v>
      </c>
      <c r="O51" t="s">
        <v>75</v>
      </c>
      <c r="P51" t="s">
        <v>49</v>
      </c>
    </row>
    <row r="52" spans="1:16">
      <c r="A52">
        <v>40</v>
      </c>
      <c r="B52">
        <v>44.48</v>
      </c>
      <c r="C52">
        <v>0</v>
      </c>
      <c r="D52">
        <v>22.39</v>
      </c>
      <c r="E52">
        <v>6.7999999999999996E-3</v>
      </c>
      <c r="F52">
        <v>1.9699999999999999E-2</v>
      </c>
      <c r="G52">
        <v>0</v>
      </c>
      <c r="H52">
        <v>36.090000000000003</v>
      </c>
      <c r="I52">
        <v>0</v>
      </c>
      <c r="J52">
        <v>2.2000000000000001E-3</v>
      </c>
      <c r="K52">
        <v>0</v>
      </c>
      <c r="L52">
        <v>0</v>
      </c>
      <c r="M52">
        <v>7.9799999999999996E-2</v>
      </c>
      <c r="N52">
        <v>103.0684</v>
      </c>
      <c r="O52" t="s">
        <v>75</v>
      </c>
      <c r="P52" t="s">
        <v>49</v>
      </c>
    </row>
    <row r="53" spans="1:16">
      <c r="A53">
        <v>32</v>
      </c>
      <c r="B53">
        <v>44.31</v>
      </c>
      <c r="C53">
        <v>0</v>
      </c>
      <c r="D53">
        <v>22.36</v>
      </c>
      <c r="E53">
        <v>7.1000000000000004E-3</v>
      </c>
      <c r="F53">
        <v>2.87E-2</v>
      </c>
      <c r="G53">
        <v>0</v>
      </c>
      <c r="H53">
        <v>36.33</v>
      </c>
      <c r="I53">
        <v>0</v>
      </c>
      <c r="J53">
        <v>0</v>
      </c>
      <c r="K53">
        <v>0</v>
      </c>
      <c r="L53">
        <v>0</v>
      </c>
      <c r="M53">
        <v>8.1500000000000003E-2</v>
      </c>
      <c r="N53">
        <v>103.1172</v>
      </c>
      <c r="O53" t="s">
        <v>75</v>
      </c>
      <c r="P53" t="s">
        <v>49</v>
      </c>
    </row>
    <row r="54" spans="1:16">
      <c r="A54">
        <v>23</v>
      </c>
      <c r="B54">
        <v>48.9</v>
      </c>
      <c r="C54">
        <v>0</v>
      </c>
      <c r="D54">
        <v>18.16</v>
      </c>
      <c r="E54">
        <v>0</v>
      </c>
      <c r="F54">
        <v>2.7400000000000001E-2</v>
      </c>
      <c r="G54">
        <v>0</v>
      </c>
      <c r="H54">
        <v>34.07</v>
      </c>
      <c r="I54">
        <v>0</v>
      </c>
      <c r="J54">
        <v>3.8999999999999998E-3</v>
      </c>
      <c r="K54">
        <v>0</v>
      </c>
      <c r="L54">
        <v>1.1999999999999999E-3</v>
      </c>
      <c r="M54">
        <v>5.3900000000000003E-2</v>
      </c>
      <c r="N54">
        <v>101.21639999999999</v>
      </c>
      <c r="O54" t="s">
        <v>76</v>
      </c>
      <c r="P54" t="s">
        <v>44</v>
      </c>
    </row>
    <row r="55" spans="1:16">
      <c r="A55">
        <v>24</v>
      </c>
      <c r="B55">
        <v>48.7</v>
      </c>
      <c r="C55">
        <v>0</v>
      </c>
      <c r="D55">
        <v>18.32</v>
      </c>
      <c r="E55">
        <v>0</v>
      </c>
      <c r="F55">
        <v>0</v>
      </c>
      <c r="G55">
        <v>0</v>
      </c>
      <c r="H55">
        <v>34.4</v>
      </c>
      <c r="I55">
        <v>0</v>
      </c>
      <c r="J55">
        <v>3.7000000000000002E-3</v>
      </c>
      <c r="K55">
        <v>0</v>
      </c>
      <c r="L55">
        <v>2.8999999999999998E-3</v>
      </c>
      <c r="M55">
        <v>7.3400000000000007E-2</v>
      </c>
      <c r="N55">
        <v>101.5</v>
      </c>
      <c r="O55" t="s">
        <v>76</v>
      </c>
      <c r="P55" t="s">
        <v>44</v>
      </c>
    </row>
    <row r="56" spans="1:16">
      <c r="A56">
        <v>26</v>
      </c>
      <c r="B56">
        <v>48.63</v>
      </c>
      <c r="C56">
        <v>0</v>
      </c>
      <c r="D56">
        <v>18.22</v>
      </c>
      <c r="E56">
        <v>0</v>
      </c>
      <c r="F56">
        <v>4.7999999999999996E-3</v>
      </c>
      <c r="G56">
        <v>0</v>
      </c>
      <c r="H56">
        <v>34.89</v>
      </c>
      <c r="I56">
        <v>0</v>
      </c>
      <c r="J56">
        <v>0</v>
      </c>
      <c r="K56">
        <v>0</v>
      </c>
      <c r="L56">
        <v>3.6499999999999998E-2</v>
      </c>
      <c r="M56">
        <v>6.3399999999999998E-2</v>
      </c>
      <c r="N56">
        <v>101.8447</v>
      </c>
      <c r="O56" t="s">
        <v>76</v>
      </c>
      <c r="P56" t="s">
        <v>44</v>
      </c>
    </row>
    <row r="57" spans="1:16">
      <c r="A57">
        <v>27</v>
      </c>
      <c r="B57">
        <v>48.03</v>
      </c>
      <c r="C57">
        <v>0</v>
      </c>
      <c r="D57">
        <v>18.68</v>
      </c>
      <c r="E57">
        <v>0</v>
      </c>
      <c r="F57">
        <v>0</v>
      </c>
      <c r="G57">
        <v>0</v>
      </c>
      <c r="H57">
        <v>35.08</v>
      </c>
      <c r="I57">
        <v>0</v>
      </c>
      <c r="J57">
        <v>5.1000000000000004E-3</v>
      </c>
      <c r="K57">
        <v>0</v>
      </c>
      <c r="L57">
        <v>1.6299999999999999E-2</v>
      </c>
      <c r="M57">
        <v>8.6699999999999999E-2</v>
      </c>
      <c r="N57">
        <v>101.8981</v>
      </c>
      <c r="O57" t="s">
        <v>76</v>
      </c>
      <c r="P57" t="s">
        <v>44</v>
      </c>
    </row>
    <row r="58" spans="1:16">
      <c r="A58">
        <v>44</v>
      </c>
      <c r="B58">
        <v>47.78</v>
      </c>
      <c r="C58">
        <v>0</v>
      </c>
      <c r="D58">
        <v>18.440000000000001</v>
      </c>
      <c r="E58">
        <v>3.0999999999999999E-3</v>
      </c>
      <c r="F58">
        <v>3.2199999999999999E-2</v>
      </c>
      <c r="G58">
        <v>0</v>
      </c>
      <c r="H58">
        <v>34.53</v>
      </c>
      <c r="I58">
        <v>0</v>
      </c>
      <c r="J58">
        <v>0</v>
      </c>
      <c r="K58">
        <v>0</v>
      </c>
      <c r="L58">
        <v>1.1000000000000001E-3</v>
      </c>
      <c r="M58">
        <v>8.9200000000000002E-2</v>
      </c>
      <c r="N58">
        <v>100.87560000000001</v>
      </c>
      <c r="O58" t="s">
        <v>77</v>
      </c>
      <c r="P58" t="s">
        <v>44</v>
      </c>
    </row>
    <row r="59" spans="1:16">
      <c r="A59">
        <v>42</v>
      </c>
      <c r="B59">
        <v>47.7</v>
      </c>
      <c r="C59">
        <v>0</v>
      </c>
      <c r="D59">
        <v>18.43</v>
      </c>
      <c r="E59">
        <v>0.01</v>
      </c>
      <c r="F59">
        <v>2.6100000000000002E-2</v>
      </c>
      <c r="G59">
        <v>0</v>
      </c>
      <c r="H59">
        <v>34.5</v>
      </c>
      <c r="I59">
        <v>0</v>
      </c>
      <c r="J59">
        <v>0</v>
      </c>
      <c r="K59">
        <v>0</v>
      </c>
      <c r="L59">
        <v>0</v>
      </c>
      <c r="M59">
        <v>8.0600000000000005E-2</v>
      </c>
      <c r="N59">
        <v>100.7467</v>
      </c>
      <c r="O59" t="s">
        <v>77</v>
      </c>
      <c r="P59" t="s">
        <v>44</v>
      </c>
    </row>
    <row r="60" spans="1:16">
      <c r="A60">
        <v>43</v>
      </c>
      <c r="B60">
        <v>47.46</v>
      </c>
      <c r="C60">
        <v>0</v>
      </c>
      <c r="D60">
        <v>18.79</v>
      </c>
      <c r="E60">
        <v>5.7999999999999996E-3</v>
      </c>
      <c r="F60">
        <v>1.66E-2</v>
      </c>
      <c r="G60">
        <v>0</v>
      </c>
      <c r="H60">
        <v>34.630000000000003</v>
      </c>
      <c r="I60">
        <v>0</v>
      </c>
      <c r="J60">
        <v>0</v>
      </c>
      <c r="K60">
        <v>0</v>
      </c>
      <c r="L60">
        <v>1.1999999999999999E-3</v>
      </c>
      <c r="M60">
        <v>6.3200000000000006E-2</v>
      </c>
      <c r="N60">
        <v>100.96679999999999</v>
      </c>
      <c r="O60" t="s">
        <v>77</v>
      </c>
      <c r="P60" t="s">
        <v>44</v>
      </c>
    </row>
    <row r="61" spans="1:16">
      <c r="A61">
        <v>25</v>
      </c>
      <c r="B61">
        <v>43.75</v>
      </c>
      <c r="C61">
        <v>0</v>
      </c>
      <c r="D61">
        <v>20.54</v>
      </c>
      <c r="E61">
        <v>3.0999999999999999E-3</v>
      </c>
      <c r="F61">
        <v>1.5800000000000002E-2</v>
      </c>
      <c r="G61">
        <v>0</v>
      </c>
      <c r="H61">
        <v>35.18</v>
      </c>
      <c r="I61">
        <v>0</v>
      </c>
      <c r="J61">
        <v>2.1600000000000001E-2</v>
      </c>
      <c r="K61">
        <v>0</v>
      </c>
      <c r="L61">
        <v>7.7000000000000002E-3</v>
      </c>
      <c r="M61">
        <v>0.1132</v>
      </c>
      <c r="N61">
        <v>99.631400000000014</v>
      </c>
      <c r="O61" t="s">
        <v>76</v>
      </c>
      <c r="P61" t="s">
        <v>44</v>
      </c>
    </row>
    <row r="62" spans="1:16">
      <c r="A62">
        <v>46</v>
      </c>
      <c r="B62">
        <v>48.56</v>
      </c>
      <c r="C62">
        <v>0</v>
      </c>
      <c r="D62">
        <v>19.170000000000002</v>
      </c>
      <c r="E62">
        <v>0</v>
      </c>
      <c r="F62">
        <v>0</v>
      </c>
      <c r="G62">
        <v>5.0000000000000001E-4</v>
      </c>
      <c r="H62">
        <v>33.770000000000003</v>
      </c>
      <c r="I62">
        <v>0</v>
      </c>
      <c r="J62">
        <v>4.6699999999999998E-2</v>
      </c>
      <c r="K62">
        <v>0</v>
      </c>
      <c r="L62">
        <v>0</v>
      </c>
      <c r="M62">
        <v>0.10340000000000001</v>
      </c>
      <c r="N62">
        <v>101.6506</v>
      </c>
      <c r="O62" t="s">
        <v>78</v>
      </c>
      <c r="P62" t="s">
        <v>79</v>
      </c>
    </row>
    <row r="63" spans="1:16">
      <c r="A63">
        <v>59</v>
      </c>
      <c r="B63">
        <v>43.77</v>
      </c>
      <c r="C63">
        <v>0</v>
      </c>
      <c r="D63">
        <v>22.96</v>
      </c>
      <c r="E63">
        <v>0</v>
      </c>
      <c r="F63">
        <v>0</v>
      </c>
      <c r="G63">
        <v>3.2000000000000002E-3</v>
      </c>
      <c r="H63">
        <v>36.74</v>
      </c>
      <c r="I63">
        <v>7.4999999999999997E-3</v>
      </c>
      <c r="J63">
        <v>0</v>
      </c>
      <c r="K63">
        <v>0</v>
      </c>
      <c r="L63">
        <v>0</v>
      </c>
      <c r="M63">
        <v>7.2900000000000006E-2</v>
      </c>
      <c r="N63">
        <v>103.5535</v>
      </c>
      <c r="O63" t="s">
        <v>78</v>
      </c>
      <c r="P63" t="s">
        <v>79</v>
      </c>
    </row>
    <row r="64" spans="1:16">
      <c r="A64">
        <v>41</v>
      </c>
      <c r="B64">
        <v>44.78</v>
      </c>
      <c r="C64">
        <v>0</v>
      </c>
      <c r="D64">
        <v>22.37</v>
      </c>
      <c r="E64">
        <v>6.1000000000000004E-3</v>
      </c>
      <c r="F64">
        <v>4.8300000000000003E-2</v>
      </c>
      <c r="G64">
        <v>0</v>
      </c>
      <c r="H64">
        <v>36.270000000000003</v>
      </c>
      <c r="I64">
        <v>0</v>
      </c>
      <c r="J64">
        <v>8.9999999999999998E-4</v>
      </c>
      <c r="K64">
        <v>0</v>
      </c>
      <c r="L64">
        <v>3.0999999999999999E-3</v>
      </c>
      <c r="M64">
        <v>9.6799999999999997E-2</v>
      </c>
      <c r="N64">
        <v>103.5752</v>
      </c>
      <c r="O64" t="s">
        <v>80</v>
      </c>
      <c r="P64" t="s">
        <v>81</v>
      </c>
    </row>
    <row r="65" spans="1:16">
      <c r="A65">
        <v>42</v>
      </c>
      <c r="B65">
        <v>43.36</v>
      </c>
      <c r="C65">
        <v>0</v>
      </c>
      <c r="D65">
        <v>22.34</v>
      </c>
      <c r="E65">
        <v>1.54E-2</v>
      </c>
      <c r="F65">
        <v>1.88</v>
      </c>
      <c r="G65">
        <v>0</v>
      </c>
      <c r="H65">
        <v>35.909999999999997</v>
      </c>
      <c r="I65">
        <v>0</v>
      </c>
      <c r="J65">
        <v>0</v>
      </c>
      <c r="K65">
        <v>0</v>
      </c>
      <c r="L65">
        <v>0</v>
      </c>
      <c r="M65">
        <v>8.14E-2</v>
      </c>
      <c r="N65">
        <v>103.58669999999999</v>
      </c>
      <c r="O65" t="s">
        <v>80</v>
      </c>
      <c r="P65" t="s">
        <v>81</v>
      </c>
    </row>
    <row r="66" spans="1:16">
      <c r="A66">
        <v>43</v>
      </c>
      <c r="B66">
        <v>45.13</v>
      </c>
      <c r="C66">
        <v>0</v>
      </c>
      <c r="D66">
        <v>22.01</v>
      </c>
      <c r="E66">
        <v>1.2500000000000001E-2</v>
      </c>
      <c r="F66">
        <v>0.2772</v>
      </c>
      <c r="G66">
        <v>0</v>
      </c>
      <c r="H66">
        <v>35.869999999999997</v>
      </c>
      <c r="I66">
        <v>0</v>
      </c>
      <c r="J66">
        <v>0</v>
      </c>
      <c r="K66">
        <v>0</v>
      </c>
      <c r="L66">
        <v>3.6200000000000003E-2</v>
      </c>
      <c r="M66">
        <v>7.8399999999999997E-2</v>
      </c>
      <c r="N66">
        <v>103.41419999999999</v>
      </c>
      <c r="O66" t="s">
        <v>80</v>
      </c>
      <c r="P66" t="s">
        <v>81</v>
      </c>
    </row>
    <row r="67" spans="1:16">
      <c r="A67">
        <v>71</v>
      </c>
      <c r="B67">
        <v>43.22</v>
      </c>
      <c r="C67">
        <v>0</v>
      </c>
      <c r="D67">
        <v>22.41</v>
      </c>
      <c r="E67">
        <v>0</v>
      </c>
      <c r="F67">
        <v>5.7200000000000001E-2</v>
      </c>
      <c r="G67">
        <v>0</v>
      </c>
      <c r="H67">
        <v>36.36</v>
      </c>
      <c r="I67">
        <v>0</v>
      </c>
      <c r="J67">
        <v>2.2000000000000001E-3</v>
      </c>
      <c r="K67">
        <v>0</v>
      </c>
      <c r="L67">
        <v>0</v>
      </c>
      <c r="M67">
        <v>8.0100000000000005E-2</v>
      </c>
      <c r="N67">
        <v>102.1294</v>
      </c>
      <c r="O67" t="s">
        <v>82</v>
      </c>
      <c r="P67" t="s">
        <v>83</v>
      </c>
    </row>
    <row r="68" spans="1:16">
      <c r="A68">
        <v>72</v>
      </c>
      <c r="B68">
        <v>42.85</v>
      </c>
      <c r="C68">
        <v>0</v>
      </c>
      <c r="D68">
        <v>22.4</v>
      </c>
      <c r="E68">
        <v>0</v>
      </c>
      <c r="F68">
        <v>0.43990000000000001</v>
      </c>
      <c r="G68">
        <v>0</v>
      </c>
      <c r="H68">
        <v>36.049999999999997</v>
      </c>
      <c r="I68">
        <v>0</v>
      </c>
      <c r="J68">
        <v>0</v>
      </c>
      <c r="K68">
        <v>0</v>
      </c>
      <c r="L68">
        <v>4.8999999999999998E-3</v>
      </c>
      <c r="M68">
        <v>8.2900000000000001E-2</v>
      </c>
      <c r="N68">
        <v>101.8276</v>
      </c>
      <c r="O68" t="s">
        <v>82</v>
      </c>
      <c r="P68" t="s">
        <v>83</v>
      </c>
    </row>
    <row r="69" spans="1:16">
      <c r="A69">
        <v>73</v>
      </c>
      <c r="B69">
        <v>41.98</v>
      </c>
      <c r="C69">
        <v>0</v>
      </c>
      <c r="D69">
        <v>22.77</v>
      </c>
      <c r="E69">
        <v>0</v>
      </c>
      <c r="F69">
        <v>0.55910000000000004</v>
      </c>
      <c r="G69">
        <v>0</v>
      </c>
      <c r="H69">
        <v>36.4</v>
      </c>
      <c r="I69">
        <v>0</v>
      </c>
      <c r="J69">
        <v>3.3999999999999998E-3</v>
      </c>
      <c r="K69">
        <v>0</v>
      </c>
      <c r="L69">
        <v>2.5999999999999999E-3</v>
      </c>
      <c r="M69">
        <v>8.5699999999999998E-2</v>
      </c>
      <c r="N69">
        <v>101.8008</v>
      </c>
      <c r="O69" t="s">
        <v>84</v>
      </c>
      <c r="P69" t="s">
        <v>83</v>
      </c>
    </row>
    <row r="70" spans="1:16">
      <c r="A70">
        <v>68</v>
      </c>
      <c r="B70">
        <v>44.21</v>
      </c>
      <c r="C70">
        <v>0</v>
      </c>
      <c r="D70">
        <v>21.79</v>
      </c>
      <c r="E70">
        <v>4.0000000000000001E-3</v>
      </c>
      <c r="F70">
        <v>0.2979</v>
      </c>
      <c r="G70">
        <v>0</v>
      </c>
      <c r="H70">
        <v>36.07</v>
      </c>
      <c r="I70">
        <v>0</v>
      </c>
      <c r="J70">
        <v>0</v>
      </c>
      <c r="K70">
        <v>0</v>
      </c>
      <c r="L70">
        <v>5.8999999999999999E-3</v>
      </c>
      <c r="M70">
        <v>8.9899999999999994E-2</v>
      </c>
      <c r="N70">
        <v>102.4676</v>
      </c>
      <c r="O70" t="s">
        <v>84</v>
      </c>
      <c r="P70" t="s">
        <v>83</v>
      </c>
    </row>
    <row r="71" spans="1:16">
      <c r="A71">
        <v>51</v>
      </c>
      <c r="B71">
        <v>44.52</v>
      </c>
      <c r="C71">
        <v>0</v>
      </c>
      <c r="D71">
        <v>19.47</v>
      </c>
      <c r="E71">
        <v>0.10050000000000001</v>
      </c>
      <c r="F71">
        <v>0</v>
      </c>
      <c r="G71">
        <v>0</v>
      </c>
      <c r="H71">
        <v>34.64</v>
      </c>
      <c r="I71">
        <v>0</v>
      </c>
      <c r="J71">
        <v>5.22</v>
      </c>
      <c r="K71">
        <v>0</v>
      </c>
      <c r="L71">
        <v>4.2500000000000003E-2</v>
      </c>
      <c r="M71">
        <v>9.3700000000000006E-2</v>
      </c>
      <c r="N71">
        <v>104.0866</v>
      </c>
      <c r="O71" t="s">
        <v>34</v>
      </c>
      <c r="P71" t="s">
        <v>33</v>
      </c>
    </row>
    <row r="72" spans="1:16">
      <c r="A72">
        <v>46</v>
      </c>
      <c r="B72">
        <v>49.01</v>
      </c>
      <c r="C72">
        <v>0</v>
      </c>
      <c r="D72">
        <v>18.96</v>
      </c>
      <c r="E72">
        <v>0</v>
      </c>
      <c r="F72">
        <v>0</v>
      </c>
      <c r="G72">
        <v>0</v>
      </c>
      <c r="H72">
        <v>39.33</v>
      </c>
      <c r="I72">
        <v>0</v>
      </c>
      <c r="J72">
        <v>0</v>
      </c>
      <c r="K72">
        <v>0</v>
      </c>
      <c r="L72">
        <v>7.1000000000000004E-3</v>
      </c>
      <c r="M72">
        <v>9.1700000000000004E-2</v>
      </c>
      <c r="N72">
        <v>107.39879999999999</v>
      </c>
      <c r="O72" t="s">
        <v>85</v>
      </c>
      <c r="P72" t="s">
        <v>33</v>
      </c>
    </row>
    <row r="73" spans="1:16">
      <c r="A73">
        <v>47</v>
      </c>
      <c r="B73">
        <v>48.63</v>
      </c>
      <c r="C73">
        <v>0</v>
      </c>
      <c r="D73">
        <v>18.96</v>
      </c>
      <c r="E73">
        <v>0</v>
      </c>
      <c r="F73">
        <v>3.7400000000000003E-2</v>
      </c>
      <c r="G73">
        <v>0</v>
      </c>
      <c r="H73">
        <v>39.47</v>
      </c>
      <c r="I73">
        <v>0</v>
      </c>
      <c r="J73">
        <v>1.1599999999999999E-2</v>
      </c>
      <c r="K73">
        <v>0</v>
      </c>
      <c r="L73">
        <v>1.34E-2</v>
      </c>
      <c r="M73">
        <v>4.4499999999999998E-2</v>
      </c>
      <c r="N73">
        <v>107.16679999999999</v>
      </c>
      <c r="O73" t="s">
        <v>85</v>
      </c>
      <c r="P73" t="s">
        <v>33</v>
      </c>
    </row>
    <row r="74" spans="1:16">
      <c r="A74">
        <v>45</v>
      </c>
      <c r="B74">
        <v>48.58</v>
      </c>
      <c r="C74">
        <v>0</v>
      </c>
      <c r="D74">
        <v>19.02</v>
      </c>
      <c r="E74">
        <v>0</v>
      </c>
      <c r="F74">
        <v>0</v>
      </c>
      <c r="G74">
        <v>0</v>
      </c>
      <c r="H74">
        <v>39.57</v>
      </c>
      <c r="I74">
        <v>0</v>
      </c>
      <c r="J74">
        <v>2.07E-2</v>
      </c>
      <c r="K74">
        <v>0</v>
      </c>
      <c r="L74">
        <v>0</v>
      </c>
      <c r="M74">
        <v>8.4699999999999998E-2</v>
      </c>
      <c r="N74">
        <v>107.2754</v>
      </c>
      <c r="O74" t="s">
        <v>85</v>
      </c>
      <c r="P74" t="s">
        <v>33</v>
      </c>
    </row>
    <row r="75" spans="1:16">
      <c r="A75">
        <v>39</v>
      </c>
      <c r="B75">
        <v>48.56</v>
      </c>
      <c r="C75">
        <v>0</v>
      </c>
      <c r="D75">
        <v>19.16</v>
      </c>
      <c r="E75">
        <v>6.4000000000000003E-3</v>
      </c>
      <c r="F75">
        <v>3.8199999999999998E-2</v>
      </c>
      <c r="G75">
        <v>0</v>
      </c>
      <c r="H75">
        <v>39.090000000000003</v>
      </c>
      <c r="I75">
        <v>0</v>
      </c>
      <c r="J75">
        <v>0</v>
      </c>
      <c r="K75">
        <v>0</v>
      </c>
      <c r="L75">
        <v>1.4E-3</v>
      </c>
      <c r="M75">
        <v>8.09E-2</v>
      </c>
      <c r="N75">
        <v>106.93689999999999</v>
      </c>
      <c r="O75" t="s">
        <v>85</v>
      </c>
      <c r="P75" t="s">
        <v>33</v>
      </c>
    </row>
    <row r="76" spans="1:16">
      <c r="A76">
        <v>38</v>
      </c>
      <c r="B76">
        <v>48.47</v>
      </c>
      <c r="C76">
        <v>0</v>
      </c>
      <c r="D76">
        <v>19.16</v>
      </c>
      <c r="E76">
        <v>0</v>
      </c>
      <c r="F76">
        <v>0</v>
      </c>
      <c r="G76">
        <v>0</v>
      </c>
      <c r="H76">
        <v>39.659999999999997</v>
      </c>
      <c r="I76">
        <v>5.0000000000000001E-3</v>
      </c>
      <c r="J76">
        <v>1.83E-2</v>
      </c>
      <c r="K76">
        <v>0</v>
      </c>
      <c r="L76">
        <v>0</v>
      </c>
      <c r="M76">
        <v>6.5199999999999994E-2</v>
      </c>
      <c r="N76">
        <v>107.3785</v>
      </c>
      <c r="O76" t="s">
        <v>85</v>
      </c>
      <c r="P76" t="s">
        <v>33</v>
      </c>
    </row>
    <row r="77" spans="1:16">
      <c r="A77">
        <v>37</v>
      </c>
      <c r="B77">
        <v>48.45</v>
      </c>
      <c r="C77">
        <v>0</v>
      </c>
      <c r="D77">
        <v>19.02</v>
      </c>
      <c r="E77">
        <v>0</v>
      </c>
      <c r="F77">
        <v>0</v>
      </c>
      <c r="G77">
        <v>0</v>
      </c>
      <c r="H77">
        <v>39.68</v>
      </c>
      <c r="I77">
        <v>1.5E-3</v>
      </c>
      <c r="J77">
        <v>0</v>
      </c>
      <c r="K77">
        <v>0</v>
      </c>
      <c r="L77">
        <v>0</v>
      </c>
      <c r="M77">
        <v>8.2500000000000004E-2</v>
      </c>
      <c r="N77">
        <v>107.23390000000001</v>
      </c>
      <c r="O77" t="s">
        <v>85</v>
      </c>
      <c r="P77" t="s">
        <v>33</v>
      </c>
    </row>
    <row r="78" spans="1:16">
      <c r="A78">
        <v>42</v>
      </c>
      <c r="B78">
        <v>48.16</v>
      </c>
      <c r="C78">
        <v>0</v>
      </c>
      <c r="D78">
        <v>19.600000000000001</v>
      </c>
      <c r="E78">
        <v>0</v>
      </c>
      <c r="F78">
        <v>0</v>
      </c>
      <c r="G78">
        <v>0</v>
      </c>
      <c r="H78">
        <v>39.68</v>
      </c>
      <c r="I78">
        <v>0</v>
      </c>
      <c r="J78">
        <v>2.3E-3</v>
      </c>
      <c r="K78">
        <v>0</v>
      </c>
      <c r="L78">
        <v>1.3899999999999999E-2</v>
      </c>
      <c r="M78">
        <v>7.2599999999999998E-2</v>
      </c>
      <c r="N78">
        <v>107.5287</v>
      </c>
      <c r="O78" t="s">
        <v>85</v>
      </c>
      <c r="P78" t="s">
        <v>33</v>
      </c>
    </row>
    <row r="79" spans="1:16">
      <c r="A79">
        <v>43</v>
      </c>
      <c r="B79">
        <v>45.06</v>
      </c>
      <c r="C79">
        <v>0</v>
      </c>
      <c r="D79">
        <v>21.94</v>
      </c>
      <c r="E79">
        <v>0</v>
      </c>
      <c r="F79">
        <v>0</v>
      </c>
      <c r="G79">
        <v>5.9999999999999995E-4</v>
      </c>
      <c r="H79">
        <v>40.479999999999997</v>
      </c>
      <c r="I79">
        <v>2.5000000000000001E-3</v>
      </c>
      <c r="J79">
        <v>2.8799999999999999E-2</v>
      </c>
      <c r="K79">
        <v>0</v>
      </c>
      <c r="L79">
        <v>0</v>
      </c>
      <c r="M79">
        <v>8.1799999999999998E-2</v>
      </c>
      <c r="N79">
        <v>107.5937</v>
      </c>
      <c r="O79" t="s">
        <v>85</v>
      </c>
      <c r="P79" t="s">
        <v>33</v>
      </c>
    </row>
    <row r="80" spans="1:16">
      <c r="A80">
        <v>44</v>
      </c>
      <c r="B80">
        <v>44.55</v>
      </c>
      <c r="C80">
        <v>0</v>
      </c>
      <c r="D80">
        <v>22.11</v>
      </c>
      <c r="E80">
        <v>0</v>
      </c>
      <c r="F80">
        <v>0</v>
      </c>
      <c r="G80">
        <v>0</v>
      </c>
      <c r="H80">
        <v>40.51</v>
      </c>
      <c r="I80">
        <v>0</v>
      </c>
      <c r="J80">
        <v>5.5999999999999999E-3</v>
      </c>
      <c r="K80">
        <v>0</v>
      </c>
      <c r="L80">
        <v>0</v>
      </c>
      <c r="M80">
        <v>9.5500000000000002E-2</v>
      </c>
      <c r="N80">
        <v>107.271</v>
      </c>
      <c r="O80" t="s">
        <v>85</v>
      </c>
      <c r="P80" t="s">
        <v>33</v>
      </c>
    </row>
    <row r="81" spans="1:16">
      <c r="A81">
        <v>122</v>
      </c>
      <c r="B81">
        <v>44.92</v>
      </c>
      <c r="C81">
        <v>0</v>
      </c>
      <c r="D81">
        <v>20.9</v>
      </c>
      <c r="E81">
        <v>1.41E-2</v>
      </c>
      <c r="F81">
        <v>0.26429999999999998</v>
      </c>
      <c r="G81">
        <v>0</v>
      </c>
      <c r="H81">
        <v>36.01</v>
      </c>
      <c r="I81">
        <v>0</v>
      </c>
      <c r="J81">
        <v>1.46E-2</v>
      </c>
      <c r="K81">
        <v>0</v>
      </c>
      <c r="L81">
        <v>0</v>
      </c>
      <c r="M81">
        <v>8.1100000000000005E-2</v>
      </c>
      <c r="N81">
        <v>102.20399999999999</v>
      </c>
      <c r="O81" t="s">
        <v>86</v>
      </c>
      <c r="P81" t="s">
        <v>24</v>
      </c>
    </row>
    <row r="82" spans="1:16">
      <c r="A82">
        <v>117</v>
      </c>
      <c r="B82">
        <v>45.91</v>
      </c>
      <c r="C82">
        <v>0</v>
      </c>
      <c r="D82">
        <v>20.48</v>
      </c>
      <c r="E82">
        <v>2.1700000000000001E-2</v>
      </c>
      <c r="F82">
        <v>0.13300000000000001</v>
      </c>
      <c r="G82">
        <v>0</v>
      </c>
      <c r="H82">
        <v>35.71</v>
      </c>
      <c r="I82">
        <v>0</v>
      </c>
      <c r="J82">
        <v>2.8E-3</v>
      </c>
      <c r="K82">
        <v>0</v>
      </c>
      <c r="L82">
        <v>5.9999999999999995E-4</v>
      </c>
      <c r="M82">
        <v>9.9099999999999994E-2</v>
      </c>
      <c r="N82">
        <v>102.3571</v>
      </c>
      <c r="O82" t="s">
        <v>86</v>
      </c>
      <c r="P82" t="s">
        <v>24</v>
      </c>
    </row>
    <row r="83" spans="1:16">
      <c r="A83">
        <v>102</v>
      </c>
      <c r="B83">
        <v>46.47</v>
      </c>
      <c r="C83">
        <v>0</v>
      </c>
      <c r="D83">
        <v>20.02</v>
      </c>
      <c r="E83">
        <v>0</v>
      </c>
      <c r="F83">
        <v>2.5000000000000001E-2</v>
      </c>
      <c r="G83">
        <v>0</v>
      </c>
      <c r="H83">
        <v>35.67</v>
      </c>
      <c r="I83">
        <v>0</v>
      </c>
      <c r="J83">
        <v>2.3999999999999998E-3</v>
      </c>
      <c r="K83">
        <v>0</v>
      </c>
      <c r="L83">
        <v>0</v>
      </c>
      <c r="M83">
        <v>7.4499999999999997E-2</v>
      </c>
      <c r="N83">
        <v>102.2619</v>
      </c>
      <c r="O83" t="s">
        <v>86</v>
      </c>
      <c r="P83" t="s">
        <v>24</v>
      </c>
    </row>
    <row r="84" spans="1:16">
      <c r="A84">
        <v>105</v>
      </c>
      <c r="B84">
        <v>46.75</v>
      </c>
      <c r="C84">
        <v>0</v>
      </c>
      <c r="D84">
        <v>19.989999999999998</v>
      </c>
      <c r="E84">
        <v>0</v>
      </c>
      <c r="F84">
        <v>4.5699999999999998E-2</v>
      </c>
      <c r="G84">
        <v>0</v>
      </c>
      <c r="H84">
        <v>35.659999999999997</v>
      </c>
      <c r="I84">
        <v>0</v>
      </c>
      <c r="J84">
        <v>6.7000000000000002E-3</v>
      </c>
      <c r="K84">
        <v>0</v>
      </c>
      <c r="L84">
        <v>0</v>
      </c>
      <c r="M84">
        <v>9.8299999999999998E-2</v>
      </c>
      <c r="N84">
        <v>102.5506</v>
      </c>
      <c r="O84" t="s">
        <v>86</v>
      </c>
      <c r="P84" t="s">
        <v>24</v>
      </c>
    </row>
    <row r="85" spans="1:16">
      <c r="A85">
        <v>116</v>
      </c>
      <c r="B85">
        <v>46.45</v>
      </c>
      <c r="C85">
        <v>0</v>
      </c>
      <c r="D85">
        <v>20.09</v>
      </c>
      <c r="E85">
        <v>6.4000000000000003E-3</v>
      </c>
      <c r="F85">
        <v>8.5500000000000007E-2</v>
      </c>
      <c r="G85">
        <v>5.0000000000000001E-4</v>
      </c>
      <c r="H85">
        <v>35.630000000000003</v>
      </c>
      <c r="I85">
        <v>0</v>
      </c>
      <c r="J85">
        <v>0</v>
      </c>
      <c r="K85">
        <v>0</v>
      </c>
      <c r="L85">
        <v>0</v>
      </c>
      <c r="M85">
        <v>6.9699999999999998E-2</v>
      </c>
      <c r="N85">
        <v>102.3321</v>
      </c>
      <c r="O85" t="s">
        <v>86</v>
      </c>
      <c r="P85" t="s">
        <v>24</v>
      </c>
    </row>
    <row r="86" spans="1:16">
      <c r="A86">
        <v>103</v>
      </c>
      <c r="B86">
        <v>45.29</v>
      </c>
      <c r="C86">
        <v>0</v>
      </c>
      <c r="D86">
        <v>19.920000000000002</v>
      </c>
      <c r="E86">
        <v>1.01E-2</v>
      </c>
      <c r="F86">
        <v>0.71079999999999999</v>
      </c>
      <c r="G86">
        <v>0</v>
      </c>
      <c r="H86">
        <v>35.590000000000003</v>
      </c>
      <c r="I86">
        <v>0</v>
      </c>
      <c r="J86">
        <v>5.4999999999999997E-3</v>
      </c>
      <c r="K86">
        <v>0</v>
      </c>
      <c r="L86">
        <v>0</v>
      </c>
      <c r="M86">
        <v>7.4099999999999999E-2</v>
      </c>
      <c r="N86">
        <v>101.60039999999999</v>
      </c>
      <c r="O86" t="s">
        <v>86</v>
      </c>
      <c r="P86" t="s">
        <v>24</v>
      </c>
    </row>
    <row r="87" spans="1:16">
      <c r="A87">
        <v>118</v>
      </c>
      <c r="B87">
        <v>46.35</v>
      </c>
      <c r="C87">
        <v>0</v>
      </c>
      <c r="D87">
        <v>19.93</v>
      </c>
      <c r="E87">
        <v>9.7999999999999997E-3</v>
      </c>
      <c r="F87">
        <v>7.6799999999999993E-2</v>
      </c>
      <c r="G87">
        <v>0</v>
      </c>
      <c r="H87">
        <v>35.47</v>
      </c>
      <c r="I87">
        <v>0</v>
      </c>
      <c r="J87">
        <v>8.5000000000000006E-3</v>
      </c>
      <c r="K87">
        <v>0</v>
      </c>
      <c r="L87">
        <v>0</v>
      </c>
      <c r="M87">
        <v>8.0199999999999994E-2</v>
      </c>
      <c r="N87">
        <v>101.9252</v>
      </c>
      <c r="O87" t="s">
        <v>86</v>
      </c>
      <c r="P87" t="s">
        <v>24</v>
      </c>
    </row>
    <row r="88" spans="1:16">
      <c r="A88">
        <v>120</v>
      </c>
      <c r="B88">
        <v>46.46</v>
      </c>
      <c r="C88">
        <v>0</v>
      </c>
      <c r="D88">
        <v>19.45</v>
      </c>
      <c r="E88">
        <v>0</v>
      </c>
      <c r="F88">
        <v>0.16539999999999999</v>
      </c>
      <c r="G88">
        <v>0</v>
      </c>
      <c r="H88">
        <v>35.07</v>
      </c>
      <c r="I88">
        <v>0</v>
      </c>
      <c r="J88">
        <v>0</v>
      </c>
      <c r="K88">
        <v>0</v>
      </c>
      <c r="L88">
        <v>0</v>
      </c>
      <c r="M88">
        <v>6.4299999999999996E-2</v>
      </c>
      <c r="N88">
        <v>101.20959999999999</v>
      </c>
      <c r="O88" t="s">
        <v>86</v>
      </c>
      <c r="P88" t="s">
        <v>24</v>
      </c>
    </row>
    <row r="89" spans="1:16">
      <c r="A89">
        <v>104</v>
      </c>
      <c r="B89">
        <v>47.64</v>
      </c>
      <c r="C89">
        <v>0</v>
      </c>
      <c r="D89">
        <v>18.62</v>
      </c>
      <c r="E89">
        <v>1.67E-2</v>
      </c>
      <c r="F89">
        <v>0.2034</v>
      </c>
      <c r="G89">
        <v>0</v>
      </c>
      <c r="H89">
        <v>32.67</v>
      </c>
      <c r="I89">
        <v>0</v>
      </c>
      <c r="J89">
        <v>0</v>
      </c>
      <c r="K89">
        <v>0</v>
      </c>
      <c r="L89">
        <v>0</v>
      </c>
      <c r="M89">
        <v>5.3999999999999999E-2</v>
      </c>
      <c r="N89">
        <v>99.2042</v>
      </c>
      <c r="O89" t="s">
        <v>86</v>
      </c>
      <c r="P89" t="s">
        <v>24</v>
      </c>
    </row>
    <row r="90" spans="1:16">
      <c r="A90">
        <v>119</v>
      </c>
      <c r="B90">
        <v>48.19</v>
      </c>
      <c r="C90">
        <v>0</v>
      </c>
      <c r="D90">
        <v>17.82</v>
      </c>
      <c r="E90">
        <v>2.0999999999999999E-3</v>
      </c>
      <c r="F90">
        <v>0.26550000000000001</v>
      </c>
      <c r="G90">
        <v>0</v>
      </c>
      <c r="H90">
        <v>29.69</v>
      </c>
      <c r="I90">
        <v>0</v>
      </c>
      <c r="J90">
        <v>0</v>
      </c>
      <c r="K90">
        <v>0</v>
      </c>
      <c r="L90">
        <v>0</v>
      </c>
      <c r="M90">
        <v>5.7099999999999998E-2</v>
      </c>
      <c r="N90">
        <v>96.024699999999996</v>
      </c>
      <c r="O90" t="s">
        <v>86</v>
      </c>
      <c r="P90" t="s">
        <v>24</v>
      </c>
    </row>
    <row r="91" spans="1:16">
      <c r="A91">
        <v>61</v>
      </c>
      <c r="B91">
        <v>46.67</v>
      </c>
      <c r="C91">
        <v>0</v>
      </c>
      <c r="D91">
        <v>20.58</v>
      </c>
      <c r="E91">
        <v>0</v>
      </c>
      <c r="F91">
        <v>2.3300000000000001E-2</v>
      </c>
      <c r="G91">
        <v>0</v>
      </c>
      <c r="H91">
        <v>36.18</v>
      </c>
      <c r="I91">
        <v>0</v>
      </c>
      <c r="J91">
        <v>0.14380000000000001</v>
      </c>
      <c r="K91">
        <v>0</v>
      </c>
      <c r="L91">
        <v>1.84E-2</v>
      </c>
      <c r="M91">
        <v>7.7100000000000002E-2</v>
      </c>
      <c r="N91">
        <v>103.6926</v>
      </c>
      <c r="O91" t="s">
        <v>87</v>
      </c>
      <c r="P91" t="s">
        <v>24</v>
      </c>
    </row>
    <row r="92" spans="1:16">
      <c r="A92">
        <v>60</v>
      </c>
      <c r="B92">
        <v>46.7</v>
      </c>
      <c r="C92">
        <v>0</v>
      </c>
      <c r="D92">
        <v>20.3</v>
      </c>
      <c r="E92">
        <v>5.1000000000000004E-3</v>
      </c>
      <c r="F92">
        <v>4.0599999999999997E-2</v>
      </c>
      <c r="G92">
        <v>0</v>
      </c>
      <c r="H92">
        <v>36.159999999999997</v>
      </c>
      <c r="I92">
        <v>0</v>
      </c>
      <c r="J92">
        <v>4.99E-2</v>
      </c>
      <c r="K92">
        <v>0</v>
      </c>
      <c r="L92">
        <v>2.8999999999999998E-3</v>
      </c>
      <c r="M92">
        <v>7.5300000000000006E-2</v>
      </c>
      <c r="N92">
        <v>103.33369999999999</v>
      </c>
      <c r="O92" t="s">
        <v>87</v>
      </c>
      <c r="P92" t="s">
        <v>24</v>
      </c>
    </row>
    <row r="93" spans="1:16">
      <c r="A93">
        <v>67</v>
      </c>
      <c r="B93">
        <v>45.92</v>
      </c>
      <c r="C93">
        <v>0</v>
      </c>
      <c r="D93">
        <v>21</v>
      </c>
      <c r="E93">
        <v>7.6E-3</v>
      </c>
      <c r="F93">
        <v>3.7699999999999997E-2</v>
      </c>
      <c r="G93">
        <v>0</v>
      </c>
      <c r="H93">
        <v>36.14</v>
      </c>
      <c r="I93">
        <v>0</v>
      </c>
      <c r="J93">
        <v>1.6999999999999999E-3</v>
      </c>
      <c r="K93">
        <v>0</v>
      </c>
      <c r="L93">
        <v>0</v>
      </c>
      <c r="M93">
        <v>5.7299999999999997E-2</v>
      </c>
      <c r="N93">
        <v>103.16419999999999</v>
      </c>
      <c r="O93" t="s">
        <v>87</v>
      </c>
      <c r="P93" t="s">
        <v>24</v>
      </c>
    </row>
    <row r="94" spans="1:16">
      <c r="A94">
        <v>68</v>
      </c>
      <c r="B94">
        <v>46.64</v>
      </c>
      <c r="C94">
        <v>0</v>
      </c>
      <c r="D94">
        <v>20.62</v>
      </c>
      <c r="E94">
        <v>4.0000000000000002E-4</v>
      </c>
      <c r="F94">
        <v>4.48E-2</v>
      </c>
      <c r="G94">
        <v>0</v>
      </c>
      <c r="H94">
        <v>36</v>
      </c>
      <c r="I94">
        <v>0</v>
      </c>
      <c r="J94">
        <v>2.2000000000000001E-3</v>
      </c>
      <c r="K94">
        <v>0</v>
      </c>
      <c r="L94">
        <v>0</v>
      </c>
      <c r="M94">
        <v>5.8099999999999999E-2</v>
      </c>
      <c r="N94">
        <v>103.36539999999999</v>
      </c>
      <c r="O94" t="s">
        <v>87</v>
      </c>
      <c r="P94" t="s">
        <v>24</v>
      </c>
    </row>
    <row r="95" spans="1:16">
      <c r="A95">
        <v>91</v>
      </c>
      <c r="B95">
        <v>46.41</v>
      </c>
      <c r="C95">
        <v>0</v>
      </c>
      <c r="D95">
        <v>19.899999999999999</v>
      </c>
      <c r="E95">
        <v>7.4000000000000003E-3</v>
      </c>
      <c r="F95">
        <v>4.0500000000000001E-2</v>
      </c>
      <c r="G95">
        <v>0</v>
      </c>
      <c r="H95">
        <v>36.07</v>
      </c>
      <c r="I95">
        <v>0</v>
      </c>
      <c r="J95">
        <v>0</v>
      </c>
      <c r="K95">
        <v>0</v>
      </c>
      <c r="L95">
        <v>4.3E-3</v>
      </c>
      <c r="M95">
        <v>8.48E-2</v>
      </c>
      <c r="N95">
        <v>102.51690000000001</v>
      </c>
      <c r="O95" t="s">
        <v>88</v>
      </c>
      <c r="P95" t="s">
        <v>24</v>
      </c>
    </row>
    <row r="96" spans="1:16">
      <c r="A96">
        <v>12</v>
      </c>
      <c r="B96">
        <v>46.64</v>
      </c>
      <c r="C96">
        <v>0</v>
      </c>
      <c r="D96">
        <v>20.74</v>
      </c>
      <c r="E96">
        <v>2.0999999999999999E-3</v>
      </c>
      <c r="F96">
        <v>4.1999999999999997E-3</v>
      </c>
      <c r="G96">
        <v>0</v>
      </c>
      <c r="H96">
        <v>36.28</v>
      </c>
      <c r="I96">
        <v>0</v>
      </c>
      <c r="J96">
        <v>0</v>
      </c>
      <c r="K96">
        <v>0</v>
      </c>
      <c r="L96">
        <v>0</v>
      </c>
      <c r="M96">
        <v>0.1111</v>
      </c>
      <c r="N96">
        <v>103.7773</v>
      </c>
      <c r="O96" t="s">
        <v>89</v>
      </c>
      <c r="P96" t="s">
        <v>24</v>
      </c>
    </row>
    <row r="97" spans="1:16">
      <c r="A97">
        <v>16</v>
      </c>
      <c r="B97">
        <v>46.18</v>
      </c>
      <c r="C97">
        <v>0</v>
      </c>
      <c r="D97">
        <v>20.43</v>
      </c>
      <c r="E97">
        <v>1.34E-2</v>
      </c>
      <c r="F97">
        <v>0</v>
      </c>
      <c r="G97">
        <v>0</v>
      </c>
      <c r="H97">
        <v>36.159999999999997</v>
      </c>
      <c r="I97">
        <v>0</v>
      </c>
      <c r="J97">
        <v>3.4700000000000002E-2</v>
      </c>
      <c r="K97">
        <v>0</v>
      </c>
      <c r="L97">
        <v>0</v>
      </c>
      <c r="M97">
        <v>8.5599999999999996E-2</v>
      </c>
      <c r="N97">
        <v>102.9036</v>
      </c>
      <c r="O97" t="s">
        <v>89</v>
      </c>
      <c r="P97" t="s">
        <v>24</v>
      </c>
    </row>
    <row r="98" spans="1:16">
      <c r="A98">
        <v>17</v>
      </c>
      <c r="B98">
        <v>46.62</v>
      </c>
      <c r="C98">
        <v>0</v>
      </c>
      <c r="D98">
        <v>20.350000000000001</v>
      </c>
      <c r="E98">
        <v>0</v>
      </c>
      <c r="F98">
        <v>3.0599999999999999E-2</v>
      </c>
      <c r="G98">
        <v>0</v>
      </c>
      <c r="H98">
        <v>36.159999999999997</v>
      </c>
      <c r="I98">
        <v>2.3E-3</v>
      </c>
      <c r="J98">
        <v>0</v>
      </c>
      <c r="K98">
        <v>0</v>
      </c>
      <c r="L98">
        <v>0</v>
      </c>
      <c r="M98">
        <v>8.1500000000000003E-2</v>
      </c>
      <c r="N98">
        <v>103.2443</v>
      </c>
      <c r="O98" t="s">
        <v>89</v>
      </c>
      <c r="P98" t="s">
        <v>24</v>
      </c>
    </row>
    <row r="99" spans="1:16">
      <c r="A99">
        <v>10</v>
      </c>
      <c r="B99">
        <v>47.15</v>
      </c>
      <c r="C99">
        <v>0</v>
      </c>
      <c r="D99">
        <v>20.28</v>
      </c>
      <c r="E99">
        <v>3.2000000000000002E-3</v>
      </c>
      <c r="F99">
        <v>8.8400000000000006E-2</v>
      </c>
      <c r="G99">
        <v>0</v>
      </c>
      <c r="H99">
        <v>35.64</v>
      </c>
      <c r="I99">
        <v>0</v>
      </c>
      <c r="J99">
        <v>5.79E-2</v>
      </c>
      <c r="K99">
        <v>0</v>
      </c>
      <c r="L99">
        <v>0.33510000000000001</v>
      </c>
      <c r="M99">
        <v>8.5900000000000004E-2</v>
      </c>
      <c r="N99">
        <v>103.6404</v>
      </c>
      <c r="O99" t="s">
        <v>89</v>
      </c>
      <c r="P99" t="s">
        <v>24</v>
      </c>
    </row>
    <row r="100" spans="1:16">
      <c r="A100">
        <v>32</v>
      </c>
      <c r="B100">
        <v>46.1</v>
      </c>
      <c r="C100">
        <v>0</v>
      </c>
      <c r="D100">
        <v>20.54</v>
      </c>
      <c r="E100">
        <v>2.7000000000000001E-3</v>
      </c>
      <c r="F100">
        <v>1.6899999999999998E-2</v>
      </c>
      <c r="G100">
        <v>0</v>
      </c>
      <c r="H100">
        <v>35.619999999999997</v>
      </c>
      <c r="I100">
        <v>0</v>
      </c>
      <c r="J100">
        <v>8.6E-3</v>
      </c>
      <c r="K100">
        <v>0</v>
      </c>
      <c r="L100">
        <v>0</v>
      </c>
      <c r="M100">
        <v>8.6699999999999999E-2</v>
      </c>
      <c r="N100">
        <v>102.37479999999999</v>
      </c>
      <c r="O100" t="s">
        <v>89</v>
      </c>
      <c r="P100" t="s">
        <v>24</v>
      </c>
    </row>
    <row r="101" spans="1:16">
      <c r="A101">
        <v>31</v>
      </c>
      <c r="B101">
        <v>47</v>
      </c>
      <c r="C101">
        <v>0</v>
      </c>
      <c r="D101">
        <v>20.059999999999999</v>
      </c>
      <c r="E101">
        <v>1.2200000000000001E-2</v>
      </c>
      <c r="F101">
        <v>1.55E-2</v>
      </c>
      <c r="G101">
        <v>0</v>
      </c>
      <c r="H101">
        <v>35.53</v>
      </c>
      <c r="I101">
        <v>0</v>
      </c>
      <c r="J101">
        <v>0</v>
      </c>
      <c r="K101">
        <v>0</v>
      </c>
      <c r="L101">
        <v>3.2300000000000002E-2</v>
      </c>
      <c r="M101">
        <v>6.2199999999999998E-2</v>
      </c>
      <c r="N101">
        <v>102.7122</v>
      </c>
      <c r="O101" t="s">
        <v>89</v>
      </c>
      <c r="P101" t="s">
        <v>24</v>
      </c>
    </row>
    <row r="102" spans="1:16">
      <c r="A102">
        <v>11</v>
      </c>
      <c r="B102">
        <v>46.72</v>
      </c>
      <c r="C102">
        <v>0</v>
      </c>
      <c r="D102">
        <v>20.21</v>
      </c>
      <c r="E102">
        <v>1.5800000000000002E-2</v>
      </c>
      <c r="F102">
        <v>0</v>
      </c>
      <c r="G102">
        <v>0</v>
      </c>
      <c r="H102">
        <v>35.409999999999997</v>
      </c>
      <c r="I102">
        <v>0</v>
      </c>
      <c r="J102">
        <v>0</v>
      </c>
      <c r="K102">
        <v>0</v>
      </c>
      <c r="L102">
        <v>1.4800000000000001E-2</v>
      </c>
      <c r="M102">
        <v>5.74E-2</v>
      </c>
      <c r="N102">
        <v>102.428</v>
      </c>
      <c r="O102" t="s">
        <v>89</v>
      </c>
      <c r="P102" t="s">
        <v>24</v>
      </c>
    </row>
    <row r="103" spans="1:16">
      <c r="A103">
        <v>104</v>
      </c>
      <c r="B103">
        <v>47.32</v>
      </c>
      <c r="C103">
        <v>0</v>
      </c>
      <c r="D103">
        <v>19.39</v>
      </c>
      <c r="E103">
        <v>0</v>
      </c>
      <c r="F103">
        <v>9.2999999999999992E-3</v>
      </c>
      <c r="G103">
        <v>0</v>
      </c>
      <c r="H103">
        <v>35.32</v>
      </c>
      <c r="I103">
        <v>2.0999999999999999E-3</v>
      </c>
      <c r="J103">
        <v>1.78E-2</v>
      </c>
      <c r="K103">
        <v>0</v>
      </c>
      <c r="L103">
        <v>6.4000000000000003E-3</v>
      </c>
      <c r="M103">
        <v>8.9499999999999996E-2</v>
      </c>
      <c r="N103">
        <v>102.155</v>
      </c>
      <c r="O103" t="s">
        <v>90</v>
      </c>
      <c r="P103" t="s">
        <v>24</v>
      </c>
    </row>
    <row r="104" spans="1:16">
      <c r="A104">
        <v>102</v>
      </c>
      <c r="B104">
        <v>45.72</v>
      </c>
      <c r="C104">
        <v>0</v>
      </c>
      <c r="D104">
        <v>20.55</v>
      </c>
      <c r="E104">
        <v>7.4999999999999997E-3</v>
      </c>
      <c r="F104">
        <v>8.5000000000000006E-3</v>
      </c>
      <c r="G104">
        <v>0</v>
      </c>
      <c r="H104">
        <v>35.21</v>
      </c>
      <c r="I104">
        <v>0</v>
      </c>
      <c r="J104">
        <v>5.5999999999999999E-3</v>
      </c>
      <c r="K104">
        <v>0</v>
      </c>
      <c r="L104">
        <v>1.52E-2</v>
      </c>
      <c r="M104">
        <v>0.1137</v>
      </c>
      <c r="N104">
        <v>101.63039999999999</v>
      </c>
      <c r="O104" t="s">
        <v>90</v>
      </c>
      <c r="P104" t="s">
        <v>24</v>
      </c>
    </row>
    <row r="105" spans="1:16">
      <c r="A105">
        <v>103</v>
      </c>
      <c r="B105">
        <v>47.92</v>
      </c>
      <c r="C105">
        <v>0</v>
      </c>
      <c r="D105">
        <v>19.02</v>
      </c>
      <c r="E105">
        <v>1.8E-3</v>
      </c>
      <c r="F105">
        <v>2.1499999999999998E-2</v>
      </c>
      <c r="G105">
        <v>0</v>
      </c>
      <c r="H105">
        <v>35.020000000000003</v>
      </c>
      <c r="I105">
        <v>0</v>
      </c>
      <c r="J105">
        <v>3.6499999999999998E-2</v>
      </c>
      <c r="K105">
        <v>0</v>
      </c>
      <c r="L105">
        <v>0</v>
      </c>
      <c r="M105">
        <v>8.5400000000000004E-2</v>
      </c>
      <c r="N105">
        <v>102.1052</v>
      </c>
      <c r="O105" t="s">
        <v>90</v>
      </c>
      <c r="P105" t="s">
        <v>24</v>
      </c>
    </row>
    <row r="106" spans="1:16">
      <c r="A106">
        <v>101</v>
      </c>
      <c r="B106">
        <v>47</v>
      </c>
      <c r="C106">
        <v>0</v>
      </c>
      <c r="D106">
        <v>19.43</v>
      </c>
      <c r="E106">
        <v>0</v>
      </c>
      <c r="F106">
        <v>3.0800000000000001E-2</v>
      </c>
      <c r="G106">
        <v>0</v>
      </c>
      <c r="H106">
        <v>34.83</v>
      </c>
      <c r="I106">
        <v>0</v>
      </c>
      <c r="J106">
        <v>0</v>
      </c>
      <c r="K106">
        <v>0</v>
      </c>
      <c r="L106">
        <v>0</v>
      </c>
      <c r="M106">
        <v>7.5700000000000003E-2</v>
      </c>
      <c r="N106">
        <v>101.3664</v>
      </c>
      <c r="O106" t="s">
        <v>90</v>
      </c>
      <c r="P106" t="s">
        <v>24</v>
      </c>
    </row>
    <row r="107" spans="1:16">
      <c r="A107">
        <v>110</v>
      </c>
      <c r="B107">
        <v>47.41</v>
      </c>
      <c r="C107">
        <v>0</v>
      </c>
      <c r="D107">
        <v>19.47</v>
      </c>
      <c r="E107">
        <v>1.17E-2</v>
      </c>
      <c r="F107">
        <v>1.78E-2</v>
      </c>
      <c r="G107">
        <v>0</v>
      </c>
      <c r="H107">
        <v>35.17</v>
      </c>
      <c r="I107">
        <v>0</v>
      </c>
      <c r="J107">
        <v>0</v>
      </c>
      <c r="K107">
        <v>0</v>
      </c>
      <c r="L107">
        <v>0</v>
      </c>
      <c r="M107">
        <v>6.88E-2</v>
      </c>
      <c r="N107">
        <v>102.1482</v>
      </c>
      <c r="O107" t="s">
        <v>91</v>
      </c>
      <c r="P107" t="s">
        <v>24</v>
      </c>
    </row>
    <row r="108" spans="1:16">
      <c r="A108">
        <v>109</v>
      </c>
      <c r="B108">
        <v>47.16</v>
      </c>
      <c r="C108">
        <v>0</v>
      </c>
      <c r="D108">
        <v>19.64</v>
      </c>
      <c r="E108">
        <v>0</v>
      </c>
      <c r="F108">
        <v>1.18E-2</v>
      </c>
      <c r="G108">
        <v>0</v>
      </c>
      <c r="H108">
        <v>34.89</v>
      </c>
      <c r="I108">
        <v>0</v>
      </c>
      <c r="J108">
        <v>6.3E-3</v>
      </c>
      <c r="K108">
        <v>0</v>
      </c>
      <c r="L108">
        <v>0</v>
      </c>
      <c r="M108">
        <v>8.2600000000000007E-2</v>
      </c>
      <c r="N108">
        <v>101.7907</v>
      </c>
      <c r="O108" t="s">
        <v>91</v>
      </c>
      <c r="P108" t="s">
        <v>24</v>
      </c>
    </row>
    <row r="109" spans="1:16">
      <c r="A109">
        <v>105</v>
      </c>
      <c r="B109">
        <v>47.87</v>
      </c>
      <c r="C109">
        <v>0</v>
      </c>
      <c r="D109">
        <v>19.739999999999998</v>
      </c>
      <c r="E109">
        <v>0</v>
      </c>
      <c r="F109">
        <v>2E-3</v>
      </c>
      <c r="G109">
        <v>0</v>
      </c>
      <c r="H109">
        <v>36.61</v>
      </c>
      <c r="I109">
        <v>0</v>
      </c>
      <c r="J109">
        <v>1.43E-2</v>
      </c>
      <c r="K109">
        <v>0</v>
      </c>
      <c r="L109">
        <v>0</v>
      </c>
      <c r="M109">
        <v>7.17E-2</v>
      </c>
      <c r="N109">
        <v>104.3079</v>
      </c>
      <c r="O109" t="s">
        <v>92</v>
      </c>
      <c r="P109" t="s">
        <v>24</v>
      </c>
    </row>
    <row r="110" spans="1:16">
      <c r="A110">
        <v>106</v>
      </c>
      <c r="B110">
        <v>47.93</v>
      </c>
      <c r="C110">
        <v>0</v>
      </c>
      <c r="D110">
        <v>19.73</v>
      </c>
      <c r="E110">
        <v>0</v>
      </c>
      <c r="F110">
        <v>0</v>
      </c>
      <c r="G110">
        <v>0</v>
      </c>
      <c r="H110">
        <v>36.35</v>
      </c>
      <c r="I110">
        <v>0</v>
      </c>
      <c r="J110">
        <v>0</v>
      </c>
      <c r="K110">
        <v>0</v>
      </c>
      <c r="L110">
        <v>3.2000000000000001E-2</v>
      </c>
      <c r="M110">
        <v>6.7100000000000007E-2</v>
      </c>
      <c r="N110">
        <v>104.10899999999999</v>
      </c>
      <c r="O110" t="s">
        <v>92</v>
      </c>
      <c r="P110" t="s">
        <v>24</v>
      </c>
    </row>
    <row r="111" spans="1:16">
      <c r="A111">
        <v>107</v>
      </c>
      <c r="B111">
        <v>48.63</v>
      </c>
      <c r="C111">
        <v>0</v>
      </c>
      <c r="D111">
        <v>19.239999999999998</v>
      </c>
      <c r="E111">
        <v>2.9999999999999997E-4</v>
      </c>
      <c r="F111">
        <v>1.24E-2</v>
      </c>
      <c r="G111">
        <v>0</v>
      </c>
      <c r="H111">
        <v>36.15</v>
      </c>
      <c r="I111">
        <v>0</v>
      </c>
      <c r="J111">
        <v>2.3999999999999998E-3</v>
      </c>
      <c r="K111">
        <v>0</v>
      </c>
      <c r="L111">
        <v>0</v>
      </c>
      <c r="M111">
        <v>6.7699999999999996E-2</v>
      </c>
      <c r="N111">
        <v>104.1028</v>
      </c>
      <c r="O111" t="s">
        <v>92</v>
      </c>
      <c r="P111" t="s">
        <v>24</v>
      </c>
    </row>
    <row r="112" spans="1:16">
      <c r="A112">
        <v>74</v>
      </c>
      <c r="B112">
        <v>49.77</v>
      </c>
      <c r="C112">
        <v>0</v>
      </c>
      <c r="D112">
        <v>19.170000000000002</v>
      </c>
      <c r="E112">
        <v>9.4000000000000004E-3</v>
      </c>
      <c r="F112">
        <v>5.6800000000000003E-2</v>
      </c>
      <c r="G112">
        <v>0</v>
      </c>
      <c r="H112">
        <v>35.65</v>
      </c>
      <c r="I112">
        <v>0</v>
      </c>
      <c r="J112">
        <v>1.4E-3</v>
      </c>
      <c r="K112">
        <v>0</v>
      </c>
      <c r="L112">
        <v>0</v>
      </c>
      <c r="M112">
        <v>6.2100000000000002E-2</v>
      </c>
      <c r="N112">
        <v>104.7197</v>
      </c>
      <c r="O112" t="s">
        <v>93</v>
      </c>
      <c r="P112" t="s">
        <v>17</v>
      </c>
    </row>
    <row r="113" spans="1:16">
      <c r="A113">
        <v>73</v>
      </c>
      <c r="B113">
        <v>48.45</v>
      </c>
      <c r="C113">
        <v>0</v>
      </c>
      <c r="D113">
        <v>20.11</v>
      </c>
      <c r="E113">
        <v>0</v>
      </c>
      <c r="F113">
        <v>3.6900000000000002E-2</v>
      </c>
      <c r="G113">
        <v>0</v>
      </c>
      <c r="H113">
        <v>36.06</v>
      </c>
      <c r="I113">
        <v>5.0000000000000001E-4</v>
      </c>
      <c r="J113">
        <v>0</v>
      </c>
      <c r="K113">
        <v>0</v>
      </c>
      <c r="L113">
        <v>0</v>
      </c>
      <c r="M113">
        <v>6.8000000000000005E-2</v>
      </c>
      <c r="N113">
        <v>104.72539999999999</v>
      </c>
      <c r="O113" t="s">
        <v>93</v>
      </c>
      <c r="P113" t="s">
        <v>17</v>
      </c>
    </row>
    <row r="114" spans="1:16">
      <c r="A114">
        <v>72</v>
      </c>
      <c r="B114">
        <v>48.09</v>
      </c>
      <c r="C114">
        <v>0</v>
      </c>
      <c r="D114">
        <v>20.440000000000001</v>
      </c>
      <c r="E114">
        <v>0</v>
      </c>
      <c r="F114">
        <v>1.4E-3</v>
      </c>
      <c r="G114">
        <v>0</v>
      </c>
      <c r="H114">
        <v>36.21</v>
      </c>
      <c r="I114">
        <v>1.2999999999999999E-3</v>
      </c>
      <c r="J114">
        <v>0</v>
      </c>
      <c r="K114">
        <v>0</v>
      </c>
      <c r="L114">
        <v>0</v>
      </c>
      <c r="M114">
        <v>8.2900000000000001E-2</v>
      </c>
      <c r="N114">
        <v>104.82550000000001</v>
      </c>
      <c r="O114" t="s">
        <v>93</v>
      </c>
      <c r="P114" t="s">
        <v>17</v>
      </c>
    </row>
    <row r="115" spans="1:16">
      <c r="A115">
        <v>70</v>
      </c>
      <c r="B115">
        <v>47.51</v>
      </c>
      <c r="C115">
        <v>0</v>
      </c>
      <c r="D115">
        <v>20.84</v>
      </c>
      <c r="E115">
        <v>0</v>
      </c>
      <c r="F115">
        <v>4.4400000000000002E-2</v>
      </c>
      <c r="G115">
        <v>0</v>
      </c>
      <c r="H115">
        <v>36.54</v>
      </c>
      <c r="I115">
        <v>2.7000000000000001E-3</v>
      </c>
      <c r="J115">
        <v>4.0000000000000001E-3</v>
      </c>
      <c r="K115">
        <v>0</v>
      </c>
      <c r="L115">
        <v>0</v>
      </c>
      <c r="M115">
        <v>6.5100000000000005E-2</v>
      </c>
      <c r="N115">
        <v>105.0061</v>
      </c>
      <c r="O115" t="s">
        <v>93</v>
      </c>
      <c r="P115" t="s">
        <v>17</v>
      </c>
    </row>
    <row r="116" spans="1:16">
      <c r="A116">
        <v>71</v>
      </c>
      <c r="B116">
        <v>47.32</v>
      </c>
      <c r="C116">
        <v>0</v>
      </c>
      <c r="D116">
        <v>20.86</v>
      </c>
      <c r="E116">
        <v>0</v>
      </c>
      <c r="F116">
        <v>0</v>
      </c>
      <c r="G116">
        <v>0</v>
      </c>
      <c r="H116">
        <v>36.340000000000003</v>
      </c>
      <c r="I116">
        <v>0</v>
      </c>
      <c r="J116">
        <v>0</v>
      </c>
      <c r="K116">
        <v>0</v>
      </c>
      <c r="L116">
        <v>1.6999999999999999E-3</v>
      </c>
      <c r="M116">
        <v>9.0800000000000006E-2</v>
      </c>
      <c r="N116">
        <v>104.61239999999999</v>
      </c>
      <c r="O116" t="s">
        <v>93</v>
      </c>
      <c r="P116" t="s">
        <v>17</v>
      </c>
    </row>
    <row r="117" spans="1:16">
      <c r="A117">
        <v>69</v>
      </c>
      <c r="B117">
        <v>47.12</v>
      </c>
      <c r="C117">
        <v>0</v>
      </c>
      <c r="D117">
        <v>21.07</v>
      </c>
      <c r="E117">
        <v>0</v>
      </c>
      <c r="F117">
        <v>2.8999999999999998E-3</v>
      </c>
      <c r="G117">
        <v>5.0000000000000001E-4</v>
      </c>
      <c r="H117">
        <v>36.5</v>
      </c>
      <c r="I117">
        <v>0</v>
      </c>
      <c r="J117">
        <v>4.7999999999999996E-3</v>
      </c>
      <c r="K117">
        <v>0</v>
      </c>
      <c r="L117">
        <v>5.1000000000000004E-3</v>
      </c>
      <c r="M117">
        <v>0.1353</v>
      </c>
      <c r="N117">
        <v>104.8385</v>
      </c>
      <c r="O117" t="s">
        <v>93</v>
      </c>
      <c r="P117" t="s">
        <v>17</v>
      </c>
    </row>
    <row r="118" spans="1:16">
      <c r="A118">
        <v>41</v>
      </c>
      <c r="B118">
        <v>44.74</v>
      </c>
      <c r="C118">
        <v>0</v>
      </c>
      <c r="D118">
        <v>21.78</v>
      </c>
      <c r="E118">
        <v>0</v>
      </c>
      <c r="F118">
        <v>0.2014</v>
      </c>
      <c r="G118">
        <v>0</v>
      </c>
      <c r="H118">
        <v>36.33</v>
      </c>
      <c r="I118">
        <v>0</v>
      </c>
      <c r="J118">
        <v>1.18E-2</v>
      </c>
      <c r="K118">
        <v>0</v>
      </c>
      <c r="L118">
        <v>2.3E-3</v>
      </c>
      <c r="M118">
        <v>9.4600000000000004E-2</v>
      </c>
      <c r="N118">
        <v>103.16</v>
      </c>
      <c r="O118" t="s">
        <v>94</v>
      </c>
      <c r="P118" t="s">
        <v>17</v>
      </c>
    </row>
    <row r="119" spans="1:16">
      <c r="A119">
        <v>39</v>
      </c>
      <c r="B119">
        <v>45.39</v>
      </c>
      <c r="C119">
        <v>0</v>
      </c>
      <c r="D119">
        <v>21.13</v>
      </c>
      <c r="E119">
        <v>1.14E-2</v>
      </c>
      <c r="F119">
        <v>0.67910000000000004</v>
      </c>
      <c r="G119">
        <v>0</v>
      </c>
      <c r="H119">
        <v>36.26</v>
      </c>
      <c r="I119">
        <v>0</v>
      </c>
      <c r="J119">
        <v>3.8800000000000001E-2</v>
      </c>
      <c r="K119">
        <v>0</v>
      </c>
      <c r="L119">
        <v>0</v>
      </c>
      <c r="M119">
        <v>6.7699999999999996E-2</v>
      </c>
      <c r="N119">
        <v>103.57689999999999</v>
      </c>
      <c r="O119" t="s">
        <v>94</v>
      </c>
      <c r="P119" t="s">
        <v>17</v>
      </c>
    </row>
    <row r="120" spans="1:16">
      <c r="A120">
        <v>43</v>
      </c>
      <c r="B120">
        <v>45.76</v>
      </c>
      <c r="C120">
        <v>0</v>
      </c>
      <c r="D120">
        <v>21.12</v>
      </c>
      <c r="E120">
        <v>1.9E-3</v>
      </c>
      <c r="F120">
        <v>0.13139999999999999</v>
      </c>
      <c r="G120">
        <v>0</v>
      </c>
      <c r="H120">
        <v>36.229999999999997</v>
      </c>
      <c r="I120">
        <v>0</v>
      </c>
      <c r="J120">
        <v>5.8999999999999999E-3</v>
      </c>
      <c r="K120">
        <v>0</v>
      </c>
      <c r="L120">
        <v>0</v>
      </c>
      <c r="M120">
        <v>9.06E-2</v>
      </c>
      <c r="N120">
        <v>103.33969999999999</v>
      </c>
      <c r="O120" t="s">
        <v>94</v>
      </c>
      <c r="P120" t="s">
        <v>17</v>
      </c>
    </row>
    <row r="121" spans="1:16">
      <c r="A121">
        <v>40</v>
      </c>
      <c r="B121">
        <v>45.18</v>
      </c>
      <c r="C121">
        <v>0</v>
      </c>
      <c r="D121">
        <v>21.05</v>
      </c>
      <c r="E121">
        <v>7.3000000000000001E-3</v>
      </c>
      <c r="F121">
        <v>0.64400000000000002</v>
      </c>
      <c r="G121">
        <v>0</v>
      </c>
      <c r="H121">
        <v>36.119999999999997</v>
      </c>
      <c r="I121">
        <v>0</v>
      </c>
      <c r="J121">
        <v>2.2599999999999999E-2</v>
      </c>
      <c r="K121">
        <v>0</v>
      </c>
      <c r="L121">
        <v>0</v>
      </c>
      <c r="M121">
        <v>0.1003</v>
      </c>
      <c r="N121">
        <v>103.1241</v>
      </c>
      <c r="O121" t="s">
        <v>94</v>
      </c>
      <c r="P121" t="s">
        <v>17</v>
      </c>
    </row>
    <row r="122" spans="1:16">
      <c r="A122">
        <v>48</v>
      </c>
      <c r="B122">
        <v>47.93</v>
      </c>
      <c r="C122">
        <v>0</v>
      </c>
      <c r="D122">
        <v>19.43</v>
      </c>
      <c r="E122">
        <v>1.35E-2</v>
      </c>
      <c r="F122">
        <v>0.1202</v>
      </c>
      <c r="G122">
        <v>0</v>
      </c>
      <c r="H122">
        <v>35.71</v>
      </c>
      <c r="I122">
        <v>0</v>
      </c>
      <c r="J122">
        <v>4.7000000000000002E-3</v>
      </c>
      <c r="K122">
        <v>0</v>
      </c>
      <c r="L122">
        <v>0</v>
      </c>
      <c r="M122">
        <v>6.6600000000000006E-2</v>
      </c>
      <c r="N122">
        <v>103.2749</v>
      </c>
      <c r="O122" t="s">
        <v>94</v>
      </c>
      <c r="P122" t="s">
        <v>17</v>
      </c>
    </row>
    <row r="123" spans="1:16">
      <c r="A123">
        <v>42</v>
      </c>
      <c r="B123">
        <v>48.93</v>
      </c>
      <c r="C123">
        <v>0</v>
      </c>
      <c r="D123">
        <v>18.940000000000001</v>
      </c>
      <c r="E123">
        <v>0</v>
      </c>
      <c r="F123">
        <v>0</v>
      </c>
      <c r="G123">
        <v>0</v>
      </c>
      <c r="H123">
        <v>35.43</v>
      </c>
      <c r="I123">
        <v>0</v>
      </c>
      <c r="J123">
        <v>3.4700000000000002E-2</v>
      </c>
      <c r="K123">
        <v>0</v>
      </c>
      <c r="L123">
        <v>0</v>
      </c>
      <c r="M123">
        <v>4.7100000000000003E-2</v>
      </c>
      <c r="N123">
        <v>103.3817</v>
      </c>
      <c r="O123" t="s">
        <v>94</v>
      </c>
      <c r="P123" t="s">
        <v>17</v>
      </c>
    </row>
    <row r="124" spans="1:16">
      <c r="A124">
        <v>49</v>
      </c>
      <c r="B124">
        <v>47.62</v>
      </c>
      <c r="C124">
        <v>0</v>
      </c>
      <c r="D124">
        <v>19.829999999999998</v>
      </c>
      <c r="E124">
        <v>0</v>
      </c>
      <c r="F124">
        <v>3.1199999999999999E-2</v>
      </c>
      <c r="G124">
        <v>0</v>
      </c>
      <c r="H124">
        <v>35.33</v>
      </c>
      <c r="I124">
        <v>0</v>
      </c>
      <c r="J124">
        <v>1.29E-2</v>
      </c>
      <c r="K124">
        <v>0</v>
      </c>
      <c r="L124">
        <v>0</v>
      </c>
      <c r="M124">
        <v>7.9299999999999995E-2</v>
      </c>
      <c r="N124">
        <v>102.9033</v>
      </c>
      <c r="O124" t="s">
        <v>94</v>
      </c>
      <c r="P124" t="s">
        <v>17</v>
      </c>
    </row>
    <row r="125" spans="1:16">
      <c r="A125">
        <v>52</v>
      </c>
      <c r="B125">
        <v>48.32</v>
      </c>
      <c r="C125">
        <v>0</v>
      </c>
      <c r="D125">
        <v>19.350000000000001</v>
      </c>
      <c r="E125">
        <v>0</v>
      </c>
      <c r="F125">
        <v>4.3799999999999999E-2</v>
      </c>
      <c r="G125">
        <v>0</v>
      </c>
      <c r="H125">
        <v>35.24</v>
      </c>
      <c r="I125">
        <v>1.8E-3</v>
      </c>
      <c r="J125">
        <v>9.1999999999999998E-3</v>
      </c>
      <c r="K125">
        <v>0</v>
      </c>
      <c r="L125">
        <v>0</v>
      </c>
      <c r="M125">
        <v>7.9699999999999993E-2</v>
      </c>
      <c r="N125">
        <v>103.0444</v>
      </c>
      <c r="O125" t="s">
        <v>94</v>
      </c>
      <c r="P125" t="s">
        <v>17</v>
      </c>
    </row>
    <row r="126" spans="1:16">
      <c r="A126">
        <v>44</v>
      </c>
      <c r="B126">
        <v>47.63</v>
      </c>
      <c r="C126">
        <v>0</v>
      </c>
      <c r="D126">
        <v>19.600000000000001</v>
      </c>
      <c r="E126">
        <v>0</v>
      </c>
      <c r="F126">
        <v>0.1404</v>
      </c>
      <c r="G126">
        <v>0</v>
      </c>
      <c r="H126">
        <v>35.15</v>
      </c>
      <c r="I126">
        <v>0</v>
      </c>
      <c r="J126">
        <v>3.2199999999999999E-2</v>
      </c>
      <c r="K126">
        <v>0</v>
      </c>
      <c r="L126">
        <v>1.03E-2</v>
      </c>
      <c r="M126">
        <v>9.0200000000000002E-2</v>
      </c>
      <c r="N126">
        <v>102.65309999999999</v>
      </c>
      <c r="O126" t="s">
        <v>94</v>
      </c>
      <c r="P126" t="s">
        <v>17</v>
      </c>
    </row>
    <row r="127" spans="1:16">
      <c r="A127">
        <v>51</v>
      </c>
      <c r="B127">
        <v>48.8</v>
      </c>
      <c r="C127">
        <v>0</v>
      </c>
      <c r="D127">
        <v>19.04</v>
      </c>
      <c r="E127">
        <v>0</v>
      </c>
      <c r="F127">
        <v>0</v>
      </c>
      <c r="G127">
        <v>0</v>
      </c>
      <c r="H127">
        <v>35.090000000000003</v>
      </c>
      <c r="I127">
        <v>0</v>
      </c>
      <c r="J127">
        <v>8.9999999999999993E-3</v>
      </c>
      <c r="K127">
        <v>0</v>
      </c>
      <c r="L127">
        <v>0</v>
      </c>
      <c r="M127">
        <v>6.6199999999999995E-2</v>
      </c>
      <c r="N127">
        <v>103.0051</v>
      </c>
      <c r="O127" t="s">
        <v>94</v>
      </c>
      <c r="P127" t="s">
        <v>17</v>
      </c>
    </row>
    <row r="128" spans="1:16">
      <c r="A128">
        <v>35</v>
      </c>
      <c r="B128">
        <v>40.75</v>
      </c>
      <c r="C128">
        <v>0</v>
      </c>
      <c r="D128">
        <v>24.48</v>
      </c>
      <c r="E128">
        <v>8.3000000000000001E-3</v>
      </c>
      <c r="F128">
        <v>1.3100000000000001E-2</v>
      </c>
      <c r="G128">
        <v>0</v>
      </c>
      <c r="H128">
        <v>36.92</v>
      </c>
      <c r="I128">
        <v>0</v>
      </c>
      <c r="J128">
        <v>9.5999999999999992E-3</v>
      </c>
      <c r="K128">
        <v>0</v>
      </c>
      <c r="L128">
        <v>0</v>
      </c>
      <c r="M128">
        <v>0.10580000000000001</v>
      </c>
      <c r="N128">
        <v>102.2867</v>
      </c>
      <c r="O128" t="s">
        <v>95</v>
      </c>
    </row>
    <row r="129" spans="1:16">
      <c r="A129">
        <v>72</v>
      </c>
      <c r="B129">
        <v>46.28</v>
      </c>
      <c r="C129">
        <v>0</v>
      </c>
      <c r="D129">
        <v>20.440000000000001</v>
      </c>
      <c r="E129">
        <v>0</v>
      </c>
      <c r="F129">
        <v>5.9999999999999995E-4</v>
      </c>
      <c r="G129">
        <v>0</v>
      </c>
      <c r="H129">
        <v>39.47</v>
      </c>
      <c r="I129">
        <v>0</v>
      </c>
      <c r="J129">
        <v>5.1999999999999998E-3</v>
      </c>
      <c r="K129">
        <v>0</v>
      </c>
      <c r="L129">
        <v>0</v>
      </c>
      <c r="M129">
        <v>9.6500000000000002E-2</v>
      </c>
      <c r="N129">
        <v>106.2923</v>
      </c>
      <c r="O129" t="s">
        <v>96</v>
      </c>
      <c r="P129" t="s">
        <v>24</v>
      </c>
    </row>
    <row r="130" spans="1:16">
      <c r="A130">
        <v>73</v>
      </c>
      <c r="B130">
        <v>46.26</v>
      </c>
      <c r="C130">
        <v>0</v>
      </c>
      <c r="D130">
        <v>20.16</v>
      </c>
      <c r="E130">
        <v>1.4E-3</v>
      </c>
      <c r="F130">
        <v>1.6400000000000001E-2</v>
      </c>
      <c r="G130">
        <v>0</v>
      </c>
      <c r="H130">
        <v>39.35</v>
      </c>
      <c r="I130">
        <v>0</v>
      </c>
      <c r="J130">
        <v>0</v>
      </c>
      <c r="K130">
        <v>0</v>
      </c>
      <c r="L130">
        <v>7.9000000000000008E-3</v>
      </c>
      <c r="M130">
        <v>0.1014</v>
      </c>
      <c r="N130">
        <v>105.89700000000001</v>
      </c>
      <c r="O130" t="s">
        <v>96</v>
      </c>
      <c r="P130" t="s">
        <v>24</v>
      </c>
    </row>
    <row r="131" spans="1:16">
      <c r="A131">
        <v>60</v>
      </c>
      <c r="B131">
        <v>45.9</v>
      </c>
      <c r="C131">
        <v>0</v>
      </c>
      <c r="D131">
        <v>20.440000000000001</v>
      </c>
      <c r="E131">
        <v>7.7000000000000002E-3</v>
      </c>
      <c r="F131">
        <v>3.5499999999999997E-2</v>
      </c>
      <c r="G131">
        <v>0</v>
      </c>
      <c r="H131">
        <v>39.29</v>
      </c>
      <c r="I131">
        <v>0</v>
      </c>
      <c r="J131">
        <v>0</v>
      </c>
      <c r="K131">
        <v>0</v>
      </c>
      <c r="L131">
        <v>6.1999999999999998E-3</v>
      </c>
      <c r="M131">
        <v>8.4000000000000005E-2</v>
      </c>
      <c r="N131">
        <v>105.7634</v>
      </c>
      <c r="O131" t="s">
        <v>96</v>
      </c>
      <c r="P131" t="s">
        <v>24</v>
      </c>
    </row>
    <row r="132" spans="1:16">
      <c r="A132">
        <v>65</v>
      </c>
      <c r="B132">
        <v>46.69</v>
      </c>
      <c r="C132">
        <v>0</v>
      </c>
      <c r="D132">
        <v>19.989999999999998</v>
      </c>
      <c r="E132">
        <v>1.4E-3</v>
      </c>
      <c r="F132">
        <v>8.8000000000000005E-3</v>
      </c>
      <c r="G132">
        <v>0</v>
      </c>
      <c r="H132">
        <v>39.14</v>
      </c>
      <c r="I132">
        <v>0</v>
      </c>
      <c r="J132">
        <v>0</v>
      </c>
      <c r="K132">
        <v>0</v>
      </c>
      <c r="L132">
        <v>0</v>
      </c>
      <c r="M132">
        <v>9.35E-2</v>
      </c>
      <c r="N132">
        <v>105.92359999999999</v>
      </c>
      <c r="O132" t="s">
        <v>96</v>
      </c>
      <c r="P132" t="s">
        <v>24</v>
      </c>
    </row>
    <row r="133" spans="1:16">
      <c r="A133">
        <v>70</v>
      </c>
      <c r="B133">
        <v>46.43</v>
      </c>
      <c r="C133">
        <v>0</v>
      </c>
      <c r="D133">
        <v>20.27</v>
      </c>
      <c r="E133">
        <v>3.5999999999999999E-3</v>
      </c>
      <c r="F133">
        <v>0</v>
      </c>
      <c r="G133">
        <v>1.4E-3</v>
      </c>
      <c r="H133">
        <v>39.119999999999997</v>
      </c>
      <c r="I133">
        <v>0</v>
      </c>
      <c r="J133">
        <v>5.0000000000000001E-3</v>
      </c>
      <c r="K133">
        <v>0</v>
      </c>
      <c r="L133">
        <v>0</v>
      </c>
      <c r="M133">
        <v>9.3100000000000002E-2</v>
      </c>
      <c r="N133">
        <v>105.923</v>
      </c>
      <c r="O133" t="s">
        <v>96</v>
      </c>
      <c r="P133" t="s">
        <v>24</v>
      </c>
    </row>
    <row r="134" spans="1:16">
      <c r="A134">
        <v>45</v>
      </c>
      <c r="B134">
        <v>48.64</v>
      </c>
      <c r="C134">
        <v>0</v>
      </c>
      <c r="D134">
        <v>19.23</v>
      </c>
      <c r="E134">
        <v>8.3000000000000001E-3</v>
      </c>
      <c r="F134">
        <v>0</v>
      </c>
      <c r="G134">
        <v>0</v>
      </c>
      <c r="H134">
        <v>35.840000000000003</v>
      </c>
      <c r="I134">
        <v>0</v>
      </c>
      <c r="J134">
        <v>0</v>
      </c>
      <c r="K134">
        <v>0</v>
      </c>
      <c r="L134">
        <v>1.37E-2</v>
      </c>
      <c r="M134">
        <v>7.4200000000000002E-2</v>
      </c>
      <c r="N134">
        <v>103.8061</v>
      </c>
      <c r="O134" t="s">
        <v>97</v>
      </c>
      <c r="P134" t="s">
        <v>44</v>
      </c>
    </row>
    <row r="135" spans="1:16">
      <c r="A135">
        <v>115</v>
      </c>
      <c r="B135">
        <v>47.67</v>
      </c>
      <c r="C135">
        <v>0</v>
      </c>
      <c r="D135">
        <v>20.3</v>
      </c>
      <c r="E135">
        <v>0</v>
      </c>
      <c r="F135">
        <v>0</v>
      </c>
      <c r="G135">
        <v>0</v>
      </c>
      <c r="H135">
        <v>35.75</v>
      </c>
      <c r="I135">
        <v>0</v>
      </c>
      <c r="J135">
        <v>7.4999999999999997E-3</v>
      </c>
      <c r="K135">
        <v>0</v>
      </c>
      <c r="L135">
        <v>0</v>
      </c>
      <c r="M135">
        <v>8.0600000000000005E-2</v>
      </c>
      <c r="N135">
        <v>103.80800000000001</v>
      </c>
      <c r="O135" t="s">
        <v>63</v>
      </c>
      <c r="P135" t="s">
        <v>44</v>
      </c>
    </row>
    <row r="136" spans="1:16">
      <c r="A136">
        <v>44</v>
      </c>
      <c r="B136">
        <v>47.85</v>
      </c>
      <c r="C136">
        <v>0</v>
      </c>
      <c r="D136">
        <v>19.329999999999998</v>
      </c>
      <c r="E136">
        <v>6.7999999999999996E-3</v>
      </c>
      <c r="F136">
        <v>3.7600000000000001E-2</v>
      </c>
      <c r="G136">
        <v>0</v>
      </c>
      <c r="H136">
        <v>35.659999999999997</v>
      </c>
      <c r="I136">
        <v>0</v>
      </c>
      <c r="J136">
        <v>0</v>
      </c>
      <c r="K136">
        <v>0</v>
      </c>
      <c r="L136">
        <v>0</v>
      </c>
      <c r="M136">
        <v>7.0800000000000002E-2</v>
      </c>
      <c r="N136">
        <v>102.9551</v>
      </c>
      <c r="O136" t="s">
        <v>97</v>
      </c>
      <c r="P136" t="s">
        <v>44</v>
      </c>
    </row>
    <row r="137" spans="1:16">
      <c r="A137">
        <v>39</v>
      </c>
      <c r="B137">
        <v>46.55</v>
      </c>
      <c r="C137">
        <v>0</v>
      </c>
      <c r="D137">
        <v>20.88</v>
      </c>
      <c r="E137">
        <v>3.5000000000000001E-3</v>
      </c>
      <c r="F137">
        <v>5.5999999999999999E-3</v>
      </c>
      <c r="G137">
        <v>0</v>
      </c>
      <c r="H137">
        <v>35.64</v>
      </c>
      <c r="I137">
        <v>0</v>
      </c>
      <c r="J137">
        <v>1.2999999999999999E-2</v>
      </c>
      <c r="K137">
        <v>0</v>
      </c>
      <c r="L137">
        <v>0</v>
      </c>
      <c r="M137">
        <v>8.6300000000000002E-2</v>
      </c>
      <c r="N137">
        <v>103.1784</v>
      </c>
      <c r="O137" t="s">
        <v>97</v>
      </c>
      <c r="P137" t="s">
        <v>44</v>
      </c>
    </row>
    <row r="138" spans="1:16">
      <c r="A138">
        <v>99</v>
      </c>
      <c r="B138">
        <v>48.47</v>
      </c>
      <c r="C138">
        <v>0</v>
      </c>
      <c r="D138">
        <v>19.399999999999999</v>
      </c>
      <c r="E138">
        <v>3.2300000000000002E-2</v>
      </c>
      <c r="F138">
        <v>0</v>
      </c>
      <c r="G138">
        <v>0</v>
      </c>
      <c r="H138">
        <v>35.6</v>
      </c>
      <c r="I138">
        <v>0</v>
      </c>
      <c r="J138">
        <v>0</v>
      </c>
      <c r="K138">
        <v>0</v>
      </c>
      <c r="L138">
        <v>0</v>
      </c>
      <c r="M138">
        <v>8.8700000000000001E-2</v>
      </c>
      <c r="N138">
        <v>103.59099999999999</v>
      </c>
      <c r="O138" t="s">
        <v>63</v>
      </c>
      <c r="P138" t="s">
        <v>44</v>
      </c>
    </row>
    <row r="139" spans="1:16">
      <c r="A139">
        <v>160</v>
      </c>
      <c r="B139">
        <v>48.95</v>
      </c>
      <c r="C139">
        <v>0</v>
      </c>
      <c r="D139">
        <v>18.940000000000001</v>
      </c>
      <c r="E139">
        <v>0</v>
      </c>
      <c r="F139">
        <v>0</v>
      </c>
      <c r="G139">
        <v>2.8999999999999998E-3</v>
      </c>
      <c r="H139">
        <v>35.51</v>
      </c>
      <c r="I139">
        <v>0</v>
      </c>
      <c r="J139">
        <v>5.9999999999999995E-4</v>
      </c>
      <c r="K139">
        <v>0</v>
      </c>
      <c r="L139">
        <v>0</v>
      </c>
      <c r="M139">
        <v>5.6800000000000003E-2</v>
      </c>
      <c r="N139">
        <v>103.4602</v>
      </c>
      <c r="O139">
        <v>202</v>
      </c>
      <c r="P139" t="s">
        <v>44</v>
      </c>
    </row>
    <row r="140" spans="1:16">
      <c r="A140">
        <v>40</v>
      </c>
      <c r="B140">
        <v>47.65</v>
      </c>
      <c r="C140">
        <v>0</v>
      </c>
      <c r="D140">
        <v>19.53</v>
      </c>
      <c r="E140">
        <v>0</v>
      </c>
      <c r="F140">
        <v>0</v>
      </c>
      <c r="G140">
        <v>0</v>
      </c>
      <c r="H140">
        <v>35.47</v>
      </c>
      <c r="I140">
        <v>0</v>
      </c>
      <c r="J140">
        <v>0</v>
      </c>
      <c r="K140">
        <v>0</v>
      </c>
      <c r="L140">
        <v>0</v>
      </c>
      <c r="M140">
        <v>8.0500000000000002E-2</v>
      </c>
      <c r="N140">
        <v>102.7304</v>
      </c>
      <c r="O140" t="s">
        <v>97</v>
      </c>
      <c r="P140" t="s">
        <v>44</v>
      </c>
    </row>
    <row r="141" spans="1:16">
      <c r="A141">
        <v>159</v>
      </c>
      <c r="B141">
        <v>47.93</v>
      </c>
      <c r="C141">
        <v>0</v>
      </c>
      <c r="D141">
        <v>19.649999999999999</v>
      </c>
      <c r="E141">
        <v>0</v>
      </c>
      <c r="F141">
        <v>0</v>
      </c>
      <c r="G141">
        <v>1E-4</v>
      </c>
      <c r="H141">
        <v>35.39</v>
      </c>
      <c r="I141">
        <v>0</v>
      </c>
      <c r="J141">
        <v>0</v>
      </c>
      <c r="K141">
        <v>0</v>
      </c>
      <c r="L141">
        <v>2.8E-3</v>
      </c>
      <c r="M141">
        <v>8.1500000000000003E-2</v>
      </c>
      <c r="N141">
        <v>103.0543</v>
      </c>
      <c r="O141">
        <v>202</v>
      </c>
      <c r="P141" t="s">
        <v>44</v>
      </c>
    </row>
    <row r="142" spans="1:16">
      <c r="A142">
        <v>92</v>
      </c>
      <c r="B142">
        <v>49.88</v>
      </c>
      <c r="C142">
        <v>0</v>
      </c>
      <c r="D142">
        <v>18.57</v>
      </c>
      <c r="E142">
        <v>0</v>
      </c>
      <c r="F142">
        <v>0</v>
      </c>
      <c r="G142">
        <v>0</v>
      </c>
      <c r="H142">
        <v>35.32</v>
      </c>
      <c r="I142">
        <v>0</v>
      </c>
      <c r="J142">
        <v>1.2999999999999999E-2</v>
      </c>
      <c r="K142">
        <v>0</v>
      </c>
      <c r="L142">
        <v>0</v>
      </c>
      <c r="M142">
        <v>6.7599999999999993E-2</v>
      </c>
      <c r="N142">
        <v>103.8505</v>
      </c>
      <c r="O142" t="s">
        <v>63</v>
      </c>
      <c r="P142" t="s">
        <v>44</v>
      </c>
    </row>
    <row r="143" spans="1:16">
      <c r="A143">
        <v>117</v>
      </c>
      <c r="B143">
        <v>48.47</v>
      </c>
      <c r="C143">
        <v>0</v>
      </c>
      <c r="D143">
        <v>19.29</v>
      </c>
      <c r="E143">
        <v>0</v>
      </c>
      <c r="F143">
        <v>0</v>
      </c>
      <c r="G143">
        <v>0</v>
      </c>
      <c r="H143">
        <v>35.07</v>
      </c>
      <c r="I143">
        <v>0</v>
      </c>
      <c r="J143">
        <v>1.9900000000000001E-2</v>
      </c>
      <c r="K143">
        <v>0</v>
      </c>
      <c r="L143">
        <v>1.6E-2</v>
      </c>
      <c r="M143">
        <v>0.09</v>
      </c>
      <c r="N143">
        <v>102.9558</v>
      </c>
      <c r="O143" t="s">
        <v>63</v>
      </c>
      <c r="P143" t="s">
        <v>44</v>
      </c>
    </row>
    <row r="144" spans="1:16">
      <c r="A144">
        <v>158</v>
      </c>
      <c r="B144">
        <v>49.12</v>
      </c>
      <c r="C144">
        <v>0</v>
      </c>
      <c r="D144">
        <v>18.84</v>
      </c>
      <c r="E144">
        <v>1.0500000000000001E-2</v>
      </c>
      <c r="F144">
        <v>0</v>
      </c>
      <c r="G144">
        <v>0</v>
      </c>
      <c r="H144">
        <v>34.99</v>
      </c>
      <c r="I144">
        <v>0</v>
      </c>
      <c r="J144">
        <v>0</v>
      </c>
      <c r="K144">
        <v>0</v>
      </c>
      <c r="L144">
        <v>2.0999999999999999E-3</v>
      </c>
      <c r="M144">
        <v>8.5300000000000001E-2</v>
      </c>
      <c r="N144">
        <v>103.0478</v>
      </c>
      <c r="O144">
        <v>202</v>
      </c>
      <c r="P144" t="s">
        <v>44</v>
      </c>
    </row>
    <row r="145" spans="1:16">
      <c r="A145">
        <v>116</v>
      </c>
      <c r="B145">
        <v>48.32</v>
      </c>
      <c r="C145">
        <v>0</v>
      </c>
      <c r="D145">
        <v>19.43</v>
      </c>
      <c r="E145">
        <v>0</v>
      </c>
      <c r="F145">
        <v>0</v>
      </c>
      <c r="G145">
        <v>2.8E-3</v>
      </c>
      <c r="H145">
        <v>34.82</v>
      </c>
      <c r="I145">
        <v>0</v>
      </c>
      <c r="J145">
        <v>0</v>
      </c>
      <c r="K145">
        <v>0</v>
      </c>
      <c r="L145">
        <v>0</v>
      </c>
      <c r="M145">
        <v>0.1022</v>
      </c>
      <c r="N145">
        <v>102.67489999999999</v>
      </c>
      <c r="O145" t="s">
        <v>63</v>
      </c>
      <c r="P145" t="s">
        <v>44</v>
      </c>
    </row>
    <row r="146" spans="1:16">
      <c r="A146">
        <v>162</v>
      </c>
      <c r="B146">
        <v>54.36</v>
      </c>
      <c r="C146">
        <v>0</v>
      </c>
      <c r="D146">
        <v>15.43</v>
      </c>
      <c r="E146">
        <v>0</v>
      </c>
      <c r="F146">
        <v>0</v>
      </c>
      <c r="G146">
        <v>0</v>
      </c>
      <c r="H146">
        <v>34.08</v>
      </c>
      <c r="I146">
        <v>0</v>
      </c>
      <c r="J146">
        <v>0</v>
      </c>
      <c r="K146">
        <v>0</v>
      </c>
      <c r="L146">
        <v>8.8999999999999999E-3</v>
      </c>
      <c r="M146">
        <v>6.5699999999999995E-2</v>
      </c>
      <c r="N146">
        <v>103.94450000000001</v>
      </c>
      <c r="O146">
        <v>202</v>
      </c>
      <c r="P146" t="s">
        <v>44</v>
      </c>
    </row>
    <row r="147" spans="1:16">
      <c r="A147">
        <v>44</v>
      </c>
      <c r="B147">
        <v>46.99</v>
      </c>
      <c r="C147">
        <v>0</v>
      </c>
      <c r="D147">
        <v>19.98</v>
      </c>
      <c r="E147">
        <v>0</v>
      </c>
      <c r="F147">
        <v>0</v>
      </c>
      <c r="G147">
        <v>0</v>
      </c>
      <c r="H147">
        <v>34.07</v>
      </c>
      <c r="I147">
        <v>0</v>
      </c>
      <c r="J147">
        <v>0</v>
      </c>
      <c r="K147">
        <v>0</v>
      </c>
      <c r="L147">
        <v>0</v>
      </c>
      <c r="M147">
        <v>9.2999999999999999E-2</v>
      </c>
      <c r="N147">
        <v>101.13290000000001</v>
      </c>
      <c r="O147" t="s">
        <v>98</v>
      </c>
      <c r="P147" t="s">
        <v>33</v>
      </c>
    </row>
    <row r="148" spans="1:16">
      <c r="A148">
        <v>39</v>
      </c>
      <c r="B148">
        <v>47.66</v>
      </c>
      <c r="C148">
        <v>0</v>
      </c>
      <c r="D148">
        <v>19.489999999999998</v>
      </c>
      <c r="E148">
        <v>0</v>
      </c>
      <c r="F148">
        <v>0</v>
      </c>
      <c r="G148">
        <v>0</v>
      </c>
      <c r="H148">
        <v>33.71</v>
      </c>
      <c r="I148">
        <v>2.5000000000000001E-3</v>
      </c>
      <c r="J148">
        <v>0</v>
      </c>
      <c r="K148">
        <v>0</v>
      </c>
      <c r="L148">
        <v>1.29E-2</v>
      </c>
      <c r="M148">
        <v>8.0699999999999994E-2</v>
      </c>
      <c r="N148">
        <v>100.95610000000001</v>
      </c>
      <c r="O148" t="s">
        <v>99</v>
      </c>
      <c r="P148" t="s">
        <v>33</v>
      </c>
    </row>
    <row r="149" spans="1:16">
      <c r="A149">
        <v>40</v>
      </c>
      <c r="B149">
        <v>48.33</v>
      </c>
      <c r="C149">
        <v>0</v>
      </c>
      <c r="D149">
        <v>18.95</v>
      </c>
      <c r="E149">
        <v>0</v>
      </c>
      <c r="F149">
        <v>0</v>
      </c>
      <c r="G149">
        <v>0</v>
      </c>
      <c r="H149">
        <v>33.799999999999997</v>
      </c>
      <c r="I149">
        <v>0</v>
      </c>
      <c r="J149">
        <v>5.4999999999999997E-3</v>
      </c>
      <c r="K149">
        <v>0</v>
      </c>
      <c r="L149">
        <v>0</v>
      </c>
      <c r="M149">
        <v>0.1004</v>
      </c>
      <c r="N149">
        <v>101.1859</v>
      </c>
      <c r="O149" t="s">
        <v>99</v>
      </c>
      <c r="P149" t="s">
        <v>33</v>
      </c>
    </row>
    <row r="150" spans="1:16">
      <c r="A150">
        <v>35</v>
      </c>
      <c r="B150">
        <v>48.47</v>
      </c>
      <c r="C150">
        <v>0</v>
      </c>
      <c r="D150">
        <v>19.22</v>
      </c>
      <c r="E150">
        <v>0</v>
      </c>
      <c r="F150">
        <v>7.6200000000000004E-2</v>
      </c>
      <c r="G150">
        <v>0</v>
      </c>
      <c r="H150">
        <v>33.92</v>
      </c>
      <c r="I150">
        <v>0</v>
      </c>
      <c r="J150">
        <v>1.4500000000000001E-2</v>
      </c>
      <c r="K150">
        <v>0</v>
      </c>
      <c r="L150">
        <v>0.78280000000000005</v>
      </c>
      <c r="M150">
        <v>9.9099999999999994E-2</v>
      </c>
      <c r="N150">
        <v>102.5826</v>
      </c>
      <c r="O150" t="s">
        <v>100</v>
      </c>
      <c r="P150" t="s">
        <v>60</v>
      </c>
    </row>
    <row r="151" spans="1:16">
      <c r="A151">
        <v>41</v>
      </c>
      <c r="B151">
        <v>48.84</v>
      </c>
      <c r="C151">
        <v>0</v>
      </c>
      <c r="D151">
        <v>18.63</v>
      </c>
      <c r="E151">
        <v>3.7000000000000002E-3</v>
      </c>
      <c r="F151">
        <v>0</v>
      </c>
      <c r="G151">
        <v>0</v>
      </c>
      <c r="H151">
        <v>33.479999999999997</v>
      </c>
      <c r="I151">
        <v>0</v>
      </c>
      <c r="J151">
        <v>2.8999999999999998E-3</v>
      </c>
      <c r="K151">
        <v>0</v>
      </c>
      <c r="L151">
        <v>1.3299999999999999E-2</v>
      </c>
      <c r="M151">
        <v>8.8700000000000001E-2</v>
      </c>
      <c r="N151">
        <v>101.0585</v>
      </c>
      <c r="O151" t="s">
        <v>99</v>
      </c>
      <c r="P151" t="s">
        <v>33</v>
      </c>
    </row>
    <row r="152" spans="1:16">
      <c r="A152">
        <v>8</v>
      </c>
      <c r="B152">
        <v>45.91</v>
      </c>
      <c r="C152">
        <v>0</v>
      </c>
      <c r="D152">
        <v>21.44</v>
      </c>
      <c r="E152">
        <v>0</v>
      </c>
      <c r="F152">
        <v>1.7299999999999999E-2</v>
      </c>
      <c r="G152">
        <v>0</v>
      </c>
      <c r="H152">
        <v>35.6</v>
      </c>
      <c r="I152">
        <v>0</v>
      </c>
      <c r="J152">
        <v>0</v>
      </c>
      <c r="K152">
        <v>0</v>
      </c>
      <c r="L152">
        <v>0</v>
      </c>
      <c r="M152">
        <v>9.4299999999999995E-2</v>
      </c>
      <c r="N152">
        <v>103.0615</v>
      </c>
      <c r="O152" t="s">
        <v>101</v>
      </c>
      <c r="P152" t="s">
        <v>102</v>
      </c>
    </row>
    <row r="153" spans="1:16">
      <c r="A153">
        <v>9</v>
      </c>
      <c r="B153">
        <v>46.21</v>
      </c>
      <c r="C153">
        <v>0</v>
      </c>
      <c r="D153">
        <v>21.23</v>
      </c>
      <c r="E153">
        <v>0</v>
      </c>
      <c r="F153">
        <v>3.0000000000000001E-3</v>
      </c>
      <c r="G153">
        <v>0</v>
      </c>
      <c r="H153">
        <v>35.950000000000003</v>
      </c>
      <c r="I153">
        <v>0</v>
      </c>
      <c r="J153">
        <v>0</v>
      </c>
      <c r="K153">
        <v>0</v>
      </c>
      <c r="L153">
        <v>0</v>
      </c>
      <c r="M153">
        <v>7.8299999999999995E-2</v>
      </c>
      <c r="N153">
        <v>103.4713</v>
      </c>
      <c r="O153" t="s">
        <v>101</v>
      </c>
      <c r="P153" t="s">
        <v>102</v>
      </c>
    </row>
    <row r="154" spans="1:16">
      <c r="A154">
        <v>31</v>
      </c>
      <c r="B154">
        <v>44.4</v>
      </c>
      <c r="C154">
        <v>0</v>
      </c>
      <c r="D154">
        <v>21.86</v>
      </c>
      <c r="E154">
        <v>0</v>
      </c>
      <c r="F154">
        <v>0.52</v>
      </c>
      <c r="G154">
        <v>0</v>
      </c>
      <c r="H154">
        <v>36.07</v>
      </c>
      <c r="I154">
        <v>0</v>
      </c>
      <c r="J154">
        <v>0</v>
      </c>
      <c r="K154">
        <v>0</v>
      </c>
      <c r="L154">
        <v>0</v>
      </c>
      <c r="M154">
        <v>6.1899999999999997E-2</v>
      </c>
      <c r="N154">
        <v>102.9118</v>
      </c>
      <c r="O154" t="s">
        <v>103</v>
      </c>
      <c r="P154" t="s">
        <v>21</v>
      </c>
    </row>
    <row r="155" spans="1:16">
      <c r="A155">
        <v>34</v>
      </c>
      <c r="B155">
        <v>44.45</v>
      </c>
      <c r="C155">
        <v>0</v>
      </c>
      <c r="D155">
        <v>21.87</v>
      </c>
      <c r="E155">
        <v>1.2999999999999999E-3</v>
      </c>
      <c r="F155">
        <v>0.26319999999999999</v>
      </c>
      <c r="G155">
        <v>0</v>
      </c>
      <c r="H155">
        <v>35.82</v>
      </c>
      <c r="I155">
        <v>0</v>
      </c>
      <c r="J155">
        <v>0</v>
      </c>
      <c r="K155">
        <v>0</v>
      </c>
      <c r="L155">
        <v>0</v>
      </c>
      <c r="M155">
        <v>7.5600000000000001E-2</v>
      </c>
      <c r="N155">
        <v>102.48</v>
      </c>
      <c r="O155" t="s">
        <v>103</v>
      </c>
      <c r="P155" t="s">
        <v>21</v>
      </c>
    </row>
    <row r="156" spans="1:16">
      <c r="A156">
        <v>32</v>
      </c>
      <c r="B156">
        <v>44.32</v>
      </c>
      <c r="C156">
        <v>0</v>
      </c>
      <c r="D156">
        <v>21.85</v>
      </c>
      <c r="E156">
        <v>7.7000000000000002E-3</v>
      </c>
      <c r="F156">
        <v>0.50370000000000004</v>
      </c>
      <c r="G156">
        <v>0</v>
      </c>
      <c r="H156">
        <v>35.729999999999997</v>
      </c>
      <c r="I156">
        <v>0</v>
      </c>
      <c r="J156">
        <v>0</v>
      </c>
      <c r="K156">
        <v>0</v>
      </c>
      <c r="L156">
        <v>1.6999999999999999E-3</v>
      </c>
      <c r="M156">
        <v>9.0899999999999995E-2</v>
      </c>
      <c r="N156">
        <v>102.5039</v>
      </c>
      <c r="O156" t="s">
        <v>103</v>
      </c>
      <c r="P156" t="s">
        <v>21</v>
      </c>
    </row>
    <row r="157" spans="1:16">
      <c r="A157">
        <v>6</v>
      </c>
      <c r="B157">
        <v>46.27</v>
      </c>
      <c r="C157">
        <v>0</v>
      </c>
      <c r="D157">
        <v>21.18</v>
      </c>
      <c r="E157">
        <v>0</v>
      </c>
      <c r="F157">
        <v>5.3400000000000003E-2</v>
      </c>
      <c r="G157">
        <v>0</v>
      </c>
      <c r="H157">
        <v>35.92</v>
      </c>
      <c r="I157">
        <v>0</v>
      </c>
      <c r="J157">
        <v>4.1000000000000003E-3</v>
      </c>
      <c r="K157">
        <v>0</v>
      </c>
      <c r="L157">
        <v>2.1299999999999999E-2</v>
      </c>
      <c r="M157">
        <v>8.14E-2</v>
      </c>
      <c r="N157">
        <v>103.5301</v>
      </c>
      <c r="O157" t="s">
        <v>101</v>
      </c>
      <c r="P157" t="s">
        <v>102</v>
      </c>
    </row>
    <row r="158" spans="1:16">
      <c r="A158">
        <v>33</v>
      </c>
      <c r="B158">
        <v>45.63</v>
      </c>
      <c r="C158">
        <v>0</v>
      </c>
      <c r="D158">
        <v>21.45</v>
      </c>
      <c r="E158">
        <v>0</v>
      </c>
      <c r="F158">
        <v>0.11890000000000001</v>
      </c>
      <c r="G158">
        <v>5.9999999999999995E-4</v>
      </c>
      <c r="H158">
        <v>36.03</v>
      </c>
      <c r="I158">
        <v>0</v>
      </c>
      <c r="J158">
        <v>1.5599999999999999E-2</v>
      </c>
      <c r="K158">
        <v>0</v>
      </c>
      <c r="L158">
        <v>1.1999999999999999E-3</v>
      </c>
      <c r="M158">
        <v>6.6299999999999998E-2</v>
      </c>
      <c r="N158">
        <v>103.3125</v>
      </c>
      <c r="O158" t="s">
        <v>103</v>
      </c>
      <c r="P158" t="s">
        <v>21</v>
      </c>
    </row>
    <row r="159" spans="1:16">
      <c r="A159">
        <v>7</v>
      </c>
      <c r="B159">
        <v>46.33</v>
      </c>
      <c r="C159">
        <v>0</v>
      </c>
      <c r="D159">
        <v>21.05</v>
      </c>
      <c r="E159">
        <v>8.8999999999999999E-3</v>
      </c>
      <c r="F159">
        <v>8.6599999999999996E-2</v>
      </c>
      <c r="G159">
        <v>0</v>
      </c>
      <c r="H159">
        <v>35.64</v>
      </c>
      <c r="I159">
        <v>0</v>
      </c>
      <c r="J159">
        <v>1.6E-2</v>
      </c>
      <c r="K159">
        <v>0</v>
      </c>
      <c r="L159">
        <v>4.7000000000000002E-3</v>
      </c>
      <c r="M159">
        <v>8.1799999999999998E-2</v>
      </c>
      <c r="N159">
        <v>103.218</v>
      </c>
      <c r="O159" t="s">
        <v>101</v>
      </c>
      <c r="P159" t="s">
        <v>102</v>
      </c>
    </row>
    <row r="160" spans="1:16">
      <c r="A160">
        <v>10</v>
      </c>
      <c r="B160">
        <v>46.16</v>
      </c>
      <c r="C160">
        <v>0</v>
      </c>
      <c r="D160">
        <v>21.2</v>
      </c>
      <c r="E160">
        <v>0</v>
      </c>
      <c r="F160">
        <v>4.8500000000000001E-2</v>
      </c>
      <c r="G160">
        <v>0</v>
      </c>
      <c r="H160">
        <v>35.75</v>
      </c>
      <c r="I160">
        <v>0</v>
      </c>
      <c r="J160">
        <v>1.61E-2</v>
      </c>
      <c r="K160">
        <v>0</v>
      </c>
      <c r="L160">
        <v>0</v>
      </c>
      <c r="M160">
        <v>6.6799999999999998E-2</v>
      </c>
      <c r="N160">
        <v>103.2413</v>
      </c>
      <c r="O160" t="s">
        <v>101</v>
      </c>
      <c r="P160" t="s">
        <v>102</v>
      </c>
    </row>
    <row r="161" spans="1:16">
      <c r="A161">
        <v>35</v>
      </c>
      <c r="B161">
        <v>43.36</v>
      </c>
      <c r="C161">
        <v>0</v>
      </c>
      <c r="D161">
        <v>19.510000000000002</v>
      </c>
      <c r="E161">
        <v>0</v>
      </c>
      <c r="F161">
        <v>0</v>
      </c>
      <c r="G161">
        <v>0</v>
      </c>
      <c r="H161">
        <v>33.06</v>
      </c>
      <c r="I161">
        <v>1.3899999999999999E-2</v>
      </c>
      <c r="J161">
        <v>2.75E-2</v>
      </c>
      <c r="K161">
        <v>5.94</v>
      </c>
      <c r="L161">
        <v>0</v>
      </c>
      <c r="M161">
        <v>6.2399999999999997E-2</v>
      </c>
      <c r="N161">
        <v>101.9738</v>
      </c>
      <c r="O161" t="s">
        <v>103</v>
      </c>
      <c r="P161" t="s">
        <v>104</v>
      </c>
    </row>
    <row r="162" spans="1:16">
      <c r="A162">
        <v>45</v>
      </c>
      <c r="B162">
        <v>45.41</v>
      </c>
      <c r="C162">
        <v>0</v>
      </c>
      <c r="D162">
        <v>21.63</v>
      </c>
      <c r="E162">
        <v>0</v>
      </c>
      <c r="F162">
        <v>3.5299999999999998E-2</v>
      </c>
      <c r="G162">
        <v>0</v>
      </c>
      <c r="H162">
        <v>35.590000000000003</v>
      </c>
      <c r="I162">
        <v>0</v>
      </c>
      <c r="J162">
        <v>3.1099999999999999E-2</v>
      </c>
      <c r="K162">
        <v>0</v>
      </c>
      <c r="L162">
        <v>0</v>
      </c>
      <c r="M162">
        <v>5.8900000000000001E-2</v>
      </c>
      <c r="N162">
        <v>102.7552</v>
      </c>
      <c r="O162" t="s">
        <v>103</v>
      </c>
      <c r="P162" t="s">
        <v>104</v>
      </c>
    </row>
    <row r="163" spans="1:16">
      <c r="A163">
        <v>44</v>
      </c>
      <c r="B163">
        <v>45.19</v>
      </c>
      <c r="C163">
        <v>0</v>
      </c>
      <c r="D163">
        <v>21.42</v>
      </c>
      <c r="E163">
        <v>5.0000000000000001E-3</v>
      </c>
      <c r="F163">
        <v>2.93E-2</v>
      </c>
      <c r="G163">
        <v>0</v>
      </c>
      <c r="H163">
        <v>35.799999999999997</v>
      </c>
      <c r="I163">
        <v>1E-4</v>
      </c>
      <c r="J163">
        <v>4.9299999999999997E-2</v>
      </c>
      <c r="K163">
        <v>0</v>
      </c>
      <c r="L163">
        <v>2.3099999999999999E-2</v>
      </c>
      <c r="M163">
        <v>9.7500000000000003E-2</v>
      </c>
      <c r="N163">
        <v>102.6142</v>
      </c>
      <c r="O163" t="s">
        <v>103</v>
      </c>
      <c r="P163" t="s">
        <v>104</v>
      </c>
    </row>
    <row r="164" spans="1:16">
      <c r="A164">
        <v>3</v>
      </c>
      <c r="B164">
        <v>49.84</v>
      </c>
      <c r="C164">
        <v>0</v>
      </c>
      <c r="D164">
        <v>18.190000000000001</v>
      </c>
      <c r="E164">
        <v>1.1900000000000001E-2</v>
      </c>
      <c r="F164">
        <v>5.4000000000000003E-3</v>
      </c>
      <c r="G164">
        <v>0</v>
      </c>
      <c r="H164">
        <v>34.67</v>
      </c>
      <c r="I164">
        <v>0</v>
      </c>
      <c r="J164">
        <v>8.2000000000000007E-3</v>
      </c>
      <c r="K164">
        <v>0</v>
      </c>
      <c r="L164">
        <v>1.4500000000000001E-2</v>
      </c>
      <c r="M164">
        <v>6.6900000000000001E-2</v>
      </c>
      <c r="N164">
        <v>102.8069</v>
      </c>
      <c r="O164" t="s">
        <v>105</v>
      </c>
      <c r="P164" t="s">
        <v>102</v>
      </c>
    </row>
    <row r="165" spans="1:16">
      <c r="A165">
        <v>23</v>
      </c>
      <c r="B165">
        <v>49.68</v>
      </c>
      <c r="C165">
        <v>0</v>
      </c>
      <c r="D165">
        <v>18.329999999999998</v>
      </c>
      <c r="E165">
        <v>0</v>
      </c>
      <c r="F165">
        <v>0</v>
      </c>
      <c r="G165">
        <v>3.3999999999999998E-3</v>
      </c>
      <c r="H165">
        <v>34.4</v>
      </c>
      <c r="I165">
        <v>0</v>
      </c>
      <c r="J165">
        <v>1.5599999999999999E-2</v>
      </c>
      <c r="K165">
        <v>0</v>
      </c>
      <c r="L165">
        <v>0</v>
      </c>
      <c r="M165">
        <v>5.9200000000000003E-2</v>
      </c>
      <c r="N165">
        <v>102.48820000000001</v>
      </c>
      <c r="O165" t="s">
        <v>105</v>
      </c>
      <c r="P165" t="s">
        <v>102</v>
      </c>
    </row>
    <row r="166" spans="1:16">
      <c r="A166">
        <v>10</v>
      </c>
      <c r="B166">
        <v>49.45</v>
      </c>
      <c r="C166">
        <v>0</v>
      </c>
      <c r="D166">
        <v>18.43</v>
      </c>
      <c r="E166">
        <v>1.8E-3</v>
      </c>
      <c r="F166">
        <v>0</v>
      </c>
      <c r="G166">
        <v>0</v>
      </c>
      <c r="H166">
        <v>34.49</v>
      </c>
      <c r="I166">
        <v>2.2000000000000001E-3</v>
      </c>
      <c r="J166">
        <v>5.4999999999999997E-3</v>
      </c>
      <c r="K166">
        <v>0</v>
      </c>
      <c r="L166">
        <v>1.7500000000000002E-2</v>
      </c>
      <c r="M166">
        <v>7.2599999999999998E-2</v>
      </c>
      <c r="N166">
        <v>102.4696</v>
      </c>
      <c r="O166" t="s">
        <v>105</v>
      </c>
      <c r="P166" t="s">
        <v>102</v>
      </c>
    </row>
    <row r="167" spans="1:16">
      <c r="A167">
        <v>4</v>
      </c>
      <c r="B167">
        <v>49.31</v>
      </c>
      <c r="C167">
        <v>0</v>
      </c>
      <c r="D167">
        <v>18.61</v>
      </c>
      <c r="E167">
        <v>6.7999999999999996E-3</v>
      </c>
      <c r="F167">
        <v>2.75E-2</v>
      </c>
      <c r="G167">
        <v>0</v>
      </c>
      <c r="H167">
        <v>34.5</v>
      </c>
      <c r="I167">
        <v>0</v>
      </c>
      <c r="J167">
        <v>0</v>
      </c>
      <c r="K167">
        <v>0</v>
      </c>
      <c r="L167">
        <v>0</v>
      </c>
      <c r="M167">
        <v>7.9500000000000001E-2</v>
      </c>
      <c r="N167">
        <v>102.5337</v>
      </c>
      <c r="O167" t="s">
        <v>105</v>
      </c>
      <c r="P167" t="s">
        <v>102</v>
      </c>
    </row>
    <row r="168" spans="1:16">
      <c r="A168">
        <v>6</v>
      </c>
      <c r="B168">
        <v>49.29</v>
      </c>
      <c r="C168">
        <v>0</v>
      </c>
      <c r="D168">
        <v>18.600000000000001</v>
      </c>
      <c r="E168">
        <v>0</v>
      </c>
      <c r="F168">
        <v>5.1000000000000004E-3</v>
      </c>
      <c r="G168">
        <v>0</v>
      </c>
      <c r="H168">
        <v>34.61</v>
      </c>
      <c r="I168">
        <v>2.3999999999999998E-3</v>
      </c>
      <c r="J168">
        <v>5.0000000000000001E-3</v>
      </c>
      <c r="K168">
        <v>0</v>
      </c>
      <c r="L168">
        <v>0</v>
      </c>
      <c r="M168">
        <v>8.2799999999999999E-2</v>
      </c>
      <c r="N168">
        <v>102.59520000000001</v>
      </c>
      <c r="O168" t="s">
        <v>105</v>
      </c>
      <c r="P168" t="s">
        <v>102</v>
      </c>
    </row>
    <row r="169" spans="1:16">
      <c r="A169">
        <v>12</v>
      </c>
      <c r="B169">
        <v>48.76</v>
      </c>
      <c r="C169">
        <v>0</v>
      </c>
      <c r="D169">
        <v>18.87</v>
      </c>
      <c r="E169">
        <v>1.2800000000000001E-2</v>
      </c>
      <c r="F169">
        <v>9.7999999999999997E-3</v>
      </c>
      <c r="G169">
        <v>0</v>
      </c>
      <c r="H169">
        <v>34.68</v>
      </c>
      <c r="I169">
        <v>0</v>
      </c>
      <c r="J169">
        <v>0</v>
      </c>
      <c r="K169">
        <v>0</v>
      </c>
      <c r="L169">
        <v>3.0000000000000001E-3</v>
      </c>
      <c r="M169">
        <v>0.08</v>
      </c>
      <c r="N169">
        <v>102.4156</v>
      </c>
      <c r="O169" t="s">
        <v>105</v>
      </c>
      <c r="P169" t="s">
        <v>102</v>
      </c>
    </row>
    <row r="170" spans="1:16">
      <c r="A170">
        <v>11</v>
      </c>
      <c r="B170">
        <v>48.45</v>
      </c>
      <c r="C170">
        <v>0</v>
      </c>
      <c r="D170">
        <v>19.399999999999999</v>
      </c>
      <c r="E170">
        <v>0</v>
      </c>
      <c r="F170">
        <v>2.0999999999999999E-3</v>
      </c>
      <c r="G170">
        <v>0</v>
      </c>
      <c r="H170">
        <v>34.65</v>
      </c>
      <c r="I170">
        <v>0</v>
      </c>
      <c r="J170">
        <v>4.0000000000000002E-4</v>
      </c>
      <c r="K170">
        <v>0</v>
      </c>
      <c r="L170">
        <v>2.9999999999999997E-4</v>
      </c>
      <c r="M170">
        <v>6.2700000000000006E-2</v>
      </c>
      <c r="N170">
        <v>102.5654</v>
      </c>
      <c r="O170" t="s">
        <v>105</v>
      </c>
      <c r="P170" t="s">
        <v>102</v>
      </c>
    </row>
    <row r="171" spans="1:16">
      <c r="A171">
        <v>5</v>
      </c>
      <c r="B171">
        <v>48.15</v>
      </c>
      <c r="C171">
        <v>0</v>
      </c>
      <c r="D171">
        <v>19.600000000000001</v>
      </c>
      <c r="E171">
        <v>0</v>
      </c>
      <c r="F171">
        <v>6.1000000000000004E-3</v>
      </c>
      <c r="G171">
        <v>0</v>
      </c>
      <c r="H171">
        <v>35.11</v>
      </c>
      <c r="I171">
        <v>0</v>
      </c>
      <c r="J171">
        <v>0</v>
      </c>
      <c r="K171">
        <v>0</v>
      </c>
      <c r="L171">
        <v>0</v>
      </c>
      <c r="M171">
        <v>8.7800000000000003E-2</v>
      </c>
      <c r="N171">
        <v>102.9538</v>
      </c>
      <c r="O171" t="s">
        <v>105</v>
      </c>
      <c r="P171" t="s">
        <v>102</v>
      </c>
    </row>
    <row r="172" spans="1:16">
      <c r="A172">
        <v>20</v>
      </c>
      <c r="B172">
        <v>47.71</v>
      </c>
      <c r="C172">
        <v>0</v>
      </c>
      <c r="D172">
        <v>19.75</v>
      </c>
      <c r="E172">
        <v>0</v>
      </c>
      <c r="F172">
        <v>0</v>
      </c>
      <c r="G172">
        <v>0</v>
      </c>
      <c r="H172">
        <v>35.33</v>
      </c>
      <c r="I172">
        <v>1.8E-3</v>
      </c>
      <c r="J172">
        <v>9.7999999999999997E-3</v>
      </c>
      <c r="K172">
        <v>0</v>
      </c>
      <c r="L172">
        <v>0</v>
      </c>
      <c r="M172">
        <v>6.93E-2</v>
      </c>
      <c r="N172">
        <v>102.8708</v>
      </c>
      <c r="O172" t="s">
        <v>105</v>
      </c>
      <c r="P172" t="s">
        <v>102</v>
      </c>
    </row>
    <row r="173" spans="1:16">
      <c r="A173">
        <v>9</v>
      </c>
      <c r="B173">
        <v>47.7</v>
      </c>
      <c r="C173">
        <v>0</v>
      </c>
      <c r="D173">
        <v>19.79</v>
      </c>
      <c r="E173">
        <v>6.6E-3</v>
      </c>
      <c r="F173">
        <v>1.4E-3</v>
      </c>
      <c r="G173">
        <v>0</v>
      </c>
      <c r="H173">
        <v>34.96</v>
      </c>
      <c r="I173">
        <v>0</v>
      </c>
      <c r="J173">
        <v>8.0999999999999996E-3</v>
      </c>
      <c r="K173">
        <v>0</v>
      </c>
      <c r="L173">
        <v>0</v>
      </c>
      <c r="M173">
        <v>5.04E-2</v>
      </c>
      <c r="N173">
        <v>102.51649999999999</v>
      </c>
      <c r="O173" t="s">
        <v>105</v>
      </c>
      <c r="P173" t="s">
        <v>102</v>
      </c>
    </row>
    <row r="174" spans="1:16">
      <c r="A174">
        <v>35</v>
      </c>
      <c r="B174">
        <v>46.46</v>
      </c>
      <c r="C174">
        <v>0</v>
      </c>
      <c r="D174">
        <v>20.73</v>
      </c>
      <c r="E174">
        <v>4.4000000000000003E-3</v>
      </c>
      <c r="F174">
        <v>5.9700000000000003E-2</v>
      </c>
      <c r="G174">
        <v>0</v>
      </c>
      <c r="H174">
        <v>36.229999999999997</v>
      </c>
      <c r="I174">
        <v>4.7999999999999996E-3</v>
      </c>
      <c r="J174">
        <v>1.2999999999999999E-2</v>
      </c>
      <c r="K174">
        <v>0</v>
      </c>
      <c r="L174">
        <v>9.5999999999999992E-3</v>
      </c>
      <c r="M174">
        <v>9.7000000000000003E-2</v>
      </c>
      <c r="N174">
        <v>103.6084</v>
      </c>
      <c r="O174" t="s">
        <v>106</v>
      </c>
      <c r="P174" t="s">
        <v>102</v>
      </c>
    </row>
    <row r="175" spans="1:16">
      <c r="A175">
        <v>56</v>
      </c>
      <c r="B175">
        <v>46.27</v>
      </c>
      <c r="C175">
        <v>0</v>
      </c>
      <c r="D175">
        <v>21.21</v>
      </c>
      <c r="E175">
        <v>0</v>
      </c>
      <c r="F175">
        <v>7.7000000000000002E-3</v>
      </c>
      <c r="G175">
        <v>0</v>
      </c>
      <c r="H175">
        <v>36.57</v>
      </c>
      <c r="I175">
        <v>0</v>
      </c>
      <c r="J175">
        <v>5.11E-2</v>
      </c>
      <c r="K175">
        <v>0</v>
      </c>
      <c r="L175">
        <v>8.6E-3</v>
      </c>
      <c r="M175">
        <v>7.6700000000000004E-2</v>
      </c>
      <c r="N175">
        <v>104.194</v>
      </c>
      <c r="O175" t="s">
        <v>107</v>
      </c>
      <c r="P175" t="s">
        <v>104</v>
      </c>
    </row>
    <row r="176" spans="1:16">
      <c r="A176">
        <v>19</v>
      </c>
      <c r="B176">
        <v>46.03</v>
      </c>
      <c r="C176">
        <v>0</v>
      </c>
      <c r="D176">
        <v>20.84</v>
      </c>
      <c r="E176">
        <v>0</v>
      </c>
      <c r="F176">
        <v>5.6899999999999999E-2</v>
      </c>
      <c r="G176">
        <v>0</v>
      </c>
      <c r="H176">
        <v>36.619999999999997</v>
      </c>
      <c r="I176">
        <v>0</v>
      </c>
      <c r="J176">
        <v>0</v>
      </c>
      <c r="K176">
        <v>0</v>
      </c>
      <c r="L176">
        <v>1.89E-2</v>
      </c>
      <c r="M176">
        <v>9.0999999999999998E-2</v>
      </c>
      <c r="N176">
        <v>103.6567</v>
      </c>
      <c r="O176" t="s">
        <v>106</v>
      </c>
      <c r="P176" t="s">
        <v>102</v>
      </c>
    </row>
    <row r="177" spans="1:16">
      <c r="A177">
        <v>32</v>
      </c>
      <c r="B177">
        <v>45.84</v>
      </c>
      <c r="C177">
        <v>0</v>
      </c>
      <c r="D177">
        <v>20.91</v>
      </c>
      <c r="E177">
        <v>0</v>
      </c>
      <c r="F177">
        <v>5.5399999999999998E-2</v>
      </c>
      <c r="G177">
        <v>0</v>
      </c>
      <c r="H177">
        <v>36.28</v>
      </c>
      <c r="I177">
        <v>0</v>
      </c>
      <c r="J177">
        <v>0</v>
      </c>
      <c r="K177">
        <v>0</v>
      </c>
      <c r="L177">
        <v>1.49E-2</v>
      </c>
      <c r="M177">
        <v>8.77E-2</v>
      </c>
      <c r="N177">
        <v>103.1879</v>
      </c>
      <c r="O177" t="s">
        <v>106</v>
      </c>
      <c r="P177" t="s">
        <v>102</v>
      </c>
    </row>
    <row r="178" spans="1:16">
      <c r="A178">
        <v>18</v>
      </c>
      <c r="B178">
        <v>45.79</v>
      </c>
      <c r="C178">
        <v>0</v>
      </c>
      <c r="D178">
        <v>20.86</v>
      </c>
      <c r="E178">
        <v>0</v>
      </c>
      <c r="F178">
        <v>0.1507</v>
      </c>
      <c r="G178">
        <v>0</v>
      </c>
      <c r="H178">
        <v>36.450000000000003</v>
      </c>
      <c r="I178">
        <v>1E-3</v>
      </c>
      <c r="J178">
        <v>0</v>
      </c>
      <c r="K178">
        <v>0</v>
      </c>
      <c r="L178">
        <v>0</v>
      </c>
      <c r="M178">
        <v>7.6899999999999996E-2</v>
      </c>
      <c r="N178">
        <v>103.32850000000001</v>
      </c>
      <c r="O178" t="s">
        <v>106</v>
      </c>
      <c r="P178" t="s">
        <v>102</v>
      </c>
    </row>
    <row r="179" spans="1:16">
      <c r="A179">
        <v>34</v>
      </c>
      <c r="B179">
        <v>45.74</v>
      </c>
      <c r="C179">
        <v>0</v>
      </c>
      <c r="D179">
        <v>21.11</v>
      </c>
      <c r="E179">
        <v>0</v>
      </c>
      <c r="F179">
        <v>2.18E-2</v>
      </c>
      <c r="G179">
        <v>0</v>
      </c>
      <c r="H179">
        <v>36.29</v>
      </c>
      <c r="I179">
        <v>0</v>
      </c>
      <c r="J179">
        <v>0</v>
      </c>
      <c r="K179">
        <v>0</v>
      </c>
      <c r="L179">
        <v>4.7999999999999996E-3</v>
      </c>
      <c r="M179">
        <v>9.1600000000000001E-2</v>
      </c>
      <c r="N179">
        <v>103.2581</v>
      </c>
      <c r="O179" t="s">
        <v>106</v>
      </c>
      <c r="P179" t="s">
        <v>102</v>
      </c>
    </row>
    <row r="180" spans="1:16">
      <c r="A180">
        <v>31</v>
      </c>
      <c r="B180">
        <v>45.73</v>
      </c>
      <c r="C180">
        <v>0</v>
      </c>
      <c r="D180">
        <v>20.89</v>
      </c>
      <c r="E180">
        <v>0</v>
      </c>
      <c r="F180">
        <v>6.1000000000000004E-3</v>
      </c>
      <c r="G180">
        <v>0</v>
      </c>
      <c r="H180">
        <v>36.380000000000003</v>
      </c>
      <c r="I180">
        <v>0</v>
      </c>
      <c r="J180">
        <v>5.1000000000000004E-3</v>
      </c>
      <c r="K180">
        <v>0</v>
      </c>
      <c r="L180">
        <v>0</v>
      </c>
      <c r="M180">
        <v>7.2599999999999998E-2</v>
      </c>
      <c r="N180">
        <v>103.08369999999999</v>
      </c>
      <c r="O180" t="s">
        <v>106</v>
      </c>
      <c r="P180" t="s">
        <v>102</v>
      </c>
    </row>
    <row r="181" spans="1:16">
      <c r="A181">
        <v>20</v>
      </c>
      <c r="B181">
        <v>45.06</v>
      </c>
      <c r="C181">
        <v>0</v>
      </c>
      <c r="D181">
        <v>21.45</v>
      </c>
      <c r="E181">
        <v>0</v>
      </c>
      <c r="F181">
        <v>5.4300000000000001E-2</v>
      </c>
      <c r="G181">
        <v>0</v>
      </c>
      <c r="H181">
        <v>36.78</v>
      </c>
      <c r="I181">
        <v>0</v>
      </c>
      <c r="J181">
        <v>4.1999999999999997E-3</v>
      </c>
      <c r="K181">
        <v>0</v>
      </c>
      <c r="L181">
        <v>1.14E-2</v>
      </c>
      <c r="M181">
        <v>9.6000000000000002E-2</v>
      </c>
      <c r="N181">
        <v>103.4558</v>
      </c>
      <c r="O181" t="s">
        <v>106</v>
      </c>
      <c r="P181" t="s">
        <v>102</v>
      </c>
    </row>
    <row r="182" spans="1:16">
      <c r="A182">
        <v>21</v>
      </c>
      <c r="B182">
        <v>44.99</v>
      </c>
      <c r="C182">
        <v>0</v>
      </c>
      <c r="D182">
        <v>21.68</v>
      </c>
      <c r="E182">
        <v>0</v>
      </c>
      <c r="F182">
        <v>4.9099999999999998E-2</v>
      </c>
      <c r="G182">
        <v>0</v>
      </c>
      <c r="H182">
        <v>36.130000000000003</v>
      </c>
      <c r="I182">
        <v>2.0999999999999999E-3</v>
      </c>
      <c r="J182">
        <v>0</v>
      </c>
      <c r="K182">
        <v>0</v>
      </c>
      <c r="L182">
        <v>1.3100000000000001E-2</v>
      </c>
      <c r="M182">
        <v>6.9699999999999998E-2</v>
      </c>
      <c r="N182">
        <v>102.934</v>
      </c>
      <c r="O182" t="s">
        <v>106</v>
      </c>
      <c r="P182" t="s">
        <v>102</v>
      </c>
    </row>
    <row r="183" spans="1:16">
      <c r="A183">
        <v>89</v>
      </c>
      <c r="B183">
        <v>44.79</v>
      </c>
      <c r="C183">
        <v>0</v>
      </c>
      <c r="D183">
        <v>21.24</v>
      </c>
      <c r="E183">
        <v>4.8999999999999998E-3</v>
      </c>
      <c r="F183">
        <v>0</v>
      </c>
      <c r="G183">
        <v>0</v>
      </c>
      <c r="H183">
        <v>36.090000000000003</v>
      </c>
      <c r="I183">
        <v>3.8999999999999998E-3</v>
      </c>
      <c r="J183">
        <v>4.9399999999999999E-2</v>
      </c>
      <c r="K183">
        <v>0</v>
      </c>
      <c r="L183">
        <v>0</v>
      </c>
      <c r="M183">
        <v>6.2600000000000003E-2</v>
      </c>
      <c r="N183">
        <v>102.2407</v>
      </c>
      <c r="O183" t="s">
        <v>108</v>
      </c>
      <c r="P183" t="s">
        <v>21</v>
      </c>
    </row>
    <row r="184" spans="1:16">
      <c r="A184">
        <v>86</v>
      </c>
      <c r="B184">
        <v>44.39</v>
      </c>
      <c r="C184">
        <v>0</v>
      </c>
      <c r="D184">
        <v>21.32</v>
      </c>
      <c r="E184">
        <v>0</v>
      </c>
      <c r="F184">
        <v>0</v>
      </c>
      <c r="G184">
        <v>1.4E-3</v>
      </c>
      <c r="H184">
        <v>35.42</v>
      </c>
      <c r="I184">
        <v>0</v>
      </c>
      <c r="J184">
        <v>0.13389999999999999</v>
      </c>
      <c r="K184">
        <v>0</v>
      </c>
      <c r="L184">
        <v>0</v>
      </c>
      <c r="M184">
        <v>7.3400000000000007E-2</v>
      </c>
      <c r="N184">
        <v>101.3387</v>
      </c>
      <c r="O184" t="s">
        <v>108</v>
      </c>
      <c r="P184" t="s">
        <v>21</v>
      </c>
    </row>
    <row r="185" spans="1:16">
      <c r="A185">
        <v>90</v>
      </c>
      <c r="B185">
        <v>44.28</v>
      </c>
      <c r="C185">
        <v>0</v>
      </c>
      <c r="D185">
        <v>21.88</v>
      </c>
      <c r="E185">
        <v>0</v>
      </c>
      <c r="F185">
        <v>1.4E-3</v>
      </c>
      <c r="G185">
        <v>0</v>
      </c>
      <c r="H185">
        <v>36.46</v>
      </c>
      <c r="I185">
        <v>0</v>
      </c>
      <c r="J185">
        <v>2.9100000000000001E-2</v>
      </c>
      <c r="K185">
        <v>0</v>
      </c>
      <c r="L185">
        <v>2.9999999999999997E-4</v>
      </c>
      <c r="M185">
        <v>7.9200000000000007E-2</v>
      </c>
      <c r="N185">
        <v>102.7299</v>
      </c>
      <c r="O185" t="s">
        <v>108</v>
      </c>
      <c r="P185" t="s">
        <v>21</v>
      </c>
    </row>
    <row r="186" spans="1:16">
      <c r="A186">
        <v>88</v>
      </c>
      <c r="B186">
        <v>44.23</v>
      </c>
      <c r="C186">
        <v>0</v>
      </c>
      <c r="D186">
        <v>21.43</v>
      </c>
      <c r="E186">
        <v>0</v>
      </c>
      <c r="F186">
        <v>0</v>
      </c>
      <c r="G186">
        <v>0</v>
      </c>
      <c r="H186">
        <v>36.29</v>
      </c>
      <c r="I186">
        <v>0</v>
      </c>
      <c r="J186">
        <v>0.27489999999999998</v>
      </c>
      <c r="K186">
        <v>0</v>
      </c>
      <c r="L186">
        <v>0</v>
      </c>
      <c r="M186">
        <v>8.9499999999999996E-2</v>
      </c>
      <c r="N186">
        <v>102.31440000000001</v>
      </c>
      <c r="O186" t="s">
        <v>108</v>
      </c>
      <c r="P186" t="s">
        <v>21</v>
      </c>
    </row>
    <row r="187" spans="1:16">
      <c r="A187">
        <v>87</v>
      </c>
      <c r="B187">
        <v>43.59</v>
      </c>
      <c r="C187">
        <v>0</v>
      </c>
      <c r="D187">
        <v>22.2</v>
      </c>
      <c r="E187">
        <v>0</v>
      </c>
      <c r="F187">
        <v>0</v>
      </c>
      <c r="G187">
        <v>0</v>
      </c>
      <c r="H187">
        <v>36.729999999999997</v>
      </c>
      <c r="I187">
        <v>0</v>
      </c>
      <c r="J187">
        <v>0.48259999999999997</v>
      </c>
      <c r="K187">
        <v>0</v>
      </c>
      <c r="L187">
        <v>7.1000000000000004E-3</v>
      </c>
      <c r="M187">
        <v>6.8500000000000005E-2</v>
      </c>
      <c r="N187">
        <v>103.07810000000001</v>
      </c>
      <c r="O187" t="s">
        <v>108</v>
      </c>
      <c r="P187" t="s">
        <v>21</v>
      </c>
    </row>
    <row r="188" spans="1:16">
      <c r="A188">
        <v>95</v>
      </c>
      <c r="B188">
        <v>43.52</v>
      </c>
      <c r="C188">
        <v>0</v>
      </c>
      <c r="D188">
        <v>22.22</v>
      </c>
      <c r="E188">
        <v>0</v>
      </c>
      <c r="F188">
        <v>0</v>
      </c>
      <c r="G188">
        <v>0</v>
      </c>
      <c r="H188">
        <v>36.85</v>
      </c>
      <c r="I188">
        <v>0</v>
      </c>
      <c r="J188">
        <v>3.2300000000000002E-2</v>
      </c>
      <c r="K188">
        <v>0</v>
      </c>
      <c r="L188">
        <v>0</v>
      </c>
      <c r="M188">
        <v>0.1032</v>
      </c>
      <c r="N188">
        <v>102.72539999999999</v>
      </c>
      <c r="O188" t="s">
        <v>108</v>
      </c>
      <c r="P188" t="s">
        <v>21</v>
      </c>
    </row>
    <row r="189" spans="1:16">
      <c r="A189">
        <v>91</v>
      </c>
      <c r="B189">
        <v>43.04</v>
      </c>
      <c r="C189">
        <v>0</v>
      </c>
      <c r="D189">
        <v>22.7</v>
      </c>
      <c r="E189">
        <v>0</v>
      </c>
      <c r="F189">
        <v>3.8999999999999998E-3</v>
      </c>
      <c r="G189">
        <v>0</v>
      </c>
      <c r="H189">
        <v>36.729999999999997</v>
      </c>
      <c r="I189">
        <v>0</v>
      </c>
      <c r="J189">
        <v>4.7100000000000003E-2</v>
      </c>
      <c r="K189">
        <v>0</v>
      </c>
      <c r="L189">
        <v>2.1299999999999999E-2</v>
      </c>
      <c r="M189">
        <v>8.77E-2</v>
      </c>
      <c r="N189">
        <v>102.63</v>
      </c>
      <c r="O189" t="s">
        <v>108</v>
      </c>
      <c r="P189" t="s">
        <v>21</v>
      </c>
    </row>
    <row r="190" spans="1:16">
      <c r="A190">
        <v>45</v>
      </c>
      <c r="B190">
        <v>46.47</v>
      </c>
      <c r="C190">
        <v>0</v>
      </c>
      <c r="D190">
        <v>20.74</v>
      </c>
      <c r="E190">
        <v>0</v>
      </c>
      <c r="F190">
        <v>2.3400000000000001E-2</v>
      </c>
      <c r="G190">
        <v>0</v>
      </c>
      <c r="H190">
        <v>35.61</v>
      </c>
      <c r="I190">
        <v>5.7999999999999996E-3</v>
      </c>
      <c r="J190">
        <v>0</v>
      </c>
      <c r="K190">
        <v>0</v>
      </c>
      <c r="L190">
        <v>0</v>
      </c>
      <c r="M190">
        <v>9.4E-2</v>
      </c>
      <c r="N190">
        <v>102.9431</v>
      </c>
      <c r="O190" t="s">
        <v>109</v>
      </c>
      <c r="P190" t="s">
        <v>102</v>
      </c>
    </row>
    <row r="191" spans="1:16">
      <c r="A191">
        <v>46</v>
      </c>
      <c r="B191">
        <v>46.15</v>
      </c>
      <c r="C191">
        <v>0</v>
      </c>
      <c r="D191">
        <v>21.23</v>
      </c>
      <c r="E191">
        <v>0</v>
      </c>
      <c r="F191">
        <v>0.15909999999999999</v>
      </c>
      <c r="G191">
        <v>0</v>
      </c>
      <c r="H191">
        <v>35.22</v>
      </c>
      <c r="I191">
        <v>1.5E-3</v>
      </c>
      <c r="J191">
        <v>0</v>
      </c>
      <c r="K191">
        <v>0</v>
      </c>
      <c r="L191">
        <v>1.52E-2</v>
      </c>
      <c r="M191">
        <v>7.4300000000000005E-2</v>
      </c>
      <c r="N191">
        <v>102.8501</v>
      </c>
      <c r="O191" t="s">
        <v>109</v>
      </c>
      <c r="P191" t="s">
        <v>102</v>
      </c>
    </row>
    <row r="192" spans="1:16">
      <c r="A192">
        <v>54</v>
      </c>
      <c r="B192">
        <v>45.94</v>
      </c>
      <c r="C192">
        <v>0</v>
      </c>
      <c r="D192">
        <v>21.11</v>
      </c>
      <c r="E192">
        <v>9.4999999999999998E-3</v>
      </c>
      <c r="F192">
        <v>1.1299999999999999E-2</v>
      </c>
      <c r="G192">
        <v>0</v>
      </c>
      <c r="H192">
        <v>35.82</v>
      </c>
      <c r="I192">
        <v>0</v>
      </c>
      <c r="J192">
        <v>0</v>
      </c>
      <c r="K192">
        <v>0</v>
      </c>
      <c r="L192">
        <v>0</v>
      </c>
      <c r="M192">
        <v>0.1004</v>
      </c>
      <c r="N192">
        <v>102.9911</v>
      </c>
      <c r="O192" t="s">
        <v>109</v>
      </c>
      <c r="P192" t="s">
        <v>102</v>
      </c>
    </row>
    <row r="193" spans="1:16">
      <c r="A193">
        <v>60</v>
      </c>
      <c r="B193">
        <v>45.57</v>
      </c>
      <c r="C193">
        <v>0</v>
      </c>
      <c r="D193">
        <v>21.22</v>
      </c>
      <c r="E193">
        <v>0</v>
      </c>
      <c r="F193">
        <v>3.1699999999999999E-2</v>
      </c>
      <c r="G193">
        <v>5.9999999999999995E-4</v>
      </c>
      <c r="H193">
        <v>35.72</v>
      </c>
      <c r="I193">
        <v>0</v>
      </c>
      <c r="J193">
        <v>4.1999999999999997E-3</v>
      </c>
      <c r="K193">
        <v>0</v>
      </c>
      <c r="L193">
        <v>0</v>
      </c>
      <c r="M193">
        <v>9.5200000000000007E-2</v>
      </c>
      <c r="N193">
        <v>102.6417</v>
      </c>
      <c r="O193" t="s">
        <v>109</v>
      </c>
      <c r="P193" t="s">
        <v>102</v>
      </c>
    </row>
    <row r="194" spans="1:16">
      <c r="A194">
        <v>52</v>
      </c>
      <c r="B194">
        <v>45.49</v>
      </c>
      <c r="C194">
        <v>0</v>
      </c>
      <c r="D194">
        <v>21.25</v>
      </c>
      <c r="E194">
        <v>2.7000000000000001E-3</v>
      </c>
      <c r="F194">
        <v>0.1081</v>
      </c>
      <c r="G194">
        <v>0</v>
      </c>
      <c r="H194">
        <v>34.909999999999997</v>
      </c>
      <c r="I194">
        <v>0</v>
      </c>
      <c r="J194">
        <v>0</v>
      </c>
      <c r="K194">
        <v>0</v>
      </c>
      <c r="L194">
        <v>2.3999999999999998E-3</v>
      </c>
      <c r="M194">
        <v>5.2900000000000003E-2</v>
      </c>
      <c r="N194">
        <v>101.81610000000001</v>
      </c>
      <c r="O194" t="s">
        <v>109</v>
      </c>
      <c r="P194" t="s">
        <v>102</v>
      </c>
    </row>
    <row r="195" spans="1:16">
      <c r="A195">
        <v>61</v>
      </c>
      <c r="B195">
        <v>45.48</v>
      </c>
      <c r="C195">
        <v>0</v>
      </c>
      <c r="D195">
        <v>21.45</v>
      </c>
      <c r="E195">
        <v>0</v>
      </c>
      <c r="F195">
        <v>8.2400000000000001E-2</v>
      </c>
      <c r="G195">
        <v>0</v>
      </c>
      <c r="H195">
        <v>35.67</v>
      </c>
      <c r="I195">
        <v>0</v>
      </c>
      <c r="J195">
        <v>3.0999999999999999E-3</v>
      </c>
      <c r="K195">
        <v>0</v>
      </c>
      <c r="L195">
        <v>1.5E-3</v>
      </c>
      <c r="M195">
        <v>8.9300000000000004E-2</v>
      </c>
      <c r="N195">
        <v>102.7762</v>
      </c>
      <c r="O195" t="s">
        <v>110</v>
      </c>
      <c r="P195" t="s">
        <v>102</v>
      </c>
    </row>
    <row r="196" spans="1:16">
      <c r="A196">
        <v>58</v>
      </c>
      <c r="B196">
        <v>45.44</v>
      </c>
      <c r="C196">
        <v>0</v>
      </c>
      <c r="D196">
        <v>21.52</v>
      </c>
      <c r="E196">
        <v>0</v>
      </c>
      <c r="F196">
        <v>4.1799999999999997E-2</v>
      </c>
      <c r="G196">
        <v>0</v>
      </c>
      <c r="H196">
        <v>35.58</v>
      </c>
      <c r="I196">
        <v>0</v>
      </c>
      <c r="J196">
        <v>1.55E-2</v>
      </c>
      <c r="K196">
        <v>0</v>
      </c>
      <c r="L196">
        <v>2.0999999999999999E-3</v>
      </c>
      <c r="M196">
        <v>8.0100000000000005E-2</v>
      </c>
      <c r="N196">
        <v>102.6795</v>
      </c>
      <c r="O196" t="s">
        <v>109</v>
      </c>
      <c r="P196" t="s">
        <v>102</v>
      </c>
    </row>
    <row r="197" spans="1:16">
      <c r="A197">
        <v>59</v>
      </c>
      <c r="B197">
        <v>45.24</v>
      </c>
      <c r="C197">
        <v>0</v>
      </c>
      <c r="D197">
        <v>21.65</v>
      </c>
      <c r="E197">
        <v>0</v>
      </c>
      <c r="F197">
        <v>1.9099999999999999E-2</v>
      </c>
      <c r="G197">
        <v>0</v>
      </c>
      <c r="H197">
        <v>35.69</v>
      </c>
      <c r="I197">
        <v>0</v>
      </c>
      <c r="J197">
        <v>6.7000000000000002E-3</v>
      </c>
      <c r="K197">
        <v>0</v>
      </c>
      <c r="L197">
        <v>2.9999999999999997E-4</v>
      </c>
      <c r="M197">
        <v>0.1129</v>
      </c>
      <c r="N197">
        <v>102.7189</v>
      </c>
      <c r="O197" t="s">
        <v>109</v>
      </c>
      <c r="P197" t="s">
        <v>102</v>
      </c>
    </row>
    <row r="198" spans="1:16">
      <c r="A198">
        <v>63</v>
      </c>
      <c r="B198">
        <v>45.04</v>
      </c>
      <c r="C198">
        <v>0</v>
      </c>
      <c r="D198">
        <v>21.59</v>
      </c>
      <c r="E198">
        <v>0</v>
      </c>
      <c r="F198">
        <v>0.12130000000000001</v>
      </c>
      <c r="G198">
        <v>0</v>
      </c>
      <c r="H198">
        <v>35.82</v>
      </c>
      <c r="I198">
        <v>1E-4</v>
      </c>
      <c r="J198">
        <v>1.6999999999999999E-3</v>
      </c>
      <c r="K198">
        <v>0</v>
      </c>
      <c r="L198">
        <v>7.7999999999999996E-3</v>
      </c>
      <c r="M198">
        <v>7.7200000000000005E-2</v>
      </c>
      <c r="N198">
        <v>102.6581</v>
      </c>
      <c r="O198" t="s">
        <v>110</v>
      </c>
      <c r="P198" t="s">
        <v>102</v>
      </c>
    </row>
    <row r="199" spans="1:16">
      <c r="A199">
        <v>53</v>
      </c>
      <c r="B199">
        <v>44.98</v>
      </c>
      <c r="C199">
        <v>0</v>
      </c>
      <c r="D199">
        <v>21.68</v>
      </c>
      <c r="E199">
        <v>1.6999999999999999E-3</v>
      </c>
      <c r="F199">
        <v>0.1827</v>
      </c>
      <c r="G199">
        <v>0</v>
      </c>
      <c r="H199">
        <v>35.07</v>
      </c>
      <c r="I199">
        <v>0</v>
      </c>
      <c r="J199">
        <v>0</v>
      </c>
      <c r="K199">
        <v>0</v>
      </c>
      <c r="L199">
        <v>0</v>
      </c>
      <c r="M199">
        <v>7.7299999999999994E-2</v>
      </c>
      <c r="N199">
        <v>101.99169999999999</v>
      </c>
      <c r="O199" t="s">
        <v>109</v>
      </c>
      <c r="P199" t="s">
        <v>102</v>
      </c>
    </row>
    <row r="200" spans="1:16">
      <c r="A200">
        <v>35</v>
      </c>
      <c r="B200">
        <v>44.9</v>
      </c>
      <c r="C200">
        <v>0</v>
      </c>
      <c r="D200">
        <v>22.09</v>
      </c>
      <c r="E200">
        <v>1.0200000000000001E-2</v>
      </c>
      <c r="F200">
        <v>4.1999999999999997E-3</v>
      </c>
      <c r="G200">
        <v>0</v>
      </c>
      <c r="H200">
        <v>35.659999999999997</v>
      </c>
      <c r="I200">
        <v>0</v>
      </c>
      <c r="J200">
        <v>0</v>
      </c>
      <c r="K200">
        <v>0</v>
      </c>
      <c r="L200">
        <v>0</v>
      </c>
      <c r="M200">
        <v>7.8299999999999995E-2</v>
      </c>
      <c r="N200">
        <v>102.7427</v>
      </c>
      <c r="O200" t="s">
        <v>111</v>
      </c>
      <c r="P200" t="s">
        <v>112</v>
      </c>
    </row>
    <row r="201" spans="1:16">
      <c r="A201">
        <v>64</v>
      </c>
      <c r="B201">
        <v>44.78</v>
      </c>
      <c r="C201">
        <v>0</v>
      </c>
      <c r="D201">
        <v>21.6</v>
      </c>
      <c r="E201">
        <v>4.4000000000000003E-3</v>
      </c>
      <c r="F201">
        <v>0.1011</v>
      </c>
      <c r="G201">
        <v>0</v>
      </c>
      <c r="H201">
        <v>35.36</v>
      </c>
      <c r="I201">
        <v>8.9999999999999998E-4</v>
      </c>
      <c r="J201">
        <v>0</v>
      </c>
      <c r="K201">
        <v>0</v>
      </c>
      <c r="L201">
        <v>0</v>
      </c>
      <c r="M201">
        <v>9.2899999999999996E-2</v>
      </c>
      <c r="N201">
        <v>101.9392</v>
      </c>
      <c r="O201" t="s">
        <v>110</v>
      </c>
      <c r="P201" t="s">
        <v>102</v>
      </c>
    </row>
    <row r="202" spans="1:16">
      <c r="A202">
        <v>62</v>
      </c>
      <c r="B202">
        <v>43.61</v>
      </c>
      <c r="C202">
        <v>0</v>
      </c>
      <c r="D202">
        <v>22.53</v>
      </c>
      <c r="E202">
        <v>3.5999999999999999E-3</v>
      </c>
      <c r="F202">
        <v>6.8699999999999997E-2</v>
      </c>
      <c r="G202">
        <v>0</v>
      </c>
      <c r="H202">
        <v>35.909999999999997</v>
      </c>
      <c r="I202">
        <v>0</v>
      </c>
      <c r="J202">
        <v>0</v>
      </c>
      <c r="K202">
        <v>0</v>
      </c>
      <c r="L202">
        <v>1.7999999999999999E-2</v>
      </c>
      <c r="M202">
        <v>7.3400000000000007E-2</v>
      </c>
      <c r="N202">
        <v>102.2136</v>
      </c>
      <c r="O202" t="s">
        <v>110</v>
      </c>
      <c r="P202" t="s">
        <v>102</v>
      </c>
    </row>
    <row r="203" spans="1:16">
      <c r="A203">
        <v>42</v>
      </c>
      <c r="B203">
        <v>43.56</v>
      </c>
      <c r="C203">
        <v>0</v>
      </c>
      <c r="D203">
        <v>22.78</v>
      </c>
      <c r="E203">
        <v>0</v>
      </c>
      <c r="F203">
        <v>0.25509999999999999</v>
      </c>
      <c r="G203">
        <v>0</v>
      </c>
      <c r="H203">
        <v>36.11</v>
      </c>
      <c r="I203">
        <v>0</v>
      </c>
      <c r="J203">
        <v>8.0000000000000004E-4</v>
      </c>
      <c r="K203">
        <v>0</v>
      </c>
      <c r="L203">
        <v>0</v>
      </c>
      <c r="M203">
        <v>7.5399999999999995E-2</v>
      </c>
      <c r="N203">
        <v>102.7812</v>
      </c>
      <c r="O203" t="s">
        <v>111</v>
      </c>
      <c r="P203" t="s">
        <v>112</v>
      </c>
    </row>
    <row r="204" spans="1:16">
      <c r="A204">
        <v>52</v>
      </c>
      <c r="B204">
        <v>48.8</v>
      </c>
      <c r="C204">
        <v>0</v>
      </c>
      <c r="D204">
        <v>19.010000000000002</v>
      </c>
      <c r="E204">
        <v>7.1000000000000004E-3</v>
      </c>
      <c r="F204">
        <v>0</v>
      </c>
      <c r="G204">
        <v>1.9E-3</v>
      </c>
      <c r="H204">
        <v>34.6</v>
      </c>
      <c r="I204">
        <v>2.0000000000000001E-4</v>
      </c>
      <c r="J204">
        <v>2.3300000000000001E-2</v>
      </c>
      <c r="K204">
        <v>0</v>
      </c>
      <c r="L204">
        <v>0</v>
      </c>
      <c r="M204">
        <v>5.9200000000000003E-2</v>
      </c>
      <c r="N204">
        <v>102.5016</v>
      </c>
      <c r="O204" t="s">
        <v>113</v>
      </c>
      <c r="P204" t="s">
        <v>102</v>
      </c>
    </row>
    <row r="205" spans="1:16">
      <c r="A205">
        <v>60</v>
      </c>
      <c r="B205">
        <v>45.72</v>
      </c>
      <c r="C205">
        <v>0</v>
      </c>
      <c r="D205">
        <v>21.37</v>
      </c>
      <c r="E205">
        <v>0</v>
      </c>
      <c r="F205">
        <v>2.07E-2</v>
      </c>
      <c r="G205">
        <v>0</v>
      </c>
      <c r="H205">
        <v>35.299999999999997</v>
      </c>
      <c r="I205">
        <v>3.3999999999999998E-3</v>
      </c>
      <c r="J205">
        <v>9.7999999999999997E-3</v>
      </c>
      <c r="K205">
        <v>0</v>
      </c>
      <c r="L205">
        <v>0</v>
      </c>
      <c r="M205">
        <v>5.9700000000000003E-2</v>
      </c>
      <c r="N205">
        <v>102.4836</v>
      </c>
      <c r="O205" t="s">
        <v>114</v>
      </c>
      <c r="P205" t="s">
        <v>112</v>
      </c>
    </row>
    <row r="206" spans="1:16">
      <c r="A206">
        <v>6</v>
      </c>
      <c r="B206">
        <v>46.32</v>
      </c>
      <c r="C206">
        <v>0</v>
      </c>
      <c r="D206">
        <v>20.87</v>
      </c>
      <c r="E206">
        <v>0</v>
      </c>
      <c r="F206">
        <v>4.1000000000000003E-3</v>
      </c>
      <c r="G206">
        <v>0</v>
      </c>
      <c r="H206">
        <v>35.51</v>
      </c>
      <c r="I206">
        <v>0</v>
      </c>
      <c r="J206">
        <v>3.2000000000000002E-3</v>
      </c>
      <c r="K206">
        <v>0</v>
      </c>
      <c r="L206">
        <v>0</v>
      </c>
      <c r="M206">
        <v>7.6799999999999993E-2</v>
      </c>
      <c r="N206">
        <v>102.78400000000001</v>
      </c>
      <c r="O206" t="s">
        <v>115</v>
      </c>
      <c r="P206" t="s">
        <v>102</v>
      </c>
    </row>
    <row r="207" spans="1:16">
      <c r="A207">
        <v>51</v>
      </c>
      <c r="B207">
        <v>47.57</v>
      </c>
      <c r="C207">
        <v>0</v>
      </c>
      <c r="D207">
        <v>19.940000000000001</v>
      </c>
      <c r="E207">
        <v>0</v>
      </c>
      <c r="F207">
        <v>0</v>
      </c>
      <c r="G207">
        <v>0</v>
      </c>
      <c r="H207">
        <v>35.17</v>
      </c>
      <c r="I207">
        <v>0</v>
      </c>
      <c r="J207">
        <v>1.2999999999999999E-3</v>
      </c>
      <c r="K207">
        <v>0</v>
      </c>
      <c r="L207">
        <v>0</v>
      </c>
      <c r="M207">
        <v>5.6500000000000002E-2</v>
      </c>
      <c r="N207">
        <v>102.7377</v>
      </c>
      <c r="O207" t="s">
        <v>113</v>
      </c>
      <c r="P207" t="s">
        <v>102</v>
      </c>
    </row>
    <row r="208" spans="1:16">
      <c r="A208">
        <v>61</v>
      </c>
      <c r="B208">
        <v>46.15</v>
      </c>
      <c r="C208">
        <v>0</v>
      </c>
      <c r="D208">
        <v>21.15</v>
      </c>
      <c r="E208">
        <v>0</v>
      </c>
      <c r="F208">
        <v>3.3500000000000002E-2</v>
      </c>
      <c r="G208">
        <v>5.9999999999999995E-4</v>
      </c>
      <c r="H208">
        <v>35.229999999999997</v>
      </c>
      <c r="I208">
        <v>0</v>
      </c>
      <c r="J208">
        <v>0</v>
      </c>
      <c r="K208">
        <v>0</v>
      </c>
      <c r="L208">
        <v>0</v>
      </c>
      <c r="M208">
        <v>7.8700000000000006E-2</v>
      </c>
      <c r="N208">
        <v>102.6427</v>
      </c>
      <c r="O208" t="s">
        <v>114</v>
      </c>
      <c r="P208" t="s">
        <v>112</v>
      </c>
    </row>
    <row r="209" spans="1:16">
      <c r="A209">
        <v>63</v>
      </c>
      <c r="B209">
        <v>45.99</v>
      </c>
      <c r="C209">
        <v>0</v>
      </c>
      <c r="D209">
        <v>21.08</v>
      </c>
      <c r="E209">
        <v>0</v>
      </c>
      <c r="F209">
        <v>2.8799999999999999E-2</v>
      </c>
      <c r="G209">
        <v>0</v>
      </c>
      <c r="H209">
        <v>35.44</v>
      </c>
      <c r="I209">
        <v>0</v>
      </c>
      <c r="J209">
        <v>0</v>
      </c>
      <c r="K209">
        <v>0</v>
      </c>
      <c r="L209">
        <v>0</v>
      </c>
      <c r="M209">
        <v>6.2E-2</v>
      </c>
      <c r="N209">
        <v>102.6007</v>
      </c>
      <c r="O209" t="s">
        <v>114</v>
      </c>
      <c r="P209" t="s">
        <v>112</v>
      </c>
    </row>
    <row r="210" spans="1:16">
      <c r="A210">
        <v>64</v>
      </c>
      <c r="B210">
        <v>46.35</v>
      </c>
      <c r="C210">
        <v>0</v>
      </c>
      <c r="D210">
        <v>21.05</v>
      </c>
      <c r="E210">
        <v>0</v>
      </c>
      <c r="F210">
        <v>9.1999999999999998E-3</v>
      </c>
      <c r="G210">
        <v>0</v>
      </c>
      <c r="H210">
        <v>35.46</v>
      </c>
      <c r="I210">
        <v>2.5999999999999999E-3</v>
      </c>
      <c r="J210">
        <v>0</v>
      </c>
      <c r="K210">
        <v>0</v>
      </c>
      <c r="L210">
        <v>0</v>
      </c>
      <c r="M210">
        <v>5.8400000000000001E-2</v>
      </c>
      <c r="N210">
        <v>102.9301</v>
      </c>
      <c r="O210" t="s">
        <v>114</v>
      </c>
      <c r="P210" t="s">
        <v>112</v>
      </c>
    </row>
    <row r="211" spans="1:16">
      <c r="A211">
        <v>10</v>
      </c>
      <c r="B211">
        <v>47.26</v>
      </c>
      <c r="C211">
        <v>0</v>
      </c>
      <c r="D211">
        <v>20.2</v>
      </c>
      <c r="E211">
        <v>5.0000000000000001E-4</v>
      </c>
      <c r="F211">
        <v>0</v>
      </c>
      <c r="G211">
        <v>0</v>
      </c>
      <c r="H211">
        <v>35.26</v>
      </c>
      <c r="I211">
        <v>7.4000000000000003E-3</v>
      </c>
      <c r="J211">
        <v>0</v>
      </c>
      <c r="K211">
        <v>0</v>
      </c>
      <c r="L211">
        <v>2.7000000000000001E-3</v>
      </c>
      <c r="M211">
        <v>5.6899999999999999E-2</v>
      </c>
      <c r="N211">
        <v>102.78749999999999</v>
      </c>
      <c r="O211" t="s">
        <v>115</v>
      </c>
      <c r="P211" t="s">
        <v>102</v>
      </c>
    </row>
    <row r="212" spans="1:16">
      <c r="A212">
        <v>62</v>
      </c>
      <c r="B212">
        <v>46.09</v>
      </c>
      <c r="C212">
        <v>0</v>
      </c>
      <c r="D212">
        <v>21.19</v>
      </c>
      <c r="E212">
        <v>0</v>
      </c>
      <c r="F212">
        <v>4.8000000000000001E-2</v>
      </c>
      <c r="G212">
        <v>0</v>
      </c>
      <c r="H212">
        <v>35.21</v>
      </c>
      <c r="I212">
        <v>0</v>
      </c>
      <c r="J212">
        <v>0</v>
      </c>
      <c r="K212">
        <v>0</v>
      </c>
      <c r="L212">
        <v>3.5999999999999999E-3</v>
      </c>
      <c r="M212">
        <v>7.3999999999999996E-2</v>
      </c>
      <c r="N212">
        <v>102.6155</v>
      </c>
      <c r="O212" t="s">
        <v>114</v>
      </c>
      <c r="P212" t="s">
        <v>112</v>
      </c>
    </row>
    <row r="213" spans="1:16">
      <c r="A213">
        <v>2</v>
      </c>
      <c r="B213">
        <v>49.72</v>
      </c>
      <c r="C213">
        <v>0</v>
      </c>
      <c r="D213">
        <v>18.66</v>
      </c>
      <c r="E213">
        <v>0</v>
      </c>
      <c r="F213">
        <v>0</v>
      </c>
      <c r="G213">
        <v>0</v>
      </c>
      <c r="H213">
        <v>34.65</v>
      </c>
      <c r="I213">
        <v>0</v>
      </c>
      <c r="J213">
        <v>0</v>
      </c>
      <c r="K213">
        <v>0</v>
      </c>
      <c r="L213">
        <v>7.7000000000000002E-3</v>
      </c>
      <c r="M213">
        <v>6.2799999999999995E-2</v>
      </c>
      <c r="N213">
        <v>103.10039999999999</v>
      </c>
      <c r="O213" t="s">
        <v>115</v>
      </c>
      <c r="P213" t="s">
        <v>102</v>
      </c>
    </row>
    <row r="214" spans="1:16">
      <c r="A214">
        <v>59</v>
      </c>
      <c r="B214">
        <v>46.14</v>
      </c>
      <c r="C214">
        <v>0</v>
      </c>
      <c r="D214">
        <v>20.7</v>
      </c>
      <c r="E214">
        <v>0</v>
      </c>
      <c r="F214">
        <v>1.77E-2</v>
      </c>
      <c r="G214">
        <v>0</v>
      </c>
      <c r="H214">
        <v>32.979999999999997</v>
      </c>
      <c r="I214">
        <v>0</v>
      </c>
      <c r="J214">
        <v>0</v>
      </c>
      <c r="K214">
        <v>0</v>
      </c>
      <c r="L214">
        <v>1.35E-2</v>
      </c>
      <c r="M214">
        <v>7.4200000000000002E-2</v>
      </c>
      <c r="N214">
        <v>99.925399999999996</v>
      </c>
      <c r="O214" t="s">
        <v>114</v>
      </c>
      <c r="P214" t="s">
        <v>112</v>
      </c>
    </row>
    <row r="215" spans="1:16">
      <c r="A215">
        <v>11</v>
      </c>
      <c r="B215">
        <v>48.64</v>
      </c>
      <c r="C215">
        <v>0</v>
      </c>
      <c r="D215">
        <v>19.239999999999998</v>
      </c>
      <c r="E215">
        <v>5.3E-3</v>
      </c>
      <c r="F215">
        <v>0</v>
      </c>
      <c r="G215">
        <v>0</v>
      </c>
      <c r="H215">
        <v>34.75</v>
      </c>
      <c r="I215">
        <v>0</v>
      </c>
      <c r="J215">
        <v>0</v>
      </c>
      <c r="K215">
        <v>0</v>
      </c>
      <c r="L215">
        <v>1.6500000000000001E-2</v>
      </c>
      <c r="M215">
        <v>4.5900000000000003E-2</v>
      </c>
      <c r="N215">
        <v>102.69759999999999</v>
      </c>
      <c r="O215" t="s">
        <v>115</v>
      </c>
      <c r="P215" t="s">
        <v>102</v>
      </c>
    </row>
    <row r="216" spans="1:16">
      <c r="A216">
        <v>28</v>
      </c>
      <c r="B216">
        <v>48.57</v>
      </c>
      <c r="C216">
        <v>0</v>
      </c>
      <c r="D216">
        <v>18.79</v>
      </c>
      <c r="E216">
        <v>0</v>
      </c>
      <c r="F216">
        <v>0</v>
      </c>
      <c r="G216">
        <v>0</v>
      </c>
      <c r="H216">
        <v>34.49</v>
      </c>
      <c r="I216">
        <v>0</v>
      </c>
      <c r="J216">
        <v>0</v>
      </c>
      <c r="K216">
        <v>0</v>
      </c>
      <c r="L216">
        <v>0</v>
      </c>
      <c r="M216">
        <v>5.6500000000000002E-2</v>
      </c>
      <c r="N216">
        <v>101.90649999999999</v>
      </c>
      <c r="O216" t="s">
        <v>116</v>
      </c>
      <c r="P216" t="s">
        <v>102</v>
      </c>
    </row>
    <row r="217" spans="1:16">
      <c r="A217">
        <v>75</v>
      </c>
      <c r="B217">
        <v>48.47</v>
      </c>
      <c r="C217">
        <v>0</v>
      </c>
      <c r="D217">
        <v>18.850000000000001</v>
      </c>
      <c r="E217">
        <v>0</v>
      </c>
      <c r="F217">
        <v>1.2999999999999999E-2</v>
      </c>
      <c r="G217">
        <v>0</v>
      </c>
      <c r="H217">
        <v>34.93</v>
      </c>
      <c r="I217">
        <v>3.5999999999999999E-3</v>
      </c>
      <c r="J217">
        <v>0</v>
      </c>
      <c r="K217">
        <v>0</v>
      </c>
      <c r="L217">
        <v>0</v>
      </c>
      <c r="M217">
        <v>8.9800000000000005E-2</v>
      </c>
      <c r="N217">
        <v>102.3563</v>
      </c>
      <c r="O217" t="s">
        <v>116</v>
      </c>
      <c r="P217" t="s">
        <v>102</v>
      </c>
    </row>
    <row r="218" spans="1:16">
      <c r="A218">
        <v>94</v>
      </c>
      <c r="B218">
        <v>48.18</v>
      </c>
      <c r="C218">
        <v>0</v>
      </c>
      <c r="D218">
        <v>19.420000000000002</v>
      </c>
      <c r="E218">
        <v>0</v>
      </c>
      <c r="F218">
        <v>6.7999999999999996E-3</v>
      </c>
      <c r="G218">
        <v>0</v>
      </c>
      <c r="H218">
        <v>35.299999999999997</v>
      </c>
      <c r="I218">
        <v>7.1000000000000004E-3</v>
      </c>
      <c r="J218">
        <v>0</v>
      </c>
      <c r="K218">
        <v>0</v>
      </c>
      <c r="L218">
        <v>2.2200000000000001E-2</v>
      </c>
      <c r="M218">
        <v>8.72E-2</v>
      </c>
      <c r="N218">
        <v>103.0232</v>
      </c>
      <c r="O218" t="s">
        <v>116</v>
      </c>
      <c r="P218" t="s">
        <v>102</v>
      </c>
    </row>
    <row r="219" spans="1:16">
      <c r="A219">
        <v>3</v>
      </c>
      <c r="B219">
        <v>48.09</v>
      </c>
      <c r="C219">
        <v>0</v>
      </c>
      <c r="D219">
        <v>19.73</v>
      </c>
      <c r="E219">
        <v>0</v>
      </c>
      <c r="F219">
        <v>1.6999999999999999E-3</v>
      </c>
      <c r="G219">
        <v>0</v>
      </c>
      <c r="H219">
        <v>35.1</v>
      </c>
      <c r="I219">
        <v>0</v>
      </c>
      <c r="J219">
        <v>0</v>
      </c>
      <c r="K219">
        <v>0</v>
      </c>
      <c r="L219">
        <v>7.0000000000000001E-3</v>
      </c>
      <c r="M219">
        <v>6.6600000000000006E-2</v>
      </c>
      <c r="N219">
        <v>102.9952</v>
      </c>
      <c r="O219" t="s">
        <v>117</v>
      </c>
      <c r="P219" t="s">
        <v>102</v>
      </c>
    </row>
    <row r="220" spans="1:16">
      <c r="A220">
        <v>2</v>
      </c>
      <c r="B220">
        <v>48.06</v>
      </c>
      <c r="C220">
        <v>0</v>
      </c>
      <c r="D220">
        <v>19.579999999999998</v>
      </c>
      <c r="E220">
        <v>0</v>
      </c>
      <c r="F220">
        <v>0</v>
      </c>
      <c r="G220">
        <v>0</v>
      </c>
      <c r="H220">
        <v>35.24</v>
      </c>
      <c r="I220">
        <v>0</v>
      </c>
      <c r="J220">
        <v>0</v>
      </c>
      <c r="K220">
        <v>0</v>
      </c>
      <c r="L220">
        <v>0</v>
      </c>
      <c r="M220">
        <v>0.1033</v>
      </c>
      <c r="N220">
        <v>102.9833</v>
      </c>
      <c r="O220" t="s">
        <v>117</v>
      </c>
      <c r="P220" t="s">
        <v>102</v>
      </c>
    </row>
    <row r="221" spans="1:16">
      <c r="A221">
        <v>27</v>
      </c>
      <c r="B221">
        <v>47.82</v>
      </c>
      <c r="C221">
        <v>0</v>
      </c>
      <c r="D221">
        <v>19.420000000000002</v>
      </c>
      <c r="E221">
        <v>1.2200000000000001E-2</v>
      </c>
      <c r="F221">
        <v>0</v>
      </c>
      <c r="G221">
        <v>0</v>
      </c>
      <c r="H221">
        <v>34.79</v>
      </c>
      <c r="I221">
        <v>0</v>
      </c>
      <c r="J221">
        <v>0</v>
      </c>
      <c r="K221">
        <v>0</v>
      </c>
      <c r="L221">
        <v>0</v>
      </c>
      <c r="M221">
        <v>7.5499999999999998E-2</v>
      </c>
      <c r="N221">
        <v>102.1176</v>
      </c>
      <c r="O221" t="s">
        <v>116</v>
      </c>
      <c r="P221" t="s">
        <v>102</v>
      </c>
    </row>
    <row r="222" spans="1:16">
      <c r="A222">
        <v>4</v>
      </c>
      <c r="B222">
        <v>47.69</v>
      </c>
      <c r="C222">
        <v>0</v>
      </c>
      <c r="D222">
        <v>19.87</v>
      </c>
      <c r="E222">
        <v>0</v>
      </c>
      <c r="F222">
        <v>0</v>
      </c>
      <c r="G222">
        <v>0</v>
      </c>
      <c r="H222">
        <v>35.24</v>
      </c>
      <c r="I222">
        <v>0</v>
      </c>
      <c r="J222">
        <v>0</v>
      </c>
      <c r="K222">
        <v>0</v>
      </c>
      <c r="L222">
        <v>2.2000000000000001E-3</v>
      </c>
      <c r="M222">
        <v>4.7199999999999999E-2</v>
      </c>
      <c r="N222">
        <v>102.8493</v>
      </c>
      <c r="O222" t="s">
        <v>117</v>
      </c>
      <c r="P222" t="s">
        <v>102</v>
      </c>
    </row>
    <row r="223" spans="1:16">
      <c r="A223">
        <v>1</v>
      </c>
      <c r="B223">
        <v>47.6</v>
      </c>
      <c r="C223">
        <v>0</v>
      </c>
      <c r="D223">
        <v>19.95</v>
      </c>
      <c r="E223">
        <v>0</v>
      </c>
      <c r="F223">
        <v>0</v>
      </c>
      <c r="G223">
        <v>0</v>
      </c>
      <c r="H223">
        <v>35.4</v>
      </c>
      <c r="I223">
        <v>0</v>
      </c>
      <c r="J223">
        <v>3.6799999999999999E-2</v>
      </c>
      <c r="K223">
        <v>0</v>
      </c>
      <c r="L223">
        <v>0</v>
      </c>
      <c r="M223">
        <v>8.3299999999999999E-2</v>
      </c>
      <c r="N223">
        <v>103.07</v>
      </c>
      <c r="O223" t="s">
        <v>117</v>
      </c>
      <c r="P223" t="s">
        <v>102</v>
      </c>
    </row>
    <row r="224" spans="1:16">
      <c r="A224">
        <v>5</v>
      </c>
      <c r="B224">
        <v>47.54</v>
      </c>
      <c r="C224">
        <v>0</v>
      </c>
      <c r="D224">
        <v>19.91</v>
      </c>
      <c r="E224">
        <v>0</v>
      </c>
      <c r="F224">
        <v>2.0899999999999998E-2</v>
      </c>
      <c r="G224">
        <v>0</v>
      </c>
      <c r="H224">
        <v>35.299999999999997</v>
      </c>
      <c r="I224">
        <v>2.7000000000000001E-3</v>
      </c>
      <c r="J224">
        <v>1.0999999999999999E-2</v>
      </c>
      <c r="K224">
        <v>0</v>
      </c>
      <c r="L224">
        <v>8.9999999999999998E-4</v>
      </c>
      <c r="M224">
        <v>7.0800000000000002E-2</v>
      </c>
      <c r="N224">
        <v>102.8562</v>
      </c>
      <c r="O224" t="s">
        <v>116</v>
      </c>
      <c r="P224" t="s">
        <v>102</v>
      </c>
    </row>
    <row r="225" spans="1:16">
      <c r="A225">
        <v>95</v>
      </c>
      <c r="B225">
        <v>47.46</v>
      </c>
      <c r="C225">
        <v>0</v>
      </c>
      <c r="D225">
        <v>19.79</v>
      </c>
      <c r="E225">
        <v>0</v>
      </c>
      <c r="F225">
        <v>0</v>
      </c>
      <c r="G225">
        <v>7.3000000000000001E-3</v>
      </c>
      <c r="H225">
        <v>35.11</v>
      </c>
      <c r="I225">
        <v>0</v>
      </c>
      <c r="J225">
        <v>0</v>
      </c>
      <c r="K225">
        <v>0</v>
      </c>
      <c r="L225">
        <v>0</v>
      </c>
      <c r="M225">
        <v>7.22E-2</v>
      </c>
      <c r="N225">
        <v>102.43940000000001</v>
      </c>
      <c r="O225" t="s">
        <v>116</v>
      </c>
      <c r="P225" t="s">
        <v>102</v>
      </c>
    </row>
    <row r="226" spans="1:16">
      <c r="A226">
        <v>91</v>
      </c>
      <c r="B226">
        <v>47.38</v>
      </c>
      <c r="C226">
        <v>0</v>
      </c>
      <c r="D226">
        <v>20.13</v>
      </c>
      <c r="E226">
        <v>0</v>
      </c>
      <c r="F226">
        <v>8.5000000000000006E-3</v>
      </c>
      <c r="G226">
        <v>0</v>
      </c>
      <c r="H226">
        <v>35.020000000000003</v>
      </c>
      <c r="I226">
        <v>0</v>
      </c>
      <c r="J226">
        <v>1.9599999999999999E-2</v>
      </c>
      <c r="K226">
        <v>0</v>
      </c>
      <c r="L226">
        <v>1.9E-3</v>
      </c>
      <c r="M226">
        <v>6.8900000000000003E-2</v>
      </c>
      <c r="N226">
        <v>102.6288</v>
      </c>
      <c r="O226" t="s">
        <v>116</v>
      </c>
      <c r="P226" t="s">
        <v>102</v>
      </c>
    </row>
    <row r="227" spans="1:16">
      <c r="A227">
        <v>73</v>
      </c>
      <c r="B227">
        <v>47.36</v>
      </c>
      <c r="C227">
        <v>0</v>
      </c>
      <c r="D227">
        <v>19.57</v>
      </c>
      <c r="E227">
        <v>0</v>
      </c>
      <c r="F227">
        <v>0</v>
      </c>
      <c r="G227">
        <v>0</v>
      </c>
      <c r="H227">
        <v>35.14</v>
      </c>
      <c r="I227">
        <v>1.6000000000000001E-3</v>
      </c>
      <c r="J227">
        <v>0</v>
      </c>
      <c r="K227">
        <v>0</v>
      </c>
      <c r="L227">
        <v>1.72E-2</v>
      </c>
      <c r="M227">
        <v>6.4199999999999993E-2</v>
      </c>
      <c r="N227">
        <v>102.1529</v>
      </c>
      <c r="O227" t="s">
        <v>116</v>
      </c>
      <c r="P227" t="s">
        <v>102</v>
      </c>
    </row>
    <row r="228" spans="1:16">
      <c r="A228">
        <v>90</v>
      </c>
      <c r="B228">
        <v>47.32</v>
      </c>
      <c r="C228">
        <v>0</v>
      </c>
      <c r="D228">
        <v>19.829999999999998</v>
      </c>
      <c r="E228">
        <v>0</v>
      </c>
      <c r="F228">
        <v>0</v>
      </c>
      <c r="G228">
        <v>0</v>
      </c>
      <c r="H228">
        <v>34.880000000000003</v>
      </c>
      <c r="I228">
        <v>0</v>
      </c>
      <c r="J228">
        <v>0</v>
      </c>
      <c r="K228">
        <v>0</v>
      </c>
      <c r="L228">
        <v>0</v>
      </c>
      <c r="M228">
        <v>9.2600000000000002E-2</v>
      </c>
      <c r="N228">
        <v>102.1225</v>
      </c>
      <c r="O228" t="s">
        <v>116</v>
      </c>
      <c r="P228" t="s">
        <v>102</v>
      </c>
    </row>
    <row r="229" spans="1:16">
      <c r="A229">
        <v>72</v>
      </c>
      <c r="B229">
        <v>47.21</v>
      </c>
      <c r="C229">
        <v>0</v>
      </c>
      <c r="D229">
        <v>19.77</v>
      </c>
      <c r="E229">
        <v>0</v>
      </c>
      <c r="F229">
        <v>7.6E-3</v>
      </c>
      <c r="G229">
        <v>0</v>
      </c>
      <c r="H229">
        <v>35.28</v>
      </c>
      <c r="I229">
        <v>0</v>
      </c>
      <c r="J229">
        <v>3.5000000000000001E-3</v>
      </c>
      <c r="K229">
        <v>0</v>
      </c>
      <c r="L229">
        <v>0</v>
      </c>
      <c r="M229">
        <v>6.0100000000000001E-2</v>
      </c>
      <c r="N229">
        <v>102.33110000000001</v>
      </c>
      <c r="O229" t="s">
        <v>116</v>
      </c>
      <c r="P229" t="s">
        <v>102</v>
      </c>
    </row>
    <row r="230" spans="1:16">
      <c r="A230">
        <v>92</v>
      </c>
      <c r="B230">
        <v>47.14</v>
      </c>
      <c r="C230">
        <v>0</v>
      </c>
      <c r="D230">
        <v>19.989999999999998</v>
      </c>
      <c r="E230">
        <v>0</v>
      </c>
      <c r="F230">
        <v>1.1599999999999999E-2</v>
      </c>
      <c r="G230">
        <v>0</v>
      </c>
      <c r="H230">
        <v>34.97</v>
      </c>
      <c r="I230">
        <v>0</v>
      </c>
      <c r="J230">
        <v>0</v>
      </c>
      <c r="K230">
        <v>0</v>
      </c>
      <c r="L230">
        <v>0</v>
      </c>
      <c r="M230">
        <v>6.25E-2</v>
      </c>
      <c r="N230">
        <v>102.17400000000001</v>
      </c>
      <c r="O230" t="s">
        <v>116</v>
      </c>
      <c r="P230" t="s">
        <v>102</v>
      </c>
    </row>
    <row r="231" spans="1:16">
      <c r="A231">
        <v>93</v>
      </c>
      <c r="B231">
        <v>47.13</v>
      </c>
      <c r="C231">
        <v>0</v>
      </c>
      <c r="D231">
        <v>20.260000000000002</v>
      </c>
      <c r="E231">
        <v>0</v>
      </c>
      <c r="F231">
        <v>1.7999999999999999E-2</v>
      </c>
      <c r="G231">
        <v>0</v>
      </c>
      <c r="H231">
        <v>35.08</v>
      </c>
      <c r="I231">
        <v>0</v>
      </c>
      <c r="J231">
        <v>1.4E-2</v>
      </c>
      <c r="K231">
        <v>0</v>
      </c>
      <c r="L231">
        <v>1.09E-2</v>
      </c>
      <c r="M231">
        <v>7.9000000000000001E-2</v>
      </c>
      <c r="N231">
        <v>102.5919</v>
      </c>
      <c r="O231" t="s">
        <v>116</v>
      </c>
      <c r="P231" t="s">
        <v>102</v>
      </c>
    </row>
    <row r="232" spans="1:16">
      <c r="A232">
        <v>29</v>
      </c>
      <c r="B232">
        <v>47</v>
      </c>
      <c r="C232">
        <v>0</v>
      </c>
      <c r="D232">
        <v>19.79</v>
      </c>
      <c r="E232">
        <v>0</v>
      </c>
      <c r="F232">
        <v>0</v>
      </c>
      <c r="G232">
        <v>0</v>
      </c>
      <c r="H232">
        <v>35.020000000000003</v>
      </c>
      <c r="I232">
        <v>0</v>
      </c>
      <c r="J232">
        <v>1.1999999999999999E-3</v>
      </c>
      <c r="K232">
        <v>0</v>
      </c>
      <c r="L232">
        <v>4.1999999999999997E-3</v>
      </c>
      <c r="M232">
        <v>5.0500000000000003E-2</v>
      </c>
      <c r="N232">
        <v>101.86579999999999</v>
      </c>
      <c r="O232" t="s">
        <v>116</v>
      </c>
      <c r="P232" t="s">
        <v>102</v>
      </c>
    </row>
    <row r="233" spans="1:16">
      <c r="A233">
        <v>74</v>
      </c>
      <c r="B233">
        <v>46.93</v>
      </c>
      <c r="C233">
        <v>0</v>
      </c>
      <c r="D233">
        <v>20.100000000000001</v>
      </c>
      <c r="E233">
        <v>1.2999999999999999E-3</v>
      </c>
      <c r="F233">
        <v>0</v>
      </c>
      <c r="G233">
        <v>0</v>
      </c>
      <c r="H233">
        <v>35.15</v>
      </c>
      <c r="I233">
        <v>2E-3</v>
      </c>
      <c r="J233">
        <v>0</v>
      </c>
      <c r="K233">
        <v>0</v>
      </c>
      <c r="L233">
        <v>0</v>
      </c>
      <c r="M233">
        <v>6.0400000000000002E-2</v>
      </c>
      <c r="N233">
        <v>102.2436</v>
      </c>
      <c r="O233" t="s">
        <v>116</v>
      </c>
      <c r="P233" t="s">
        <v>102</v>
      </c>
    </row>
    <row r="234" spans="1:16">
      <c r="A234">
        <v>47</v>
      </c>
      <c r="B234">
        <v>46.71</v>
      </c>
      <c r="C234">
        <v>0</v>
      </c>
      <c r="D234">
        <v>20.04</v>
      </c>
      <c r="E234">
        <v>5.0000000000000001E-3</v>
      </c>
      <c r="F234">
        <v>8.2000000000000007E-3</v>
      </c>
      <c r="G234">
        <v>0</v>
      </c>
      <c r="H234">
        <v>35.31</v>
      </c>
      <c r="I234">
        <v>0</v>
      </c>
      <c r="J234">
        <v>2.4E-2</v>
      </c>
      <c r="K234">
        <v>0</v>
      </c>
      <c r="L234">
        <v>0</v>
      </c>
      <c r="M234">
        <v>6.93E-2</v>
      </c>
      <c r="N234">
        <v>102.1664</v>
      </c>
      <c r="O234" t="s">
        <v>116</v>
      </c>
      <c r="P234" t="s">
        <v>102</v>
      </c>
    </row>
    <row r="235" spans="1:16">
      <c r="A235">
        <v>26</v>
      </c>
      <c r="B235">
        <v>46.65</v>
      </c>
      <c r="C235">
        <v>0</v>
      </c>
      <c r="D235">
        <v>20.25</v>
      </c>
      <c r="E235">
        <v>0</v>
      </c>
      <c r="F235">
        <v>7.4999999999999997E-3</v>
      </c>
      <c r="G235">
        <v>0</v>
      </c>
      <c r="H235">
        <v>35.32</v>
      </c>
      <c r="I235">
        <v>0</v>
      </c>
      <c r="J235">
        <v>0</v>
      </c>
      <c r="K235">
        <v>0</v>
      </c>
      <c r="L235">
        <v>0</v>
      </c>
      <c r="M235">
        <v>8.0500000000000002E-2</v>
      </c>
      <c r="N235">
        <v>102.3079</v>
      </c>
      <c r="O235" t="s">
        <v>116</v>
      </c>
      <c r="P235" t="s">
        <v>102</v>
      </c>
    </row>
    <row r="236" spans="1:16">
      <c r="A236">
        <v>30</v>
      </c>
      <c r="B236">
        <v>46.27</v>
      </c>
      <c r="C236">
        <v>0</v>
      </c>
      <c r="D236">
        <v>20.420000000000002</v>
      </c>
      <c r="E236">
        <v>0</v>
      </c>
      <c r="F236">
        <v>2.3400000000000001E-2</v>
      </c>
      <c r="G236">
        <v>4.1999999999999997E-3</v>
      </c>
      <c r="H236">
        <v>35.31</v>
      </c>
      <c r="I236">
        <v>0</v>
      </c>
      <c r="J236">
        <v>4.5999999999999999E-3</v>
      </c>
      <c r="K236">
        <v>0</v>
      </c>
      <c r="L236">
        <v>0</v>
      </c>
      <c r="M236">
        <v>5.6000000000000001E-2</v>
      </c>
      <c r="N236">
        <v>102.0882</v>
      </c>
      <c r="O236" t="s">
        <v>116</v>
      </c>
      <c r="P236" t="s">
        <v>102</v>
      </c>
    </row>
    <row r="237" spans="1:16">
      <c r="A237">
        <v>71</v>
      </c>
      <c r="B237">
        <v>45.3</v>
      </c>
      <c r="C237">
        <v>0</v>
      </c>
      <c r="D237">
        <v>20.74</v>
      </c>
      <c r="E237">
        <v>5.9999999999999995E-4</v>
      </c>
      <c r="F237">
        <v>0.26690000000000003</v>
      </c>
      <c r="G237">
        <v>0</v>
      </c>
      <c r="H237">
        <v>35.29</v>
      </c>
      <c r="I237">
        <v>0</v>
      </c>
      <c r="J237">
        <v>3.27E-2</v>
      </c>
      <c r="K237">
        <v>0</v>
      </c>
      <c r="L237">
        <v>0</v>
      </c>
      <c r="M237">
        <v>6.1600000000000002E-2</v>
      </c>
      <c r="N237">
        <v>101.6917</v>
      </c>
      <c r="O237" t="s">
        <v>116</v>
      </c>
      <c r="P237" t="s">
        <v>102</v>
      </c>
    </row>
    <row r="238" spans="1:16">
      <c r="A238" s="27">
        <v>27</v>
      </c>
      <c r="B238" s="27">
        <v>43.92</v>
      </c>
      <c r="C238" s="27">
        <v>0</v>
      </c>
      <c r="D238" s="27">
        <v>23.67</v>
      </c>
      <c r="E238" s="27">
        <v>9.7000000000000003E-3</v>
      </c>
      <c r="F238" s="27">
        <v>0.14499999999999999</v>
      </c>
      <c r="G238" s="27">
        <v>0</v>
      </c>
      <c r="H238" s="27">
        <v>36.03</v>
      </c>
      <c r="I238" s="27">
        <v>0</v>
      </c>
      <c r="J238" s="27">
        <v>6.4999999999999997E-3</v>
      </c>
      <c r="K238" s="27">
        <v>0</v>
      </c>
      <c r="L238" s="27">
        <v>0</v>
      </c>
      <c r="M238" s="27">
        <v>8.9700000000000002E-2</v>
      </c>
      <c r="N238" s="27">
        <v>103.8708</v>
      </c>
      <c r="O238" s="27" t="s">
        <v>118</v>
      </c>
      <c r="P238" t="s">
        <v>119</v>
      </c>
    </row>
    <row r="239" spans="1:16">
      <c r="A239" s="27">
        <v>6</v>
      </c>
      <c r="B239" s="27">
        <v>43.73</v>
      </c>
      <c r="C239" s="27">
        <v>0</v>
      </c>
      <c r="D239" s="27">
        <v>22.73</v>
      </c>
      <c r="E239" s="27">
        <v>8.0000000000000002E-3</v>
      </c>
      <c r="F239" s="27">
        <v>7.2999999999999995E-2</v>
      </c>
      <c r="G239" s="27">
        <v>0</v>
      </c>
      <c r="H239" s="27">
        <v>33.81</v>
      </c>
      <c r="I239" s="27">
        <v>0</v>
      </c>
      <c r="J239" s="27">
        <v>0</v>
      </c>
      <c r="K239" s="27">
        <v>0</v>
      </c>
      <c r="L239" s="27">
        <v>0</v>
      </c>
      <c r="M239" s="27">
        <v>9.8599999999999993E-2</v>
      </c>
      <c r="N239" s="27">
        <v>100.4495</v>
      </c>
      <c r="O239" s="27" t="s">
        <v>120</v>
      </c>
      <c r="P239" t="s">
        <v>121</v>
      </c>
    </row>
    <row r="240" spans="1:16">
      <c r="A240" s="27">
        <v>11</v>
      </c>
      <c r="B240" s="27">
        <v>44.86</v>
      </c>
      <c r="C240" s="27">
        <v>0</v>
      </c>
      <c r="D240" s="27">
        <v>22.47</v>
      </c>
      <c r="E240" s="27">
        <v>0</v>
      </c>
      <c r="F240" s="27">
        <v>1.7999999999999999E-2</v>
      </c>
      <c r="G240" s="27">
        <v>0</v>
      </c>
      <c r="H240" s="27">
        <v>34.159999999999997</v>
      </c>
      <c r="I240" s="27">
        <v>0</v>
      </c>
      <c r="J240" s="27">
        <v>0</v>
      </c>
      <c r="K240" s="27">
        <v>0</v>
      </c>
      <c r="L240" s="27">
        <v>0</v>
      </c>
      <c r="M240" s="27">
        <v>0.13200000000000001</v>
      </c>
      <c r="N240" s="27">
        <v>101.6399</v>
      </c>
      <c r="O240" s="27" t="s">
        <v>120</v>
      </c>
      <c r="P240" t="s">
        <v>121</v>
      </c>
    </row>
    <row r="241" spans="1:16">
      <c r="A241">
        <v>37</v>
      </c>
      <c r="B241">
        <v>42.21</v>
      </c>
      <c r="C241">
        <v>0</v>
      </c>
      <c r="D241">
        <v>22.89</v>
      </c>
      <c r="E241">
        <v>1.9099999999999999E-2</v>
      </c>
      <c r="F241">
        <v>1.44</v>
      </c>
      <c r="G241">
        <v>0</v>
      </c>
      <c r="H241">
        <v>35.07</v>
      </c>
      <c r="I241">
        <v>0</v>
      </c>
      <c r="J241">
        <v>2.3800000000000002E-2</v>
      </c>
      <c r="K241">
        <v>0</v>
      </c>
      <c r="L241">
        <v>2.6700000000000002E-2</v>
      </c>
      <c r="M241">
        <v>0.13039999999999999</v>
      </c>
      <c r="N241">
        <v>101.81</v>
      </c>
      <c r="O241" t="s">
        <v>122</v>
      </c>
      <c r="P241" t="s">
        <v>123</v>
      </c>
    </row>
    <row r="242" spans="1:16">
      <c r="A242">
        <v>19</v>
      </c>
      <c r="B242">
        <v>48.64</v>
      </c>
      <c r="C242">
        <v>0</v>
      </c>
      <c r="D242">
        <v>20</v>
      </c>
      <c r="E242">
        <v>0</v>
      </c>
      <c r="F242">
        <v>6.6400000000000001E-2</v>
      </c>
      <c r="G242">
        <v>0</v>
      </c>
      <c r="H242">
        <v>34.880000000000003</v>
      </c>
      <c r="I242">
        <v>0</v>
      </c>
      <c r="J242">
        <v>0</v>
      </c>
      <c r="K242">
        <v>0</v>
      </c>
      <c r="L242">
        <v>0</v>
      </c>
      <c r="M242">
        <v>6.0600000000000001E-2</v>
      </c>
      <c r="N242">
        <v>103.6469</v>
      </c>
      <c r="O242" t="s">
        <v>124</v>
      </c>
      <c r="P242" t="s">
        <v>46</v>
      </c>
    </row>
    <row r="243" spans="1:16">
      <c r="A243">
        <v>17</v>
      </c>
      <c r="B243">
        <v>47.7</v>
      </c>
      <c r="C243">
        <v>0</v>
      </c>
      <c r="D243">
        <v>20.25</v>
      </c>
      <c r="E243">
        <v>0</v>
      </c>
      <c r="F243">
        <v>7.5999999999999998E-2</v>
      </c>
      <c r="G243">
        <v>0</v>
      </c>
      <c r="H243">
        <v>34.78</v>
      </c>
      <c r="I243">
        <v>0</v>
      </c>
      <c r="J243">
        <v>6.3E-3</v>
      </c>
      <c r="K243">
        <v>0</v>
      </c>
      <c r="L243">
        <v>1.5299999999999999E-2</v>
      </c>
      <c r="M243">
        <v>7.4099999999999999E-2</v>
      </c>
      <c r="N243">
        <v>102.9016</v>
      </c>
      <c r="O243" t="s">
        <v>124</v>
      </c>
      <c r="P243" t="s">
        <v>46</v>
      </c>
    </row>
    <row r="244" spans="1:16">
      <c r="A244">
        <v>50</v>
      </c>
      <c r="B244">
        <v>41.18</v>
      </c>
      <c r="C244">
        <v>0</v>
      </c>
      <c r="D244">
        <v>23.05</v>
      </c>
      <c r="E244">
        <v>0</v>
      </c>
      <c r="F244">
        <v>1.8</v>
      </c>
      <c r="G244">
        <v>0</v>
      </c>
      <c r="H244">
        <v>34.68</v>
      </c>
      <c r="I244">
        <v>0</v>
      </c>
      <c r="J244">
        <v>4.1099999999999998E-2</v>
      </c>
      <c r="K244">
        <v>0</v>
      </c>
      <c r="L244">
        <v>0</v>
      </c>
      <c r="M244">
        <v>0.21049999999999999</v>
      </c>
      <c r="N244">
        <v>100.9615</v>
      </c>
      <c r="O244" t="s">
        <v>125</v>
      </c>
      <c r="P244" t="s">
        <v>123</v>
      </c>
    </row>
    <row r="245" spans="1:16">
      <c r="A245">
        <v>18</v>
      </c>
      <c r="B245">
        <v>49.54</v>
      </c>
      <c r="C245">
        <v>0</v>
      </c>
      <c r="D245">
        <v>19.329999999999998</v>
      </c>
      <c r="E245">
        <v>3.8999999999999998E-3</v>
      </c>
      <c r="F245">
        <v>4.1000000000000002E-2</v>
      </c>
      <c r="G245">
        <v>0</v>
      </c>
      <c r="H245">
        <v>34.36</v>
      </c>
      <c r="I245">
        <v>0</v>
      </c>
      <c r="J245">
        <v>5.8999999999999999E-3</v>
      </c>
      <c r="K245">
        <v>0</v>
      </c>
      <c r="L245">
        <v>7.9000000000000008E-3</v>
      </c>
      <c r="M245">
        <v>5.8500000000000003E-2</v>
      </c>
      <c r="N245">
        <v>103.3471</v>
      </c>
      <c r="O245" t="s">
        <v>124</v>
      </c>
      <c r="P245" t="s">
        <v>46</v>
      </c>
    </row>
    <row r="246" spans="1:16">
      <c r="A246">
        <v>23</v>
      </c>
      <c r="B246">
        <v>49.5</v>
      </c>
      <c r="C246">
        <v>0</v>
      </c>
      <c r="D246">
        <v>19.670000000000002</v>
      </c>
      <c r="E246">
        <v>0</v>
      </c>
      <c r="F246">
        <v>0</v>
      </c>
      <c r="G246">
        <v>0</v>
      </c>
      <c r="H246">
        <v>35.36</v>
      </c>
      <c r="I246">
        <v>0</v>
      </c>
      <c r="J246">
        <v>2.3E-3</v>
      </c>
      <c r="K246">
        <v>0</v>
      </c>
      <c r="L246">
        <v>0</v>
      </c>
      <c r="M246">
        <v>5.8999999999999999E-3</v>
      </c>
      <c r="N246">
        <v>104.5381</v>
      </c>
      <c r="O246" t="s">
        <v>126</v>
      </c>
      <c r="P246" t="s">
        <v>46</v>
      </c>
    </row>
    <row r="247" spans="1:16">
      <c r="A247">
        <v>19</v>
      </c>
      <c r="B247">
        <v>48.81</v>
      </c>
      <c r="C247">
        <v>0</v>
      </c>
      <c r="D247">
        <v>20.11</v>
      </c>
      <c r="E247">
        <v>0</v>
      </c>
      <c r="F247">
        <v>0</v>
      </c>
      <c r="G247">
        <v>0</v>
      </c>
      <c r="H247">
        <v>35.270000000000003</v>
      </c>
      <c r="I247">
        <v>0</v>
      </c>
      <c r="J247">
        <v>3.3999999999999998E-3</v>
      </c>
      <c r="K247">
        <v>0</v>
      </c>
      <c r="L247">
        <v>1.4500000000000001E-2</v>
      </c>
      <c r="M247">
        <v>0</v>
      </c>
      <c r="N247">
        <v>104.2079</v>
      </c>
      <c r="O247" t="s">
        <v>126</v>
      </c>
      <c r="P247" t="s">
        <v>46</v>
      </c>
    </row>
    <row r="248" spans="1:16">
      <c r="A248">
        <v>27</v>
      </c>
      <c r="B248">
        <v>49.34</v>
      </c>
      <c r="C248">
        <v>0</v>
      </c>
      <c r="D248">
        <v>19.739999999999998</v>
      </c>
      <c r="E248">
        <v>0</v>
      </c>
      <c r="F248">
        <v>3.5000000000000001E-3</v>
      </c>
      <c r="G248">
        <v>0</v>
      </c>
      <c r="H248">
        <v>35.19</v>
      </c>
      <c r="I248">
        <v>0</v>
      </c>
      <c r="J248">
        <v>8.3000000000000001E-3</v>
      </c>
      <c r="K248">
        <v>0</v>
      </c>
      <c r="L248">
        <v>1.1299999999999999E-2</v>
      </c>
      <c r="M248">
        <v>0</v>
      </c>
      <c r="N248">
        <v>104.29300000000001</v>
      </c>
      <c r="O248" t="s">
        <v>126</v>
      </c>
      <c r="P248" t="s">
        <v>46</v>
      </c>
    </row>
  </sheetData>
  <phoneticPr fontId="1"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5C41B-CD1B-48B4-9216-E75DF1295E19}">
  <dimension ref="A1:P354"/>
  <sheetViews>
    <sheetView workbookViewId="0">
      <selection activeCell="P2" sqref="P2"/>
    </sheetView>
  </sheetViews>
  <sheetFormatPr defaultRowHeight="12.75"/>
  <sheetData>
    <row r="1" spans="1:16">
      <c r="A1" t="s">
        <v>0</v>
      </c>
      <c r="B1" t="s">
        <v>1</v>
      </c>
      <c r="C1" t="s">
        <v>2</v>
      </c>
      <c r="D1" t="s">
        <v>3</v>
      </c>
      <c r="E1" t="s">
        <v>4</v>
      </c>
      <c r="F1" t="s">
        <v>5</v>
      </c>
      <c r="G1" t="s">
        <v>6</v>
      </c>
      <c r="H1" t="s">
        <v>7</v>
      </c>
      <c r="I1" t="s">
        <v>8</v>
      </c>
      <c r="J1" t="s">
        <v>9</v>
      </c>
      <c r="K1" t="s">
        <v>10</v>
      </c>
      <c r="L1" t="s">
        <v>11</v>
      </c>
      <c r="M1" t="s">
        <v>12</v>
      </c>
      <c r="N1" t="s">
        <v>13</v>
      </c>
      <c r="O1" t="s">
        <v>47</v>
      </c>
      <c r="P1" t="s">
        <v>15</v>
      </c>
    </row>
    <row r="2" spans="1:16">
      <c r="A2">
        <v>30</v>
      </c>
      <c r="B2">
        <v>3.2000000000000002E-3</v>
      </c>
      <c r="C2">
        <v>0</v>
      </c>
      <c r="D2">
        <v>54.11</v>
      </c>
      <c r="E2">
        <v>1.9800000000000002E-2</v>
      </c>
      <c r="F2">
        <v>8.0000000000000004E-4</v>
      </c>
      <c r="G2">
        <v>0</v>
      </c>
      <c r="H2">
        <v>49.1</v>
      </c>
      <c r="I2">
        <v>1.2999999999999999E-3</v>
      </c>
      <c r="J2">
        <v>8.3999999999999995E-3</v>
      </c>
      <c r="K2">
        <v>0</v>
      </c>
      <c r="L2">
        <v>0</v>
      </c>
      <c r="M2">
        <v>0.17519999999999999</v>
      </c>
      <c r="N2">
        <v>103.4186</v>
      </c>
      <c r="O2" t="s">
        <v>127</v>
      </c>
      <c r="P2" t="s">
        <v>44</v>
      </c>
    </row>
    <row r="3" spans="1:16">
      <c r="A3">
        <v>28</v>
      </c>
      <c r="B3">
        <v>5.8400000000000001E-2</v>
      </c>
      <c r="C3">
        <v>0</v>
      </c>
      <c r="D3">
        <v>54.44</v>
      </c>
      <c r="E3">
        <v>1.7299999999999999E-2</v>
      </c>
      <c r="F3">
        <v>0</v>
      </c>
      <c r="G3">
        <v>0</v>
      </c>
      <c r="H3">
        <v>48.72</v>
      </c>
      <c r="I3">
        <v>0</v>
      </c>
      <c r="J3">
        <v>5.5100000000000003E-2</v>
      </c>
      <c r="K3">
        <v>0</v>
      </c>
      <c r="L3">
        <v>0</v>
      </c>
      <c r="M3">
        <v>0.20039999999999999</v>
      </c>
      <c r="N3">
        <v>103.4911</v>
      </c>
      <c r="O3" t="s">
        <v>127</v>
      </c>
      <c r="P3" t="s">
        <v>44</v>
      </c>
    </row>
    <row r="4" spans="1:16">
      <c r="A4">
        <v>29</v>
      </c>
      <c r="B4">
        <v>1.35E-2</v>
      </c>
      <c r="C4">
        <v>0</v>
      </c>
      <c r="D4">
        <v>54.49</v>
      </c>
      <c r="E4">
        <v>8.8000000000000005E-3</v>
      </c>
      <c r="F4">
        <v>0</v>
      </c>
      <c r="G4">
        <v>0</v>
      </c>
      <c r="H4">
        <v>48.62</v>
      </c>
      <c r="I4">
        <v>0</v>
      </c>
      <c r="J4">
        <v>2.1600000000000001E-2</v>
      </c>
      <c r="K4">
        <v>0</v>
      </c>
      <c r="L4">
        <v>0</v>
      </c>
      <c r="M4">
        <v>0.18909999999999999</v>
      </c>
      <c r="N4">
        <v>103.3429</v>
      </c>
      <c r="O4" t="s">
        <v>127</v>
      </c>
      <c r="P4" t="s">
        <v>44</v>
      </c>
    </row>
    <row r="5" spans="1:16">
      <c r="A5">
        <v>36</v>
      </c>
      <c r="B5">
        <v>1.3599999999999999E-2</v>
      </c>
      <c r="C5">
        <v>0</v>
      </c>
      <c r="D5">
        <v>54.3</v>
      </c>
      <c r="E5">
        <v>2.8999999999999998E-3</v>
      </c>
      <c r="F5">
        <v>0</v>
      </c>
      <c r="G5">
        <v>0</v>
      </c>
      <c r="H5">
        <v>48.26</v>
      </c>
      <c r="I5">
        <v>2.9999999999999997E-4</v>
      </c>
      <c r="J5">
        <v>0</v>
      </c>
      <c r="K5">
        <v>0</v>
      </c>
      <c r="L5">
        <v>1.9E-3</v>
      </c>
      <c r="M5">
        <v>0.17610000000000001</v>
      </c>
      <c r="N5">
        <v>102.7547</v>
      </c>
      <c r="O5" t="s">
        <v>127</v>
      </c>
      <c r="P5" t="s">
        <v>44</v>
      </c>
    </row>
    <row r="6" spans="1:16">
      <c r="A6">
        <v>10</v>
      </c>
      <c r="B6">
        <v>0.1416</v>
      </c>
      <c r="C6">
        <v>0</v>
      </c>
      <c r="D6">
        <v>54.24</v>
      </c>
      <c r="E6">
        <v>1.9599999999999999E-2</v>
      </c>
      <c r="F6">
        <v>4.1000000000000003E-3</v>
      </c>
      <c r="G6">
        <v>0</v>
      </c>
      <c r="H6">
        <v>47.97</v>
      </c>
      <c r="I6">
        <v>0</v>
      </c>
      <c r="J6">
        <v>1.9099999999999999E-2</v>
      </c>
      <c r="K6">
        <v>0</v>
      </c>
      <c r="L6">
        <v>0</v>
      </c>
      <c r="M6">
        <v>0.23930000000000001</v>
      </c>
      <c r="N6">
        <v>102.6337</v>
      </c>
      <c r="O6" t="s">
        <v>127</v>
      </c>
      <c r="P6" t="s">
        <v>44</v>
      </c>
    </row>
    <row r="7" spans="1:16">
      <c r="A7">
        <v>37</v>
      </c>
      <c r="B7">
        <v>6.7999999999999996E-3</v>
      </c>
      <c r="C7">
        <v>0</v>
      </c>
      <c r="D7">
        <v>54.08</v>
      </c>
      <c r="E7">
        <v>1.21E-2</v>
      </c>
      <c r="F7">
        <v>5.3E-3</v>
      </c>
      <c r="G7">
        <v>0</v>
      </c>
      <c r="H7">
        <v>47.92</v>
      </c>
      <c r="I7">
        <v>2.7000000000000001E-3</v>
      </c>
      <c r="J7">
        <v>4.1000000000000003E-3</v>
      </c>
      <c r="K7">
        <v>0</v>
      </c>
      <c r="L7">
        <v>2.3999999999999998E-3</v>
      </c>
      <c r="M7">
        <v>0.17449999999999999</v>
      </c>
      <c r="N7">
        <v>102.20780000000001</v>
      </c>
      <c r="O7" t="s">
        <v>127</v>
      </c>
      <c r="P7" t="s">
        <v>44</v>
      </c>
    </row>
    <row r="8" spans="1:16">
      <c r="A8">
        <v>61</v>
      </c>
      <c r="B8">
        <v>1E-4</v>
      </c>
      <c r="C8">
        <v>0</v>
      </c>
      <c r="D8">
        <v>54.28</v>
      </c>
      <c r="E8">
        <v>0</v>
      </c>
      <c r="F8">
        <v>0</v>
      </c>
      <c r="G8">
        <v>0</v>
      </c>
      <c r="H8">
        <v>48.24</v>
      </c>
      <c r="I8">
        <v>0</v>
      </c>
      <c r="J8">
        <v>0</v>
      </c>
      <c r="K8">
        <v>0</v>
      </c>
      <c r="L8">
        <v>0</v>
      </c>
      <c r="M8">
        <v>0.2077</v>
      </c>
      <c r="N8">
        <v>102.7277</v>
      </c>
      <c r="O8" t="s">
        <v>128</v>
      </c>
      <c r="P8" t="s">
        <v>44</v>
      </c>
    </row>
    <row r="9" spans="1:16">
      <c r="A9">
        <v>49</v>
      </c>
      <c r="B9">
        <v>0</v>
      </c>
      <c r="C9">
        <v>0</v>
      </c>
      <c r="D9">
        <v>54.3</v>
      </c>
      <c r="E9">
        <v>4.3E-3</v>
      </c>
      <c r="F9">
        <v>0</v>
      </c>
      <c r="G9">
        <v>0</v>
      </c>
      <c r="H9">
        <v>48.2</v>
      </c>
      <c r="I9">
        <v>0</v>
      </c>
      <c r="J9">
        <v>0.1376</v>
      </c>
      <c r="K9">
        <v>0</v>
      </c>
      <c r="L9">
        <v>2.0500000000000001E-2</v>
      </c>
      <c r="M9">
        <v>0.2069</v>
      </c>
      <c r="N9">
        <v>102.8693</v>
      </c>
      <c r="O9" t="s">
        <v>128</v>
      </c>
      <c r="P9" t="s">
        <v>44</v>
      </c>
    </row>
    <row r="10" spans="1:16">
      <c r="A10">
        <v>62</v>
      </c>
      <c r="B10">
        <v>0</v>
      </c>
      <c r="C10">
        <v>0</v>
      </c>
      <c r="D10">
        <v>54.18</v>
      </c>
      <c r="E10">
        <v>8.5000000000000006E-3</v>
      </c>
      <c r="F10">
        <v>1.01E-2</v>
      </c>
      <c r="G10">
        <v>0</v>
      </c>
      <c r="H10">
        <v>48.37</v>
      </c>
      <c r="I10">
        <v>0</v>
      </c>
      <c r="J10">
        <v>2.63E-2</v>
      </c>
      <c r="K10">
        <v>0</v>
      </c>
      <c r="L10">
        <v>5.0000000000000001E-4</v>
      </c>
      <c r="M10">
        <v>0.20119999999999999</v>
      </c>
      <c r="N10">
        <v>102.7966</v>
      </c>
      <c r="O10" t="s">
        <v>129</v>
      </c>
      <c r="P10" t="s">
        <v>44</v>
      </c>
    </row>
    <row r="11" spans="1:16">
      <c r="A11">
        <v>90</v>
      </c>
      <c r="B11">
        <v>1.1000000000000001E-3</v>
      </c>
      <c r="C11">
        <v>0</v>
      </c>
      <c r="D11">
        <v>54.23</v>
      </c>
      <c r="E11">
        <v>8.3999999999999995E-3</v>
      </c>
      <c r="F11">
        <v>1.0800000000000001E-2</v>
      </c>
      <c r="G11">
        <v>0</v>
      </c>
      <c r="H11">
        <v>48.16</v>
      </c>
      <c r="I11">
        <v>1.1000000000000001E-3</v>
      </c>
      <c r="J11">
        <v>3.0000000000000001E-3</v>
      </c>
      <c r="K11">
        <v>0</v>
      </c>
      <c r="L11">
        <v>0</v>
      </c>
      <c r="M11">
        <v>0.21299999999999999</v>
      </c>
      <c r="N11">
        <v>102.62730000000001</v>
      </c>
      <c r="O11" t="s">
        <v>129</v>
      </c>
      <c r="P11" t="s">
        <v>44</v>
      </c>
    </row>
    <row r="12" spans="1:16">
      <c r="A12">
        <v>77</v>
      </c>
      <c r="B12">
        <v>4.4999999999999997E-3</v>
      </c>
      <c r="C12">
        <v>0</v>
      </c>
      <c r="D12">
        <v>53.96</v>
      </c>
      <c r="E12">
        <v>6.7000000000000002E-3</v>
      </c>
      <c r="F12">
        <v>0</v>
      </c>
      <c r="G12">
        <v>0</v>
      </c>
      <c r="H12">
        <v>48.1</v>
      </c>
      <c r="I12">
        <v>0</v>
      </c>
      <c r="J12">
        <v>2.1000000000000001E-2</v>
      </c>
      <c r="K12">
        <v>0</v>
      </c>
      <c r="L12">
        <v>0</v>
      </c>
      <c r="M12">
        <v>0.21010000000000001</v>
      </c>
      <c r="N12">
        <v>102.3022</v>
      </c>
      <c r="O12" t="s">
        <v>129</v>
      </c>
      <c r="P12" t="s">
        <v>44</v>
      </c>
    </row>
    <row r="13" spans="1:16">
      <c r="A13">
        <v>86</v>
      </c>
      <c r="B13">
        <v>6.0000000000000001E-3</v>
      </c>
      <c r="C13">
        <v>0</v>
      </c>
      <c r="D13">
        <v>53.83</v>
      </c>
      <c r="E13">
        <v>0</v>
      </c>
      <c r="F13">
        <v>4.0000000000000002E-4</v>
      </c>
      <c r="G13">
        <v>0</v>
      </c>
      <c r="H13">
        <v>47.85</v>
      </c>
      <c r="I13">
        <v>0</v>
      </c>
      <c r="J13">
        <v>7.1800000000000003E-2</v>
      </c>
      <c r="K13">
        <v>0</v>
      </c>
      <c r="L13">
        <v>1.4E-3</v>
      </c>
      <c r="M13">
        <v>0.35630000000000001</v>
      </c>
      <c r="N13">
        <v>102.1159</v>
      </c>
      <c r="O13" t="s">
        <v>129</v>
      </c>
      <c r="P13" t="s">
        <v>44</v>
      </c>
    </row>
    <row r="14" spans="1:16">
      <c r="A14">
        <v>85</v>
      </c>
      <c r="B14">
        <v>1.2699999999999999E-2</v>
      </c>
      <c r="C14">
        <v>0</v>
      </c>
      <c r="D14">
        <v>53.64</v>
      </c>
      <c r="E14">
        <v>1.2E-2</v>
      </c>
      <c r="F14">
        <v>0</v>
      </c>
      <c r="G14">
        <v>0</v>
      </c>
      <c r="H14">
        <v>47.54</v>
      </c>
      <c r="I14">
        <v>0</v>
      </c>
      <c r="J14">
        <v>8.1000000000000003E-2</v>
      </c>
      <c r="K14">
        <v>0</v>
      </c>
      <c r="L14">
        <v>1.6199999999999999E-2</v>
      </c>
      <c r="M14">
        <v>0.49530000000000002</v>
      </c>
      <c r="N14">
        <v>101.7971</v>
      </c>
      <c r="O14" t="s">
        <v>129</v>
      </c>
      <c r="P14" t="s">
        <v>44</v>
      </c>
    </row>
    <row r="15" spans="1:16">
      <c r="A15">
        <v>8</v>
      </c>
      <c r="B15">
        <v>0.33310000000000001</v>
      </c>
      <c r="C15">
        <v>0</v>
      </c>
      <c r="D15">
        <v>54.21</v>
      </c>
      <c r="E15">
        <v>1.09E-2</v>
      </c>
      <c r="F15">
        <v>0</v>
      </c>
      <c r="G15">
        <v>0</v>
      </c>
      <c r="H15">
        <v>49.09</v>
      </c>
      <c r="I15">
        <v>0</v>
      </c>
      <c r="J15">
        <v>2.2000000000000001E-3</v>
      </c>
      <c r="K15">
        <v>0</v>
      </c>
      <c r="L15">
        <v>0</v>
      </c>
      <c r="M15">
        <v>0.22470000000000001</v>
      </c>
      <c r="N15">
        <v>103.8708</v>
      </c>
      <c r="O15" t="s">
        <v>130</v>
      </c>
      <c r="P15" t="s">
        <v>131</v>
      </c>
    </row>
    <row r="16" spans="1:16">
      <c r="A16">
        <v>32</v>
      </c>
      <c r="B16">
        <v>2.0999999999999999E-3</v>
      </c>
      <c r="C16">
        <v>0</v>
      </c>
      <c r="D16">
        <v>54.85</v>
      </c>
      <c r="E16">
        <v>2.0199999999999999E-2</v>
      </c>
      <c r="F16">
        <v>0</v>
      </c>
      <c r="G16">
        <v>0</v>
      </c>
      <c r="H16">
        <v>49.01</v>
      </c>
      <c r="I16">
        <v>1.44E-2</v>
      </c>
      <c r="J16">
        <v>1.06E-2</v>
      </c>
      <c r="K16">
        <v>0</v>
      </c>
      <c r="L16">
        <v>3.3999999999999998E-3</v>
      </c>
      <c r="M16">
        <v>0.19289999999999999</v>
      </c>
      <c r="N16">
        <v>104.1035</v>
      </c>
      <c r="O16" t="s">
        <v>130</v>
      </c>
      <c r="P16" t="s">
        <v>131</v>
      </c>
    </row>
    <row r="17" spans="1:16">
      <c r="A17">
        <v>31</v>
      </c>
      <c r="B17">
        <v>0.1454</v>
      </c>
      <c r="C17">
        <v>0</v>
      </c>
      <c r="D17">
        <v>54.69</v>
      </c>
      <c r="E17">
        <v>1.5299999999999999E-2</v>
      </c>
      <c r="F17">
        <v>7.6E-3</v>
      </c>
      <c r="G17">
        <v>0</v>
      </c>
      <c r="H17">
        <v>48.94</v>
      </c>
      <c r="I17">
        <v>1.78E-2</v>
      </c>
      <c r="J17">
        <v>0.01</v>
      </c>
      <c r="K17">
        <v>0</v>
      </c>
      <c r="L17">
        <v>5.5599999999999997E-2</v>
      </c>
      <c r="M17">
        <v>0.20200000000000001</v>
      </c>
      <c r="N17">
        <v>104.0836</v>
      </c>
      <c r="O17" t="s">
        <v>130</v>
      </c>
      <c r="P17" t="s">
        <v>131</v>
      </c>
    </row>
    <row r="18" spans="1:16">
      <c r="A18">
        <v>17</v>
      </c>
      <c r="B18">
        <v>1.1000000000000001</v>
      </c>
      <c r="C18">
        <v>0</v>
      </c>
      <c r="D18">
        <v>53.88</v>
      </c>
      <c r="E18">
        <v>5.7999999999999996E-3</v>
      </c>
      <c r="F18">
        <v>5.5999999999999999E-3</v>
      </c>
      <c r="G18">
        <v>0</v>
      </c>
      <c r="H18">
        <v>48.77</v>
      </c>
      <c r="I18">
        <v>0</v>
      </c>
      <c r="J18">
        <v>0</v>
      </c>
      <c r="K18">
        <v>0</v>
      </c>
      <c r="L18">
        <v>3.8999999999999998E-3</v>
      </c>
      <c r="M18">
        <v>0.21260000000000001</v>
      </c>
      <c r="N18">
        <v>103.9778</v>
      </c>
      <c r="O18" t="s">
        <v>130</v>
      </c>
      <c r="P18" t="s">
        <v>131</v>
      </c>
    </row>
    <row r="19" spans="1:16">
      <c r="A19">
        <v>7</v>
      </c>
      <c r="B19">
        <v>0.2989</v>
      </c>
      <c r="C19">
        <v>0</v>
      </c>
      <c r="D19">
        <v>54.64</v>
      </c>
      <c r="E19">
        <v>1.06E-2</v>
      </c>
      <c r="F19">
        <v>5.8999999999999999E-3</v>
      </c>
      <c r="G19">
        <v>0</v>
      </c>
      <c r="H19">
        <v>48.71</v>
      </c>
      <c r="I19">
        <v>0</v>
      </c>
      <c r="J19">
        <v>3.85E-2</v>
      </c>
      <c r="K19">
        <v>0</v>
      </c>
      <c r="L19">
        <v>2.29E-2</v>
      </c>
      <c r="M19">
        <v>0.20680000000000001</v>
      </c>
      <c r="N19">
        <v>103.9336</v>
      </c>
      <c r="O19" t="s">
        <v>130</v>
      </c>
      <c r="P19" t="s">
        <v>131</v>
      </c>
    </row>
    <row r="20" spans="1:16">
      <c r="A20">
        <v>48</v>
      </c>
      <c r="B20">
        <v>0.50980000000000003</v>
      </c>
      <c r="C20">
        <v>0</v>
      </c>
      <c r="D20">
        <v>54.47</v>
      </c>
      <c r="E20">
        <v>1.1299999999999999E-2</v>
      </c>
      <c r="F20">
        <v>5.7000000000000002E-3</v>
      </c>
      <c r="G20">
        <v>0</v>
      </c>
      <c r="H20">
        <v>48.69</v>
      </c>
      <c r="I20">
        <v>1.6500000000000001E-2</v>
      </c>
      <c r="J20">
        <v>0</v>
      </c>
      <c r="K20">
        <v>0</v>
      </c>
      <c r="L20">
        <v>3.3999999999999998E-3</v>
      </c>
      <c r="M20">
        <v>0.2026</v>
      </c>
      <c r="N20">
        <v>103.9092</v>
      </c>
      <c r="O20" t="s">
        <v>130</v>
      </c>
      <c r="P20" t="s">
        <v>131</v>
      </c>
    </row>
    <row r="21" spans="1:16">
      <c r="A21">
        <v>15</v>
      </c>
      <c r="B21">
        <v>0.99429999999999996</v>
      </c>
      <c r="C21">
        <v>0</v>
      </c>
      <c r="D21">
        <v>54.06</v>
      </c>
      <c r="E21">
        <v>1.9E-2</v>
      </c>
      <c r="F21">
        <v>2.0999999999999999E-3</v>
      </c>
      <c r="G21">
        <v>0</v>
      </c>
      <c r="H21">
        <v>48.56</v>
      </c>
      <c r="I21">
        <v>6.7000000000000002E-3</v>
      </c>
      <c r="J21">
        <v>9.4000000000000004E-3</v>
      </c>
      <c r="K21">
        <v>0</v>
      </c>
      <c r="L21">
        <v>1.03E-2</v>
      </c>
      <c r="M21">
        <v>0.16880000000000001</v>
      </c>
      <c r="N21">
        <v>103.8306</v>
      </c>
      <c r="O21" t="s">
        <v>130</v>
      </c>
      <c r="P21" t="s">
        <v>131</v>
      </c>
    </row>
    <row r="22" spans="1:16">
      <c r="A22">
        <v>47</v>
      </c>
      <c r="B22">
        <v>0.1925</v>
      </c>
      <c r="C22">
        <v>0</v>
      </c>
      <c r="D22">
        <v>54.56</v>
      </c>
      <c r="E22">
        <v>2.5499999999999998E-2</v>
      </c>
      <c r="F22">
        <v>0</v>
      </c>
      <c r="G22">
        <v>0</v>
      </c>
      <c r="H22">
        <v>48.45</v>
      </c>
      <c r="I22">
        <v>0</v>
      </c>
      <c r="J22">
        <v>1.44E-2</v>
      </c>
      <c r="K22">
        <v>0</v>
      </c>
      <c r="L22">
        <v>1.09E-2</v>
      </c>
      <c r="M22">
        <v>0.18579999999999999</v>
      </c>
      <c r="N22">
        <v>103.43899999999999</v>
      </c>
      <c r="O22" t="s">
        <v>130</v>
      </c>
      <c r="P22" t="s">
        <v>131</v>
      </c>
    </row>
    <row r="23" spans="1:16">
      <c r="A23">
        <v>6</v>
      </c>
      <c r="B23">
        <v>0.49669999999999997</v>
      </c>
      <c r="C23">
        <v>0</v>
      </c>
      <c r="D23">
        <v>54.19</v>
      </c>
      <c r="E23">
        <v>6.1999999999999998E-3</v>
      </c>
      <c r="F23">
        <v>8.3000000000000001E-3</v>
      </c>
      <c r="G23">
        <v>0</v>
      </c>
      <c r="H23">
        <v>48.39</v>
      </c>
      <c r="I23">
        <v>0</v>
      </c>
      <c r="J23">
        <v>2.8500000000000001E-2</v>
      </c>
      <c r="K23">
        <v>0</v>
      </c>
      <c r="L23">
        <v>1.03E-2</v>
      </c>
      <c r="M23">
        <v>0.1991</v>
      </c>
      <c r="N23">
        <v>103.32899999999999</v>
      </c>
      <c r="O23" t="s">
        <v>130</v>
      </c>
      <c r="P23" t="s">
        <v>131</v>
      </c>
    </row>
    <row r="24" spans="1:16">
      <c r="A24">
        <v>16</v>
      </c>
      <c r="B24">
        <v>1.61</v>
      </c>
      <c r="C24">
        <v>0</v>
      </c>
      <c r="D24">
        <v>52.86</v>
      </c>
      <c r="E24">
        <v>0</v>
      </c>
      <c r="F24">
        <v>0</v>
      </c>
      <c r="G24">
        <v>0</v>
      </c>
      <c r="H24">
        <v>48.11</v>
      </c>
      <c r="I24">
        <v>0.21</v>
      </c>
      <c r="J24">
        <v>0.1163</v>
      </c>
      <c r="K24">
        <v>0</v>
      </c>
      <c r="L24">
        <v>0.14810000000000001</v>
      </c>
      <c r="M24">
        <v>0.1852</v>
      </c>
      <c r="N24">
        <v>103.2396</v>
      </c>
      <c r="O24" t="s">
        <v>130</v>
      </c>
      <c r="P24" t="s">
        <v>131</v>
      </c>
    </row>
    <row r="25" spans="1:16">
      <c r="A25">
        <v>44</v>
      </c>
      <c r="B25">
        <v>1.68</v>
      </c>
      <c r="C25">
        <v>0</v>
      </c>
      <c r="D25">
        <v>53.1</v>
      </c>
      <c r="E25">
        <v>2.3699999999999999E-2</v>
      </c>
      <c r="F25">
        <v>0</v>
      </c>
      <c r="G25">
        <v>0</v>
      </c>
      <c r="H25">
        <v>46.74</v>
      </c>
      <c r="I25">
        <v>0</v>
      </c>
      <c r="J25">
        <v>4.4999999999999997E-3</v>
      </c>
      <c r="K25">
        <v>0</v>
      </c>
      <c r="L25">
        <v>1.49E-2</v>
      </c>
      <c r="M25">
        <v>0.18190000000000001</v>
      </c>
      <c r="N25">
        <v>101.7449</v>
      </c>
      <c r="O25" t="s">
        <v>132</v>
      </c>
      <c r="P25" t="s">
        <v>131</v>
      </c>
    </row>
    <row r="26" spans="1:16">
      <c r="A26">
        <v>7</v>
      </c>
      <c r="B26">
        <v>3.0300000000000001E-2</v>
      </c>
      <c r="C26">
        <v>0</v>
      </c>
      <c r="D26">
        <v>53.96</v>
      </c>
      <c r="E26">
        <v>0</v>
      </c>
      <c r="F26">
        <v>0</v>
      </c>
      <c r="G26">
        <v>0</v>
      </c>
      <c r="H26">
        <v>47.62</v>
      </c>
      <c r="I26">
        <v>0</v>
      </c>
      <c r="J26">
        <v>0.21859999999999999</v>
      </c>
      <c r="K26">
        <v>0</v>
      </c>
      <c r="L26">
        <v>2.0500000000000001E-2</v>
      </c>
      <c r="M26">
        <v>0.20610000000000001</v>
      </c>
      <c r="N26">
        <v>102.05540000000001</v>
      </c>
      <c r="O26" t="s">
        <v>133</v>
      </c>
      <c r="P26" t="s">
        <v>131</v>
      </c>
    </row>
    <row r="27" spans="1:16">
      <c r="A27">
        <v>41</v>
      </c>
      <c r="B27">
        <v>0.24399999999999999</v>
      </c>
      <c r="C27">
        <v>0</v>
      </c>
      <c r="D27">
        <v>54.01</v>
      </c>
      <c r="E27">
        <v>7.0000000000000001E-3</v>
      </c>
      <c r="F27">
        <v>2.3E-3</v>
      </c>
      <c r="G27">
        <v>0</v>
      </c>
      <c r="H27">
        <v>47.54</v>
      </c>
      <c r="I27">
        <v>0</v>
      </c>
      <c r="J27">
        <v>3.3999999999999998E-3</v>
      </c>
      <c r="K27">
        <v>0</v>
      </c>
      <c r="L27">
        <v>3.0000000000000001E-3</v>
      </c>
      <c r="M27">
        <v>0.18759999999999999</v>
      </c>
      <c r="N27">
        <v>101.99720000000001</v>
      </c>
      <c r="O27" t="s">
        <v>133</v>
      </c>
      <c r="P27" t="s">
        <v>131</v>
      </c>
    </row>
    <row r="28" spans="1:16">
      <c r="A28">
        <v>11</v>
      </c>
      <c r="B28">
        <v>1.62</v>
      </c>
      <c r="C28">
        <v>0</v>
      </c>
      <c r="D28">
        <v>53.24</v>
      </c>
      <c r="E28">
        <v>5.4000000000000003E-3</v>
      </c>
      <c r="F28">
        <v>0</v>
      </c>
      <c r="G28">
        <v>0</v>
      </c>
      <c r="H28">
        <v>47.38</v>
      </c>
      <c r="I28">
        <v>2.9999999999999997E-4</v>
      </c>
      <c r="J28">
        <v>5.3E-3</v>
      </c>
      <c r="K28">
        <v>0</v>
      </c>
      <c r="L28">
        <v>1.2200000000000001E-2</v>
      </c>
      <c r="M28">
        <v>0.18329999999999999</v>
      </c>
      <c r="N28">
        <v>102.4464</v>
      </c>
      <c r="O28" t="s">
        <v>133</v>
      </c>
      <c r="P28" t="s">
        <v>131</v>
      </c>
    </row>
    <row r="29" spans="1:16">
      <c r="A29">
        <v>4</v>
      </c>
      <c r="B29">
        <v>7.9399999999999998E-2</v>
      </c>
      <c r="C29">
        <v>0</v>
      </c>
      <c r="D29">
        <v>54.71</v>
      </c>
      <c r="E29">
        <v>1.21E-2</v>
      </c>
      <c r="F29">
        <v>0</v>
      </c>
      <c r="G29">
        <v>0</v>
      </c>
      <c r="H29">
        <v>47.35</v>
      </c>
      <c r="I29">
        <v>0</v>
      </c>
      <c r="J29">
        <v>0</v>
      </c>
      <c r="K29">
        <v>0</v>
      </c>
      <c r="L29">
        <v>0</v>
      </c>
      <c r="M29">
        <v>0.18410000000000001</v>
      </c>
      <c r="N29">
        <v>102.3355</v>
      </c>
      <c r="O29" t="s">
        <v>133</v>
      </c>
      <c r="P29" t="s">
        <v>131</v>
      </c>
    </row>
    <row r="30" spans="1:16">
      <c r="A30">
        <v>10</v>
      </c>
      <c r="B30">
        <v>1.5</v>
      </c>
      <c r="C30">
        <v>0</v>
      </c>
      <c r="D30">
        <v>53.43</v>
      </c>
      <c r="E30">
        <v>2.5000000000000001E-3</v>
      </c>
      <c r="F30">
        <v>0</v>
      </c>
      <c r="G30">
        <v>0</v>
      </c>
      <c r="H30">
        <v>47.34</v>
      </c>
      <c r="I30">
        <v>0</v>
      </c>
      <c r="J30">
        <v>8.2000000000000007E-3</v>
      </c>
      <c r="K30">
        <v>0</v>
      </c>
      <c r="L30">
        <v>7.1999999999999998E-3</v>
      </c>
      <c r="M30">
        <v>0.1908</v>
      </c>
      <c r="N30">
        <v>102.4787</v>
      </c>
      <c r="O30" t="s">
        <v>133</v>
      </c>
      <c r="P30" t="s">
        <v>131</v>
      </c>
    </row>
    <row r="31" spans="1:16">
      <c r="A31">
        <v>36</v>
      </c>
      <c r="B31">
        <v>1.47</v>
      </c>
      <c r="C31">
        <v>0</v>
      </c>
      <c r="D31">
        <v>53.39</v>
      </c>
      <c r="E31">
        <v>1.2699999999999999E-2</v>
      </c>
      <c r="F31">
        <v>0</v>
      </c>
      <c r="G31">
        <v>0</v>
      </c>
      <c r="H31">
        <v>47.3</v>
      </c>
      <c r="I31">
        <v>0</v>
      </c>
      <c r="J31">
        <v>2.9999999999999997E-4</v>
      </c>
      <c r="K31">
        <v>0</v>
      </c>
      <c r="L31">
        <v>1.3299999999999999E-2</v>
      </c>
      <c r="M31">
        <v>0.17760000000000001</v>
      </c>
      <c r="N31">
        <v>102.3638</v>
      </c>
      <c r="O31" t="s">
        <v>133</v>
      </c>
      <c r="P31" t="s">
        <v>131</v>
      </c>
    </row>
    <row r="32" spans="1:16">
      <c r="A32">
        <v>12</v>
      </c>
      <c r="B32">
        <v>1.43</v>
      </c>
      <c r="C32">
        <v>0</v>
      </c>
      <c r="D32">
        <v>53.51</v>
      </c>
      <c r="E32">
        <v>1.5699999999999999E-2</v>
      </c>
      <c r="F32">
        <v>0</v>
      </c>
      <c r="G32">
        <v>0</v>
      </c>
      <c r="H32">
        <v>47.29</v>
      </c>
      <c r="I32">
        <v>0</v>
      </c>
      <c r="J32">
        <v>0</v>
      </c>
      <c r="K32">
        <v>0</v>
      </c>
      <c r="L32">
        <v>0</v>
      </c>
      <c r="M32">
        <v>0.19139999999999999</v>
      </c>
      <c r="N32">
        <v>102.437</v>
      </c>
      <c r="O32" t="s">
        <v>133</v>
      </c>
      <c r="P32" t="s">
        <v>131</v>
      </c>
    </row>
    <row r="33" spans="1:16">
      <c r="A33">
        <v>45</v>
      </c>
      <c r="B33">
        <v>1.43</v>
      </c>
      <c r="C33">
        <v>0</v>
      </c>
      <c r="D33">
        <v>53.47</v>
      </c>
      <c r="E33">
        <v>1.49E-2</v>
      </c>
      <c r="F33">
        <v>4.4999999999999997E-3</v>
      </c>
      <c r="G33">
        <v>0</v>
      </c>
      <c r="H33">
        <v>47.13</v>
      </c>
      <c r="I33">
        <v>0</v>
      </c>
      <c r="J33">
        <v>0</v>
      </c>
      <c r="K33">
        <v>0</v>
      </c>
      <c r="L33">
        <v>0</v>
      </c>
      <c r="M33">
        <v>0.1951</v>
      </c>
      <c r="N33">
        <v>102.2445</v>
      </c>
      <c r="O33" t="s">
        <v>133</v>
      </c>
      <c r="P33" t="s">
        <v>131</v>
      </c>
    </row>
    <row r="34" spans="1:16">
      <c r="A34">
        <v>29</v>
      </c>
      <c r="B34">
        <v>1.65</v>
      </c>
      <c r="C34">
        <v>0</v>
      </c>
      <c r="D34">
        <v>53.46</v>
      </c>
      <c r="E34">
        <v>1.6500000000000001E-2</v>
      </c>
      <c r="F34">
        <v>0</v>
      </c>
      <c r="G34">
        <v>0</v>
      </c>
      <c r="H34">
        <v>47.11</v>
      </c>
      <c r="I34">
        <v>0</v>
      </c>
      <c r="J34">
        <v>8.3999999999999995E-3</v>
      </c>
      <c r="K34">
        <v>0</v>
      </c>
      <c r="L34">
        <v>3.5999999999999999E-3</v>
      </c>
      <c r="M34">
        <v>0.2019</v>
      </c>
      <c r="N34">
        <v>102.4503</v>
      </c>
      <c r="O34" t="s">
        <v>133</v>
      </c>
      <c r="P34" t="s">
        <v>131</v>
      </c>
    </row>
    <row r="35" spans="1:16">
      <c r="A35">
        <v>20</v>
      </c>
      <c r="B35">
        <v>1.68</v>
      </c>
      <c r="C35">
        <v>0</v>
      </c>
      <c r="D35">
        <v>53.28</v>
      </c>
      <c r="E35">
        <v>1.9300000000000001E-2</v>
      </c>
      <c r="F35">
        <v>0</v>
      </c>
      <c r="G35">
        <v>0</v>
      </c>
      <c r="H35">
        <v>47.09</v>
      </c>
      <c r="I35">
        <v>0</v>
      </c>
      <c r="J35">
        <v>0</v>
      </c>
      <c r="K35">
        <v>0</v>
      </c>
      <c r="L35">
        <v>8.9999999999999998E-4</v>
      </c>
      <c r="M35">
        <v>0.18779999999999999</v>
      </c>
      <c r="N35">
        <v>102.25790000000001</v>
      </c>
      <c r="O35" t="s">
        <v>133</v>
      </c>
      <c r="P35" t="s">
        <v>131</v>
      </c>
    </row>
    <row r="36" spans="1:16">
      <c r="A36">
        <v>19</v>
      </c>
      <c r="B36">
        <v>1.83</v>
      </c>
      <c r="C36">
        <v>0</v>
      </c>
      <c r="D36">
        <v>52.96</v>
      </c>
      <c r="E36">
        <v>1.18E-2</v>
      </c>
      <c r="F36">
        <v>6.4000000000000003E-3</v>
      </c>
      <c r="G36">
        <v>0</v>
      </c>
      <c r="H36">
        <v>47.05</v>
      </c>
      <c r="I36">
        <v>0</v>
      </c>
      <c r="J36">
        <v>7.3000000000000001E-3</v>
      </c>
      <c r="K36">
        <v>0</v>
      </c>
      <c r="L36">
        <v>4.3E-3</v>
      </c>
      <c r="M36">
        <v>0.18770000000000001</v>
      </c>
      <c r="N36">
        <v>102.0574</v>
      </c>
      <c r="O36" t="s">
        <v>133</v>
      </c>
      <c r="P36" t="s">
        <v>131</v>
      </c>
    </row>
    <row r="37" spans="1:16">
      <c r="A37">
        <v>5</v>
      </c>
      <c r="B37">
        <v>1.58</v>
      </c>
      <c r="C37">
        <v>0</v>
      </c>
      <c r="D37">
        <v>53.6</v>
      </c>
      <c r="E37">
        <v>2.9899999999999999E-2</v>
      </c>
      <c r="F37">
        <v>6.9999999999999999E-4</v>
      </c>
      <c r="G37">
        <v>0</v>
      </c>
      <c r="H37">
        <v>47.01</v>
      </c>
      <c r="I37">
        <v>0</v>
      </c>
      <c r="J37">
        <v>0</v>
      </c>
      <c r="K37">
        <v>0</v>
      </c>
      <c r="L37">
        <v>0</v>
      </c>
      <c r="M37">
        <v>0.31319999999999998</v>
      </c>
      <c r="N37">
        <v>102.5337</v>
      </c>
      <c r="O37" t="s">
        <v>133</v>
      </c>
      <c r="P37" t="s">
        <v>131</v>
      </c>
    </row>
    <row r="38" spans="1:16">
      <c r="A38">
        <v>40</v>
      </c>
      <c r="B38">
        <v>1.44</v>
      </c>
      <c r="C38">
        <v>0</v>
      </c>
      <c r="D38">
        <v>53.25</v>
      </c>
      <c r="E38">
        <v>1.21E-2</v>
      </c>
      <c r="F38">
        <v>8.0000000000000004E-4</v>
      </c>
      <c r="G38">
        <v>0</v>
      </c>
      <c r="H38">
        <v>46.96</v>
      </c>
      <c r="I38">
        <v>0</v>
      </c>
      <c r="J38">
        <v>0</v>
      </c>
      <c r="K38">
        <v>0</v>
      </c>
      <c r="L38">
        <v>0</v>
      </c>
      <c r="M38">
        <v>0.1613</v>
      </c>
      <c r="N38">
        <v>101.8242</v>
      </c>
      <c r="O38" t="s">
        <v>133</v>
      </c>
      <c r="P38" t="s">
        <v>131</v>
      </c>
    </row>
    <row r="39" spans="1:16">
      <c r="A39">
        <v>6</v>
      </c>
      <c r="B39">
        <v>0.65769999999999995</v>
      </c>
      <c r="C39">
        <v>0</v>
      </c>
      <c r="D39">
        <v>53.69</v>
      </c>
      <c r="E39">
        <v>7.9000000000000008E-3</v>
      </c>
      <c r="F39">
        <v>0</v>
      </c>
      <c r="G39">
        <v>0</v>
      </c>
      <c r="H39">
        <v>46.95</v>
      </c>
      <c r="I39">
        <v>4.0000000000000002E-4</v>
      </c>
      <c r="J39">
        <v>5.8299999999999998E-2</v>
      </c>
      <c r="K39">
        <v>0</v>
      </c>
      <c r="L39">
        <v>4.7899999999999998E-2</v>
      </c>
      <c r="M39">
        <v>0.28370000000000001</v>
      </c>
      <c r="N39">
        <v>101.69580000000001</v>
      </c>
      <c r="O39" t="s">
        <v>133</v>
      </c>
      <c r="P39" t="s">
        <v>131</v>
      </c>
    </row>
    <row r="40" spans="1:16">
      <c r="A40">
        <v>32</v>
      </c>
      <c r="B40">
        <v>1.41</v>
      </c>
      <c r="C40">
        <v>0</v>
      </c>
      <c r="D40">
        <v>53.26</v>
      </c>
      <c r="E40">
        <v>1.7100000000000001E-2</v>
      </c>
      <c r="F40">
        <v>0</v>
      </c>
      <c r="G40">
        <v>0</v>
      </c>
      <c r="H40">
        <v>46.93</v>
      </c>
      <c r="I40">
        <v>0</v>
      </c>
      <c r="J40">
        <v>5.8999999999999999E-3</v>
      </c>
      <c r="K40">
        <v>0</v>
      </c>
      <c r="L40">
        <v>0</v>
      </c>
      <c r="M40">
        <v>0.18840000000000001</v>
      </c>
      <c r="N40">
        <v>101.8113</v>
      </c>
      <c r="O40" t="s">
        <v>133</v>
      </c>
      <c r="P40" t="s">
        <v>131</v>
      </c>
    </row>
    <row r="41" spans="1:16">
      <c r="A41">
        <v>8</v>
      </c>
      <c r="B41">
        <v>2.41</v>
      </c>
      <c r="C41">
        <v>0</v>
      </c>
      <c r="D41">
        <v>52.67</v>
      </c>
      <c r="E41">
        <v>2.5000000000000001E-3</v>
      </c>
      <c r="F41">
        <v>3.5000000000000001E-3</v>
      </c>
      <c r="G41">
        <v>0</v>
      </c>
      <c r="H41">
        <v>46.77</v>
      </c>
      <c r="I41">
        <v>0</v>
      </c>
      <c r="J41">
        <v>4.3E-3</v>
      </c>
      <c r="K41">
        <v>0</v>
      </c>
      <c r="L41">
        <v>0</v>
      </c>
      <c r="M41">
        <v>0.22539999999999999</v>
      </c>
      <c r="N41">
        <v>102.0857</v>
      </c>
      <c r="O41" t="s">
        <v>133</v>
      </c>
      <c r="P41" t="s">
        <v>131</v>
      </c>
    </row>
    <row r="42" spans="1:16">
      <c r="A42">
        <v>2</v>
      </c>
      <c r="B42">
        <v>2.2400000000000002</v>
      </c>
      <c r="C42">
        <v>0</v>
      </c>
      <c r="D42">
        <v>52.73</v>
      </c>
      <c r="E42">
        <v>1.7000000000000001E-2</v>
      </c>
      <c r="F42">
        <v>5.3E-3</v>
      </c>
      <c r="G42">
        <v>0</v>
      </c>
      <c r="H42">
        <v>46.77</v>
      </c>
      <c r="I42">
        <v>0</v>
      </c>
      <c r="J42">
        <v>3.2000000000000002E-3</v>
      </c>
      <c r="K42">
        <v>0</v>
      </c>
      <c r="L42">
        <v>3.2300000000000002E-2</v>
      </c>
      <c r="M42">
        <v>0.19409999999999999</v>
      </c>
      <c r="N42">
        <v>101.9918</v>
      </c>
      <c r="O42" t="s">
        <v>133</v>
      </c>
      <c r="P42" t="s">
        <v>131</v>
      </c>
    </row>
    <row r="43" spans="1:16">
      <c r="A43">
        <v>3</v>
      </c>
      <c r="B43">
        <v>2.8</v>
      </c>
      <c r="C43">
        <v>0</v>
      </c>
      <c r="D43">
        <v>52.31</v>
      </c>
      <c r="E43">
        <v>7.7999999999999996E-3</v>
      </c>
      <c r="F43">
        <v>0</v>
      </c>
      <c r="G43">
        <v>0</v>
      </c>
      <c r="H43">
        <v>46.58</v>
      </c>
      <c r="I43">
        <v>0</v>
      </c>
      <c r="J43">
        <v>0</v>
      </c>
      <c r="K43">
        <v>0</v>
      </c>
      <c r="L43">
        <v>0</v>
      </c>
      <c r="M43">
        <v>0.18640000000000001</v>
      </c>
      <c r="N43">
        <v>101.8841</v>
      </c>
      <c r="O43" t="s">
        <v>133</v>
      </c>
      <c r="P43" t="s">
        <v>131</v>
      </c>
    </row>
    <row r="44" spans="1:16">
      <c r="A44">
        <v>33</v>
      </c>
      <c r="B44">
        <v>1.77</v>
      </c>
      <c r="C44">
        <v>0</v>
      </c>
      <c r="D44">
        <v>53.13</v>
      </c>
      <c r="E44">
        <v>0</v>
      </c>
      <c r="F44">
        <v>0</v>
      </c>
      <c r="G44">
        <v>0</v>
      </c>
      <c r="H44">
        <v>46.36</v>
      </c>
      <c r="I44">
        <v>0</v>
      </c>
      <c r="J44">
        <v>0</v>
      </c>
      <c r="K44">
        <v>0</v>
      </c>
      <c r="L44">
        <v>0</v>
      </c>
      <c r="M44">
        <v>0.19689999999999999</v>
      </c>
      <c r="N44">
        <v>101.4568</v>
      </c>
      <c r="O44" t="s">
        <v>133</v>
      </c>
      <c r="P44" t="s">
        <v>131</v>
      </c>
    </row>
    <row r="45" spans="1:16">
      <c r="A45">
        <v>53</v>
      </c>
      <c r="B45">
        <v>0</v>
      </c>
      <c r="C45">
        <v>0</v>
      </c>
      <c r="D45">
        <v>54.71</v>
      </c>
      <c r="E45">
        <v>6.8999999999999999E-3</v>
      </c>
      <c r="F45">
        <v>0</v>
      </c>
      <c r="G45">
        <v>0</v>
      </c>
      <c r="H45">
        <v>50.14</v>
      </c>
      <c r="I45">
        <v>0</v>
      </c>
      <c r="J45">
        <v>0</v>
      </c>
      <c r="K45">
        <v>0</v>
      </c>
      <c r="L45">
        <v>2.8199999999999999E-2</v>
      </c>
      <c r="M45">
        <v>0.17630000000000001</v>
      </c>
      <c r="N45">
        <v>105.0613</v>
      </c>
      <c r="O45" t="s">
        <v>134</v>
      </c>
      <c r="P45" t="s">
        <v>135</v>
      </c>
    </row>
    <row r="46" spans="1:16">
      <c r="A46">
        <v>54</v>
      </c>
      <c r="B46">
        <v>1.4200000000000001E-2</v>
      </c>
      <c r="C46">
        <v>0</v>
      </c>
      <c r="D46">
        <v>54.6</v>
      </c>
      <c r="E46">
        <v>5.8999999999999999E-3</v>
      </c>
      <c r="F46">
        <v>0</v>
      </c>
      <c r="G46">
        <v>0</v>
      </c>
      <c r="H46">
        <v>50.67</v>
      </c>
      <c r="I46">
        <v>0</v>
      </c>
      <c r="J46">
        <v>2.29E-2</v>
      </c>
      <c r="K46">
        <v>0</v>
      </c>
      <c r="L46">
        <v>1.5E-3</v>
      </c>
      <c r="M46">
        <v>0.18790000000000001</v>
      </c>
      <c r="N46">
        <v>105.50230000000001</v>
      </c>
      <c r="O46" t="s">
        <v>134</v>
      </c>
      <c r="P46" t="s">
        <v>135</v>
      </c>
    </row>
    <row r="47" spans="1:16">
      <c r="A47">
        <v>52</v>
      </c>
      <c r="B47">
        <v>2.7699999999999999E-2</v>
      </c>
      <c r="C47">
        <v>0</v>
      </c>
      <c r="D47">
        <v>54.54</v>
      </c>
      <c r="E47">
        <v>1.24E-2</v>
      </c>
      <c r="F47">
        <v>0</v>
      </c>
      <c r="G47">
        <v>0</v>
      </c>
      <c r="H47">
        <v>49.99</v>
      </c>
      <c r="I47">
        <v>0</v>
      </c>
      <c r="J47">
        <v>0</v>
      </c>
      <c r="K47">
        <v>0</v>
      </c>
      <c r="L47">
        <v>0</v>
      </c>
      <c r="M47">
        <v>0.16289999999999999</v>
      </c>
      <c r="N47">
        <v>104.7329</v>
      </c>
      <c r="O47" t="s">
        <v>134</v>
      </c>
      <c r="P47" t="s">
        <v>135</v>
      </c>
    </row>
    <row r="48" spans="1:16">
      <c r="A48">
        <v>41</v>
      </c>
      <c r="B48">
        <v>5.7999999999999996E-3</v>
      </c>
      <c r="C48">
        <v>0</v>
      </c>
      <c r="D48">
        <v>54.48</v>
      </c>
      <c r="E48">
        <v>5.8999999999999999E-3</v>
      </c>
      <c r="F48">
        <v>0</v>
      </c>
      <c r="G48">
        <v>0</v>
      </c>
      <c r="H48">
        <v>48.17</v>
      </c>
      <c r="I48">
        <v>0</v>
      </c>
      <c r="J48">
        <v>0</v>
      </c>
      <c r="K48">
        <v>0</v>
      </c>
      <c r="L48">
        <v>0</v>
      </c>
      <c r="M48">
        <v>0.20660000000000001</v>
      </c>
      <c r="N48">
        <v>102.8682</v>
      </c>
      <c r="O48" t="s">
        <v>136</v>
      </c>
      <c r="P48" t="s">
        <v>135</v>
      </c>
    </row>
    <row r="49" spans="1:16">
      <c r="A49">
        <v>42</v>
      </c>
      <c r="B49">
        <v>0</v>
      </c>
      <c r="C49">
        <v>0</v>
      </c>
      <c r="D49">
        <v>54.54</v>
      </c>
      <c r="E49">
        <v>0</v>
      </c>
      <c r="F49">
        <v>0</v>
      </c>
      <c r="G49">
        <v>0</v>
      </c>
      <c r="H49">
        <v>48.22</v>
      </c>
      <c r="I49">
        <v>5.0000000000000001E-4</v>
      </c>
      <c r="J49">
        <v>0</v>
      </c>
      <c r="K49">
        <v>0</v>
      </c>
      <c r="L49">
        <v>1.4E-3</v>
      </c>
      <c r="M49">
        <v>0.1552</v>
      </c>
      <c r="N49">
        <v>102.9171</v>
      </c>
      <c r="O49" t="s">
        <v>136</v>
      </c>
      <c r="P49" t="s">
        <v>135</v>
      </c>
    </row>
    <row r="50" spans="1:16">
      <c r="A50">
        <v>43</v>
      </c>
      <c r="B50">
        <v>1.7600000000000001E-2</v>
      </c>
      <c r="C50">
        <v>0</v>
      </c>
      <c r="D50">
        <v>54.23</v>
      </c>
      <c r="E50">
        <v>1.5E-3</v>
      </c>
      <c r="F50">
        <v>1E-4</v>
      </c>
      <c r="G50">
        <v>0</v>
      </c>
      <c r="H50">
        <v>48.34</v>
      </c>
      <c r="I50">
        <v>0</v>
      </c>
      <c r="J50">
        <v>4.4000000000000003E-3</v>
      </c>
      <c r="K50">
        <v>0</v>
      </c>
      <c r="L50">
        <v>0</v>
      </c>
      <c r="M50">
        <v>0.16500000000000001</v>
      </c>
      <c r="N50">
        <v>102.7586</v>
      </c>
      <c r="O50" t="s">
        <v>136</v>
      </c>
      <c r="P50" t="s">
        <v>135</v>
      </c>
    </row>
    <row r="51" spans="1:16">
      <c r="A51">
        <v>44</v>
      </c>
      <c r="B51">
        <v>3.5900000000000001E-2</v>
      </c>
      <c r="C51">
        <v>0</v>
      </c>
      <c r="D51">
        <v>54.32</v>
      </c>
      <c r="E51">
        <v>0</v>
      </c>
      <c r="F51">
        <v>0</v>
      </c>
      <c r="G51">
        <v>0</v>
      </c>
      <c r="H51">
        <v>47.9</v>
      </c>
      <c r="I51">
        <v>0</v>
      </c>
      <c r="J51">
        <v>0</v>
      </c>
      <c r="K51">
        <v>0</v>
      </c>
      <c r="L51">
        <v>0</v>
      </c>
      <c r="M51">
        <v>0.19869999999999999</v>
      </c>
      <c r="N51">
        <v>102.4546</v>
      </c>
      <c r="O51" t="s">
        <v>136</v>
      </c>
      <c r="P51" t="s">
        <v>135</v>
      </c>
    </row>
    <row r="52" spans="1:16">
      <c r="A52">
        <v>45</v>
      </c>
      <c r="B52">
        <v>1.09E-2</v>
      </c>
      <c r="C52">
        <v>0</v>
      </c>
      <c r="D52">
        <v>54.44</v>
      </c>
      <c r="E52">
        <v>3.3E-3</v>
      </c>
      <c r="F52">
        <v>0</v>
      </c>
      <c r="G52">
        <v>0</v>
      </c>
      <c r="H52">
        <v>48.13</v>
      </c>
      <c r="I52">
        <v>0</v>
      </c>
      <c r="J52">
        <v>4.0000000000000001E-3</v>
      </c>
      <c r="K52">
        <v>0</v>
      </c>
      <c r="L52">
        <v>1.14E-2</v>
      </c>
      <c r="M52">
        <v>0.1792</v>
      </c>
      <c r="N52">
        <v>102.7787</v>
      </c>
      <c r="O52" t="s">
        <v>136</v>
      </c>
      <c r="P52" t="s">
        <v>135</v>
      </c>
    </row>
    <row r="53" spans="1:16">
      <c r="A53">
        <v>42</v>
      </c>
      <c r="B53">
        <v>2E-3</v>
      </c>
      <c r="C53">
        <v>0</v>
      </c>
      <c r="D53">
        <v>54.18</v>
      </c>
      <c r="E53">
        <v>3.0000000000000001E-3</v>
      </c>
      <c r="F53">
        <v>1.17E-2</v>
      </c>
      <c r="G53">
        <v>0</v>
      </c>
      <c r="H53">
        <v>48.8</v>
      </c>
      <c r="I53">
        <v>0</v>
      </c>
      <c r="J53">
        <v>8.0000000000000002E-3</v>
      </c>
      <c r="K53">
        <v>0</v>
      </c>
      <c r="L53">
        <v>1.06E-2</v>
      </c>
      <c r="M53">
        <v>0.14960000000000001</v>
      </c>
      <c r="N53">
        <v>103.1648</v>
      </c>
      <c r="O53" t="s">
        <v>136</v>
      </c>
      <c r="P53" t="s">
        <v>135</v>
      </c>
    </row>
    <row r="54" spans="1:16">
      <c r="A54">
        <v>45</v>
      </c>
      <c r="B54">
        <v>0</v>
      </c>
      <c r="C54">
        <v>0</v>
      </c>
      <c r="D54">
        <v>54.23</v>
      </c>
      <c r="E54">
        <v>3.7000000000000002E-3</v>
      </c>
      <c r="F54">
        <v>0</v>
      </c>
      <c r="G54">
        <v>0</v>
      </c>
      <c r="H54">
        <v>48.64</v>
      </c>
      <c r="I54">
        <v>1.4E-3</v>
      </c>
      <c r="J54">
        <v>1.8499999999999999E-2</v>
      </c>
      <c r="K54">
        <v>0</v>
      </c>
      <c r="L54">
        <v>4.9399999999999999E-2</v>
      </c>
      <c r="M54">
        <v>0.16880000000000001</v>
      </c>
      <c r="N54">
        <v>103.1118</v>
      </c>
      <c r="O54" t="s">
        <v>136</v>
      </c>
      <c r="P54" t="s">
        <v>135</v>
      </c>
    </row>
    <row r="55" spans="1:16">
      <c r="A55">
        <v>43</v>
      </c>
      <c r="B55">
        <v>0</v>
      </c>
      <c r="C55">
        <v>0</v>
      </c>
      <c r="D55">
        <v>54.35</v>
      </c>
      <c r="E55">
        <v>6.1999999999999998E-3</v>
      </c>
      <c r="F55">
        <v>0</v>
      </c>
      <c r="G55">
        <v>0</v>
      </c>
      <c r="H55">
        <v>48.63</v>
      </c>
      <c r="I55">
        <v>0</v>
      </c>
      <c r="J55">
        <v>0</v>
      </c>
      <c r="K55">
        <v>0</v>
      </c>
      <c r="L55">
        <v>0</v>
      </c>
      <c r="M55">
        <v>0.17030000000000001</v>
      </c>
      <c r="N55">
        <v>103.1564</v>
      </c>
      <c r="O55" t="s">
        <v>136</v>
      </c>
      <c r="P55" t="s">
        <v>135</v>
      </c>
    </row>
    <row r="56" spans="1:16">
      <c r="A56">
        <v>41</v>
      </c>
      <c r="B56">
        <v>2.0899999999999998E-2</v>
      </c>
      <c r="C56">
        <v>0</v>
      </c>
      <c r="D56">
        <v>54.21</v>
      </c>
      <c r="E56">
        <v>2.8999999999999998E-3</v>
      </c>
      <c r="F56">
        <v>0</v>
      </c>
      <c r="G56">
        <v>0</v>
      </c>
      <c r="H56">
        <v>48.57</v>
      </c>
      <c r="I56">
        <v>0</v>
      </c>
      <c r="J56">
        <v>0</v>
      </c>
      <c r="K56">
        <v>0</v>
      </c>
      <c r="L56">
        <v>0</v>
      </c>
      <c r="M56">
        <v>0.1734</v>
      </c>
      <c r="N56">
        <v>102.97709999999999</v>
      </c>
      <c r="O56" t="s">
        <v>136</v>
      </c>
      <c r="P56" t="s">
        <v>135</v>
      </c>
    </row>
    <row r="57" spans="1:16">
      <c r="A57">
        <v>46</v>
      </c>
      <c r="B57">
        <v>6.6E-3</v>
      </c>
      <c r="C57">
        <v>0</v>
      </c>
      <c r="D57">
        <v>54.13</v>
      </c>
      <c r="E57">
        <v>1.43E-2</v>
      </c>
      <c r="F57">
        <v>5.3E-3</v>
      </c>
      <c r="G57">
        <v>0</v>
      </c>
      <c r="H57">
        <v>48.54</v>
      </c>
      <c r="I57">
        <v>0</v>
      </c>
      <c r="J57">
        <v>0</v>
      </c>
      <c r="K57">
        <v>0</v>
      </c>
      <c r="L57">
        <v>0</v>
      </c>
      <c r="M57">
        <v>0.2021</v>
      </c>
      <c r="N57">
        <v>102.8982</v>
      </c>
      <c r="O57" t="s">
        <v>136</v>
      </c>
      <c r="P57" t="s">
        <v>135</v>
      </c>
    </row>
    <row r="58" spans="1:16">
      <c r="A58">
        <v>44</v>
      </c>
      <c r="B58">
        <v>0.42399999999999999</v>
      </c>
      <c r="C58">
        <v>0</v>
      </c>
      <c r="D58">
        <v>53.96</v>
      </c>
      <c r="E58">
        <v>4.4000000000000003E-3</v>
      </c>
      <c r="F58">
        <v>0</v>
      </c>
      <c r="G58">
        <v>0</v>
      </c>
      <c r="H58">
        <v>48.41</v>
      </c>
      <c r="I58">
        <v>0</v>
      </c>
      <c r="J58">
        <v>0</v>
      </c>
      <c r="K58">
        <v>0</v>
      </c>
      <c r="L58">
        <v>0</v>
      </c>
      <c r="M58">
        <v>0.14410000000000001</v>
      </c>
      <c r="N58">
        <v>102.94240000000001</v>
      </c>
      <c r="O58" t="s">
        <v>136</v>
      </c>
      <c r="P58" t="s">
        <v>135</v>
      </c>
    </row>
    <row r="59" spans="1:16">
      <c r="A59">
        <v>47</v>
      </c>
      <c r="B59">
        <v>0</v>
      </c>
      <c r="C59">
        <v>0</v>
      </c>
      <c r="D59">
        <v>54.2</v>
      </c>
      <c r="E59">
        <v>8.3000000000000001E-3</v>
      </c>
      <c r="F59">
        <v>0</v>
      </c>
      <c r="G59">
        <v>0</v>
      </c>
      <c r="H59">
        <v>48.4</v>
      </c>
      <c r="I59">
        <v>0</v>
      </c>
      <c r="J59">
        <v>0</v>
      </c>
      <c r="K59">
        <v>0</v>
      </c>
      <c r="L59">
        <v>0</v>
      </c>
      <c r="M59">
        <v>0.17319999999999999</v>
      </c>
      <c r="N59">
        <v>102.78149999999999</v>
      </c>
      <c r="O59" t="s">
        <v>136</v>
      </c>
      <c r="P59" t="s">
        <v>135</v>
      </c>
    </row>
    <row r="60" spans="1:16">
      <c r="A60">
        <v>48</v>
      </c>
      <c r="B60">
        <v>0</v>
      </c>
      <c r="C60">
        <v>0</v>
      </c>
      <c r="D60">
        <v>54.04</v>
      </c>
      <c r="E60">
        <v>4.7999999999999996E-3</v>
      </c>
      <c r="F60">
        <v>0</v>
      </c>
      <c r="G60">
        <v>0</v>
      </c>
      <c r="H60">
        <v>48.09</v>
      </c>
      <c r="I60">
        <v>0</v>
      </c>
      <c r="J60">
        <v>0</v>
      </c>
      <c r="K60">
        <v>0</v>
      </c>
      <c r="L60">
        <v>1.37E-2</v>
      </c>
      <c r="M60">
        <v>0.17349999999999999</v>
      </c>
      <c r="N60">
        <v>102.3219</v>
      </c>
      <c r="O60" t="s">
        <v>136</v>
      </c>
      <c r="P60" t="s">
        <v>135</v>
      </c>
    </row>
    <row r="61" spans="1:16">
      <c r="A61">
        <v>10</v>
      </c>
      <c r="B61">
        <v>0.5534</v>
      </c>
      <c r="C61">
        <v>0</v>
      </c>
      <c r="D61">
        <v>54.34</v>
      </c>
      <c r="E61">
        <v>8.2000000000000007E-3</v>
      </c>
      <c r="F61">
        <v>0</v>
      </c>
      <c r="G61">
        <v>0</v>
      </c>
      <c r="H61">
        <v>50.49</v>
      </c>
      <c r="I61">
        <v>2.2000000000000001E-3</v>
      </c>
      <c r="J61">
        <v>1.14E-2</v>
      </c>
      <c r="K61">
        <v>0</v>
      </c>
      <c r="L61">
        <v>1.9900000000000001E-2</v>
      </c>
      <c r="M61">
        <v>0.23100000000000001</v>
      </c>
      <c r="N61">
        <v>105.65600000000001</v>
      </c>
      <c r="O61" t="s">
        <v>137</v>
      </c>
      <c r="P61" t="s">
        <v>138</v>
      </c>
    </row>
    <row r="62" spans="1:16">
      <c r="A62">
        <v>17</v>
      </c>
      <c r="B62">
        <v>0.47910000000000003</v>
      </c>
      <c r="C62">
        <v>0</v>
      </c>
      <c r="D62">
        <v>55.15</v>
      </c>
      <c r="E62">
        <v>0</v>
      </c>
      <c r="F62">
        <v>0</v>
      </c>
      <c r="G62">
        <v>0</v>
      </c>
      <c r="H62">
        <v>49.84</v>
      </c>
      <c r="I62">
        <v>0</v>
      </c>
      <c r="J62">
        <v>1.21E-2</v>
      </c>
      <c r="K62">
        <v>0</v>
      </c>
      <c r="L62">
        <v>7.1999999999999998E-3</v>
      </c>
      <c r="M62">
        <v>0.2077</v>
      </c>
      <c r="N62">
        <v>105.6961</v>
      </c>
      <c r="O62" t="s">
        <v>137</v>
      </c>
      <c r="P62" t="s">
        <v>138</v>
      </c>
    </row>
    <row r="63" spans="1:16">
      <c r="A63">
        <v>9</v>
      </c>
      <c r="B63">
        <v>7.7999999999999996E-3</v>
      </c>
      <c r="C63">
        <v>0</v>
      </c>
      <c r="D63">
        <v>54.92</v>
      </c>
      <c r="E63">
        <v>1.29E-2</v>
      </c>
      <c r="F63">
        <v>0</v>
      </c>
      <c r="G63">
        <v>0</v>
      </c>
      <c r="H63">
        <v>50.6</v>
      </c>
      <c r="I63">
        <v>0</v>
      </c>
      <c r="J63">
        <v>0</v>
      </c>
      <c r="K63">
        <v>0</v>
      </c>
      <c r="L63">
        <v>5.0000000000000001E-3</v>
      </c>
      <c r="M63">
        <v>0.18579999999999999</v>
      </c>
      <c r="N63">
        <v>105.73139999999999</v>
      </c>
      <c r="O63" t="s">
        <v>137</v>
      </c>
      <c r="P63" t="s">
        <v>138</v>
      </c>
    </row>
    <row r="64" spans="1:16">
      <c r="A64">
        <v>12</v>
      </c>
      <c r="B64">
        <v>3.5000000000000001E-3</v>
      </c>
      <c r="C64">
        <v>0</v>
      </c>
      <c r="D64">
        <v>54.9</v>
      </c>
      <c r="E64">
        <v>8.2000000000000007E-3</v>
      </c>
      <c r="F64">
        <v>2.1299999999999999E-2</v>
      </c>
      <c r="G64">
        <v>0</v>
      </c>
      <c r="H64">
        <v>50.68</v>
      </c>
      <c r="I64">
        <v>0</v>
      </c>
      <c r="J64">
        <v>0</v>
      </c>
      <c r="K64">
        <v>0</v>
      </c>
      <c r="L64">
        <v>4.5999999999999999E-3</v>
      </c>
      <c r="M64">
        <v>0.2349</v>
      </c>
      <c r="N64">
        <v>105.85250000000001</v>
      </c>
      <c r="O64" t="s">
        <v>137</v>
      </c>
      <c r="P64" t="s">
        <v>138</v>
      </c>
    </row>
    <row r="65" spans="1:16">
      <c r="A65">
        <v>15</v>
      </c>
      <c r="B65">
        <v>1.29</v>
      </c>
      <c r="C65">
        <v>0</v>
      </c>
      <c r="D65">
        <v>53.92</v>
      </c>
      <c r="E65">
        <v>1.38E-2</v>
      </c>
      <c r="F65">
        <v>9.4000000000000004E-3</v>
      </c>
      <c r="G65">
        <v>0</v>
      </c>
      <c r="H65">
        <v>50.38</v>
      </c>
      <c r="I65">
        <v>1.6000000000000001E-3</v>
      </c>
      <c r="J65">
        <v>7.7000000000000002E-3</v>
      </c>
      <c r="K65">
        <v>0</v>
      </c>
      <c r="L65">
        <v>2.3999999999999998E-3</v>
      </c>
      <c r="M65">
        <v>0.18290000000000001</v>
      </c>
      <c r="N65">
        <v>105.8078</v>
      </c>
      <c r="O65" t="s">
        <v>137</v>
      </c>
      <c r="P65" t="s">
        <v>138</v>
      </c>
    </row>
    <row r="66" spans="1:16">
      <c r="A66">
        <v>13</v>
      </c>
      <c r="B66">
        <v>2.4500000000000002</v>
      </c>
      <c r="C66">
        <v>0</v>
      </c>
      <c r="D66">
        <v>53</v>
      </c>
      <c r="E66">
        <v>3.3999999999999998E-3</v>
      </c>
      <c r="F66">
        <v>0</v>
      </c>
      <c r="G66">
        <v>0</v>
      </c>
      <c r="H66">
        <v>49.66</v>
      </c>
      <c r="I66">
        <v>0</v>
      </c>
      <c r="J66">
        <v>2.0500000000000001E-2</v>
      </c>
      <c r="K66">
        <v>0</v>
      </c>
      <c r="L66">
        <v>0</v>
      </c>
      <c r="M66">
        <v>0.19220000000000001</v>
      </c>
      <c r="N66">
        <v>105.32599999999999</v>
      </c>
      <c r="O66" t="s">
        <v>137</v>
      </c>
      <c r="P66" t="s">
        <v>138</v>
      </c>
    </row>
    <row r="67" spans="1:16">
      <c r="A67">
        <v>11</v>
      </c>
      <c r="B67">
        <v>0.88439999999999996</v>
      </c>
      <c r="C67">
        <v>0</v>
      </c>
      <c r="D67">
        <v>54.08</v>
      </c>
      <c r="E67">
        <v>7.4999999999999997E-3</v>
      </c>
      <c r="F67">
        <v>0</v>
      </c>
      <c r="G67">
        <v>0</v>
      </c>
      <c r="H67">
        <v>50.04</v>
      </c>
      <c r="I67">
        <v>2.5000000000000001E-3</v>
      </c>
      <c r="J67">
        <v>1.35E-2</v>
      </c>
      <c r="K67">
        <v>0</v>
      </c>
      <c r="L67">
        <v>0</v>
      </c>
      <c r="M67">
        <v>0.19700000000000001</v>
      </c>
      <c r="N67">
        <v>105.2248</v>
      </c>
      <c r="O67" t="s">
        <v>137</v>
      </c>
      <c r="P67" t="s">
        <v>138</v>
      </c>
    </row>
    <row r="68" spans="1:16">
      <c r="A68">
        <v>18</v>
      </c>
      <c r="B68">
        <v>1.55</v>
      </c>
      <c r="C68">
        <v>0</v>
      </c>
      <c r="D68">
        <v>53.75</v>
      </c>
      <c r="E68">
        <v>7.3000000000000001E-3</v>
      </c>
      <c r="F68">
        <v>0</v>
      </c>
      <c r="G68">
        <v>0</v>
      </c>
      <c r="H68">
        <v>50.33</v>
      </c>
      <c r="I68">
        <v>2.0000000000000001E-4</v>
      </c>
      <c r="J68">
        <v>1.1599999999999999E-2</v>
      </c>
      <c r="K68">
        <v>0</v>
      </c>
      <c r="L68">
        <v>0</v>
      </c>
      <c r="M68">
        <v>0.18809999999999999</v>
      </c>
      <c r="N68">
        <v>105.83710000000001</v>
      </c>
      <c r="O68" t="s">
        <v>137</v>
      </c>
      <c r="P68" t="s">
        <v>138</v>
      </c>
    </row>
    <row r="69" spans="1:16">
      <c r="A69">
        <v>14</v>
      </c>
      <c r="B69">
        <v>1.56</v>
      </c>
      <c r="C69">
        <v>0</v>
      </c>
      <c r="D69">
        <v>53.73</v>
      </c>
      <c r="E69">
        <v>0</v>
      </c>
      <c r="F69">
        <v>0</v>
      </c>
      <c r="G69">
        <v>0</v>
      </c>
      <c r="H69">
        <v>50.15</v>
      </c>
      <c r="I69">
        <v>4.3E-3</v>
      </c>
      <c r="J69">
        <v>1.0800000000000001E-2</v>
      </c>
      <c r="K69">
        <v>0</v>
      </c>
      <c r="L69">
        <v>0</v>
      </c>
      <c r="M69">
        <v>0.19900000000000001</v>
      </c>
      <c r="N69">
        <v>105.6541</v>
      </c>
      <c r="O69" t="s">
        <v>137</v>
      </c>
      <c r="P69" t="s">
        <v>138</v>
      </c>
    </row>
    <row r="70" spans="1:16">
      <c r="A70">
        <v>7</v>
      </c>
      <c r="B70">
        <v>9.1999999999999998E-3</v>
      </c>
      <c r="C70">
        <v>0</v>
      </c>
      <c r="D70">
        <v>54.72</v>
      </c>
      <c r="E70">
        <v>7.6E-3</v>
      </c>
      <c r="F70">
        <v>0</v>
      </c>
      <c r="G70">
        <v>0</v>
      </c>
      <c r="H70">
        <v>50.32</v>
      </c>
      <c r="I70">
        <v>1.8E-3</v>
      </c>
      <c r="J70">
        <v>5.5999999999999999E-3</v>
      </c>
      <c r="K70">
        <v>0</v>
      </c>
      <c r="L70">
        <v>0</v>
      </c>
      <c r="M70">
        <v>0.18099999999999999</v>
      </c>
      <c r="N70">
        <v>105.24509999999999</v>
      </c>
      <c r="O70" t="s">
        <v>137</v>
      </c>
      <c r="P70" t="s">
        <v>138</v>
      </c>
    </row>
    <row r="71" spans="1:16">
      <c r="A71">
        <v>6</v>
      </c>
      <c r="B71">
        <v>8.2199999999999995E-2</v>
      </c>
      <c r="C71">
        <v>0</v>
      </c>
      <c r="D71">
        <v>54.42</v>
      </c>
      <c r="E71">
        <v>1.43E-2</v>
      </c>
      <c r="F71">
        <v>0</v>
      </c>
      <c r="G71">
        <v>0</v>
      </c>
      <c r="H71">
        <v>48.89</v>
      </c>
      <c r="I71">
        <v>0</v>
      </c>
      <c r="J71">
        <v>5.0000000000000001E-4</v>
      </c>
      <c r="K71">
        <v>0</v>
      </c>
      <c r="L71">
        <v>0</v>
      </c>
      <c r="M71">
        <v>0.18190000000000001</v>
      </c>
      <c r="N71">
        <v>103.58880000000001</v>
      </c>
      <c r="O71" t="s">
        <v>137</v>
      </c>
      <c r="P71" t="s">
        <v>138</v>
      </c>
    </row>
    <row r="72" spans="1:16">
      <c r="A72">
        <v>2</v>
      </c>
      <c r="B72">
        <v>0</v>
      </c>
      <c r="C72">
        <v>0</v>
      </c>
      <c r="D72">
        <v>54.75</v>
      </c>
      <c r="E72">
        <v>1.35E-2</v>
      </c>
      <c r="F72">
        <v>0</v>
      </c>
      <c r="G72">
        <v>0</v>
      </c>
      <c r="H72">
        <v>49.8</v>
      </c>
      <c r="I72">
        <v>0</v>
      </c>
      <c r="J72">
        <v>0</v>
      </c>
      <c r="K72">
        <v>0</v>
      </c>
      <c r="L72">
        <v>0</v>
      </c>
      <c r="M72">
        <v>0.2278</v>
      </c>
      <c r="N72">
        <v>104.7912</v>
      </c>
      <c r="O72" t="s">
        <v>137</v>
      </c>
      <c r="P72" t="s">
        <v>138</v>
      </c>
    </row>
    <row r="73" spans="1:16">
      <c r="A73">
        <v>8</v>
      </c>
      <c r="B73">
        <v>0.4582</v>
      </c>
      <c r="C73">
        <v>0</v>
      </c>
      <c r="D73">
        <v>54.51</v>
      </c>
      <c r="E73">
        <v>1.11E-2</v>
      </c>
      <c r="F73">
        <v>0</v>
      </c>
      <c r="G73">
        <v>0</v>
      </c>
      <c r="H73">
        <v>49.73</v>
      </c>
      <c r="I73">
        <v>0</v>
      </c>
      <c r="J73">
        <v>0</v>
      </c>
      <c r="K73">
        <v>0</v>
      </c>
      <c r="L73">
        <v>0</v>
      </c>
      <c r="M73">
        <v>0.19159999999999999</v>
      </c>
      <c r="N73">
        <v>104.9008</v>
      </c>
      <c r="O73" t="s">
        <v>137</v>
      </c>
      <c r="P73" t="s">
        <v>138</v>
      </c>
    </row>
    <row r="74" spans="1:16">
      <c r="A74">
        <v>16</v>
      </c>
      <c r="B74">
        <v>2.72</v>
      </c>
      <c r="C74">
        <v>0</v>
      </c>
      <c r="D74">
        <v>52.79</v>
      </c>
      <c r="E74">
        <v>1.2699999999999999E-2</v>
      </c>
      <c r="F74">
        <v>0</v>
      </c>
      <c r="G74">
        <v>0</v>
      </c>
      <c r="H74">
        <v>49.55</v>
      </c>
      <c r="I74">
        <v>0</v>
      </c>
      <c r="J74">
        <v>0</v>
      </c>
      <c r="K74">
        <v>0</v>
      </c>
      <c r="L74">
        <v>0</v>
      </c>
      <c r="M74">
        <v>0.1855</v>
      </c>
      <c r="N74">
        <v>105.2581</v>
      </c>
      <c r="O74" t="s">
        <v>137</v>
      </c>
      <c r="P74" t="s">
        <v>138</v>
      </c>
    </row>
    <row r="75" spans="1:16">
      <c r="A75">
        <v>1</v>
      </c>
      <c r="B75">
        <v>1.01</v>
      </c>
      <c r="C75">
        <v>0</v>
      </c>
      <c r="D75">
        <v>54.15</v>
      </c>
      <c r="E75">
        <v>2.8999999999999998E-3</v>
      </c>
      <c r="F75">
        <v>0</v>
      </c>
      <c r="G75">
        <v>0</v>
      </c>
      <c r="H75">
        <v>49.73</v>
      </c>
      <c r="I75">
        <v>0</v>
      </c>
      <c r="J75">
        <v>6.4000000000000003E-3</v>
      </c>
      <c r="K75">
        <v>0</v>
      </c>
      <c r="L75">
        <v>6.1000000000000004E-3</v>
      </c>
      <c r="M75">
        <v>0.2369</v>
      </c>
      <c r="N75">
        <v>105.14230000000001</v>
      </c>
      <c r="O75" t="s">
        <v>139</v>
      </c>
      <c r="P75" t="s">
        <v>138</v>
      </c>
    </row>
    <row r="76" spans="1:16">
      <c r="A76">
        <v>4</v>
      </c>
      <c r="B76">
        <v>1.0900000000000001</v>
      </c>
      <c r="C76">
        <v>0</v>
      </c>
      <c r="D76">
        <v>54.02</v>
      </c>
      <c r="E76">
        <v>0</v>
      </c>
      <c r="F76">
        <v>3.0999999999999999E-3</v>
      </c>
      <c r="G76">
        <v>0</v>
      </c>
      <c r="H76">
        <v>49.59</v>
      </c>
      <c r="I76">
        <v>5.0000000000000001E-4</v>
      </c>
      <c r="J76">
        <v>7.1000000000000004E-3</v>
      </c>
      <c r="K76">
        <v>0</v>
      </c>
      <c r="L76">
        <v>0</v>
      </c>
      <c r="M76">
        <v>0.2445</v>
      </c>
      <c r="N76">
        <v>104.9552</v>
      </c>
      <c r="O76" t="s">
        <v>140</v>
      </c>
      <c r="P76" t="s">
        <v>138</v>
      </c>
    </row>
    <row r="77" spans="1:16">
      <c r="A77">
        <v>5</v>
      </c>
      <c r="B77">
        <v>2.54</v>
      </c>
      <c r="C77">
        <v>0</v>
      </c>
      <c r="D77">
        <v>52.94</v>
      </c>
      <c r="E77">
        <v>1.41E-2</v>
      </c>
      <c r="F77">
        <v>0</v>
      </c>
      <c r="G77">
        <v>0</v>
      </c>
      <c r="H77">
        <v>49.25</v>
      </c>
      <c r="I77">
        <v>0</v>
      </c>
      <c r="J77">
        <v>0</v>
      </c>
      <c r="K77">
        <v>0</v>
      </c>
      <c r="L77">
        <v>0</v>
      </c>
      <c r="M77">
        <v>0.1762</v>
      </c>
      <c r="N77">
        <v>104.92019999999999</v>
      </c>
      <c r="O77" t="s">
        <v>140</v>
      </c>
      <c r="P77" t="s">
        <v>138</v>
      </c>
    </row>
    <row r="78" spans="1:16">
      <c r="A78">
        <v>132</v>
      </c>
      <c r="B78">
        <v>1.2999999999999999E-3</v>
      </c>
      <c r="C78">
        <v>0</v>
      </c>
      <c r="D78">
        <v>54.44</v>
      </c>
      <c r="E78">
        <v>9.7999999999999997E-3</v>
      </c>
      <c r="F78">
        <v>0</v>
      </c>
      <c r="G78">
        <v>0</v>
      </c>
      <c r="H78">
        <v>48.29</v>
      </c>
      <c r="I78">
        <v>5.1999999999999998E-2</v>
      </c>
      <c r="J78">
        <v>1.84E-2</v>
      </c>
      <c r="K78">
        <v>0</v>
      </c>
      <c r="L78">
        <v>0.16120000000000001</v>
      </c>
      <c r="M78">
        <v>0.16289999999999999</v>
      </c>
      <c r="N78">
        <v>103.1356</v>
      </c>
      <c r="O78" t="s">
        <v>141</v>
      </c>
      <c r="P78" t="s">
        <v>17</v>
      </c>
    </row>
    <row r="79" spans="1:16">
      <c r="A79">
        <v>123</v>
      </c>
      <c r="B79">
        <v>0</v>
      </c>
      <c r="C79">
        <v>0</v>
      </c>
      <c r="D79">
        <v>54.65</v>
      </c>
      <c r="E79">
        <v>8.0000000000000002E-3</v>
      </c>
      <c r="F79">
        <v>0</v>
      </c>
      <c r="G79">
        <v>0</v>
      </c>
      <c r="H79">
        <v>48.63</v>
      </c>
      <c r="I79">
        <v>3.0800000000000001E-2</v>
      </c>
      <c r="J79">
        <v>1.9900000000000001E-2</v>
      </c>
      <c r="K79">
        <v>0</v>
      </c>
      <c r="L79">
        <v>4.1200000000000001E-2</v>
      </c>
      <c r="M79">
        <v>0.15720000000000001</v>
      </c>
      <c r="N79">
        <v>103.53700000000001</v>
      </c>
      <c r="O79" t="s">
        <v>142</v>
      </c>
      <c r="P79" t="s">
        <v>17</v>
      </c>
    </row>
    <row r="80" spans="1:16">
      <c r="A80">
        <v>122</v>
      </c>
      <c r="B80">
        <v>7.4000000000000003E-3</v>
      </c>
      <c r="C80">
        <v>0</v>
      </c>
      <c r="D80">
        <v>54.74</v>
      </c>
      <c r="E80">
        <v>5.4999999999999997E-3</v>
      </c>
      <c r="F80">
        <v>0</v>
      </c>
      <c r="G80">
        <v>0</v>
      </c>
      <c r="H80">
        <v>48.62</v>
      </c>
      <c r="I80">
        <v>4.1000000000000003E-3</v>
      </c>
      <c r="J80">
        <v>1.29E-2</v>
      </c>
      <c r="K80">
        <v>0</v>
      </c>
      <c r="L80">
        <v>5.4999999999999997E-3</v>
      </c>
      <c r="M80">
        <v>0.1726</v>
      </c>
      <c r="N80">
        <v>103.56789999999999</v>
      </c>
      <c r="O80" t="s">
        <v>142</v>
      </c>
      <c r="P80" t="s">
        <v>17</v>
      </c>
    </row>
    <row r="81" spans="1:16">
      <c r="A81">
        <v>133</v>
      </c>
      <c r="B81">
        <v>5.1000000000000004E-3</v>
      </c>
      <c r="C81">
        <v>0</v>
      </c>
      <c r="D81">
        <v>54.55</v>
      </c>
      <c r="E81">
        <v>8.0999999999999996E-3</v>
      </c>
      <c r="F81">
        <v>0</v>
      </c>
      <c r="G81">
        <v>0</v>
      </c>
      <c r="H81">
        <v>48.58</v>
      </c>
      <c r="I81">
        <v>1.6999999999999999E-3</v>
      </c>
      <c r="J81">
        <v>7.1000000000000004E-3</v>
      </c>
      <c r="K81">
        <v>0</v>
      </c>
      <c r="L81">
        <v>0</v>
      </c>
      <c r="M81">
        <v>0.1671</v>
      </c>
      <c r="N81">
        <v>103.31910000000001</v>
      </c>
      <c r="O81" t="s">
        <v>142</v>
      </c>
      <c r="P81" t="s">
        <v>17</v>
      </c>
    </row>
    <row r="82" spans="1:16">
      <c r="A82">
        <v>121</v>
      </c>
      <c r="B82">
        <v>0</v>
      </c>
      <c r="C82">
        <v>0</v>
      </c>
      <c r="D82">
        <v>54.73</v>
      </c>
      <c r="E82">
        <v>1.6E-2</v>
      </c>
      <c r="F82">
        <v>0</v>
      </c>
      <c r="G82">
        <v>0</v>
      </c>
      <c r="H82">
        <v>48.49</v>
      </c>
      <c r="I82">
        <v>0</v>
      </c>
      <c r="J82">
        <v>0</v>
      </c>
      <c r="K82">
        <v>0</v>
      </c>
      <c r="L82">
        <v>0</v>
      </c>
      <c r="M82">
        <v>0.16769999999999999</v>
      </c>
      <c r="N82">
        <v>103.4036</v>
      </c>
      <c r="O82" t="s">
        <v>142</v>
      </c>
      <c r="P82" t="s">
        <v>17</v>
      </c>
    </row>
    <row r="83" spans="1:16">
      <c r="A83">
        <v>134</v>
      </c>
      <c r="B83">
        <v>7.0099999999999996E-2</v>
      </c>
      <c r="C83">
        <v>0</v>
      </c>
      <c r="D83">
        <v>54.65</v>
      </c>
      <c r="E83">
        <v>3.8999999999999998E-3</v>
      </c>
      <c r="F83">
        <v>0</v>
      </c>
      <c r="G83">
        <v>0</v>
      </c>
      <c r="H83">
        <v>48.41</v>
      </c>
      <c r="I83">
        <v>0</v>
      </c>
      <c r="J83">
        <v>6.4000000000000003E-3</v>
      </c>
      <c r="K83">
        <v>0</v>
      </c>
      <c r="L83">
        <v>5.1000000000000004E-3</v>
      </c>
      <c r="M83">
        <v>0.1565</v>
      </c>
      <c r="N83">
        <v>103.3019</v>
      </c>
      <c r="O83" t="s">
        <v>142</v>
      </c>
      <c r="P83" t="s">
        <v>17</v>
      </c>
    </row>
    <row r="84" spans="1:16">
      <c r="A84">
        <v>113</v>
      </c>
      <c r="B84">
        <v>0</v>
      </c>
      <c r="C84">
        <v>0</v>
      </c>
      <c r="D84">
        <v>54.74</v>
      </c>
      <c r="E84">
        <v>0</v>
      </c>
      <c r="F84">
        <v>0</v>
      </c>
      <c r="G84">
        <v>0</v>
      </c>
      <c r="H84">
        <v>48.37</v>
      </c>
      <c r="I84">
        <v>0</v>
      </c>
      <c r="J84">
        <v>1.83E-2</v>
      </c>
      <c r="K84">
        <v>0</v>
      </c>
      <c r="L84">
        <v>1.15E-2</v>
      </c>
      <c r="M84">
        <v>0.16309999999999999</v>
      </c>
      <c r="N84">
        <v>103.3028</v>
      </c>
      <c r="O84" t="s">
        <v>142</v>
      </c>
      <c r="P84" t="s">
        <v>17</v>
      </c>
    </row>
    <row r="85" spans="1:16">
      <c r="A85">
        <v>120</v>
      </c>
      <c r="B85">
        <v>4.4400000000000002E-2</v>
      </c>
      <c r="C85">
        <v>0</v>
      </c>
      <c r="D85">
        <v>54.83</v>
      </c>
      <c r="E85">
        <v>8.6999999999999994E-3</v>
      </c>
      <c r="F85">
        <v>0</v>
      </c>
      <c r="G85">
        <v>0</v>
      </c>
      <c r="H85">
        <v>48.27</v>
      </c>
      <c r="I85">
        <v>0</v>
      </c>
      <c r="J85">
        <v>0</v>
      </c>
      <c r="K85">
        <v>0</v>
      </c>
      <c r="L85">
        <v>0</v>
      </c>
      <c r="M85">
        <v>0.17050000000000001</v>
      </c>
      <c r="N85">
        <v>103.3236</v>
      </c>
      <c r="O85" t="s">
        <v>142</v>
      </c>
      <c r="P85" t="s">
        <v>17</v>
      </c>
    </row>
    <row r="86" spans="1:16">
      <c r="A86">
        <v>119</v>
      </c>
      <c r="B86">
        <v>1.89E-2</v>
      </c>
      <c r="C86">
        <v>0</v>
      </c>
      <c r="D86">
        <v>54.88</v>
      </c>
      <c r="E86">
        <v>1.6500000000000001E-2</v>
      </c>
      <c r="F86">
        <v>0</v>
      </c>
      <c r="G86">
        <v>0</v>
      </c>
      <c r="H86">
        <v>48</v>
      </c>
      <c r="I86">
        <v>8.0000000000000004E-4</v>
      </c>
      <c r="J86">
        <v>1.0500000000000001E-2</v>
      </c>
      <c r="K86">
        <v>0</v>
      </c>
      <c r="L86">
        <v>0</v>
      </c>
      <c r="M86">
        <v>0.14630000000000001</v>
      </c>
      <c r="N86">
        <v>103.07299999999999</v>
      </c>
      <c r="O86" t="s">
        <v>142</v>
      </c>
      <c r="P86" t="s">
        <v>17</v>
      </c>
    </row>
    <row r="87" spans="1:16">
      <c r="A87">
        <v>20</v>
      </c>
      <c r="B87">
        <v>7.3000000000000001E-3</v>
      </c>
      <c r="C87">
        <v>0</v>
      </c>
      <c r="D87">
        <v>54.38</v>
      </c>
      <c r="E87">
        <v>4.3E-3</v>
      </c>
      <c r="F87">
        <v>0</v>
      </c>
      <c r="G87">
        <v>0</v>
      </c>
      <c r="H87">
        <v>48.93</v>
      </c>
      <c r="I87">
        <v>6.0000000000000001E-3</v>
      </c>
      <c r="J87">
        <v>1.5E-3</v>
      </c>
      <c r="K87">
        <v>0</v>
      </c>
      <c r="L87">
        <v>0</v>
      </c>
      <c r="M87">
        <v>0.18959999999999999</v>
      </c>
      <c r="N87">
        <v>103.51860000000001</v>
      </c>
      <c r="O87" t="s">
        <v>142</v>
      </c>
      <c r="P87" t="s">
        <v>17</v>
      </c>
    </row>
    <row r="88" spans="1:16">
      <c r="A88">
        <v>23</v>
      </c>
      <c r="B88">
        <v>3.9300000000000002E-2</v>
      </c>
      <c r="C88">
        <v>0</v>
      </c>
      <c r="D88">
        <v>54.4</v>
      </c>
      <c r="E88">
        <v>1.09E-2</v>
      </c>
      <c r="F88">
        <v>0</v>
      </c>
      <c r="G88">
        <v>0</v>
      </c>
      <c r="H88">
        <v>48.8</v>
      </c>
      <c r="I88">
        <v>0</v>
      </c>
      <c r="J88">
        <v>0</v>
      </c>
      <c r="K88">
        <v>0</v>
      </c>
      <c r="L88">
        <v>0</v>
      </c>
      <c r="M88">
        <v>0.17</v>
      </c>
      <c r="N88">
        <v>103.42010000000001</v>
      </c>
      <c r="O88" t="s">
        <v>142</v>
      </c>
      <c r="P88" t="s">
        <v>17</v>
      </c>
    </row>
    <row r="89" spans="1:16">
      <c r="A89">
        <v>15</v>
      </c>
      <c r="B89">
        <v>5.2400000000000002E-2</v>
      </c>
      <c r="C89">
        <v>0</v>
      </c>
      <c r="D89">
        <v>54.15</v>
      </c>
      <c r="E89">
        <v>1.0699999999999999E-2</v>
      </c>
      <c r="F89">
        <v>0</v>
      </c>
      <c r="G89">
        <v>0</v>
      </c>
      <c r="H89">
        <v>48.67</v>
      </c>
      <c r="I89">
        <v>2.2000000000000001E-3</v>
      </c>
      <c r="J89">
        <v>0.12989999999999999</v>
      </c>
      <c r="K89">
        <v>0</v>
      </c>
      <c r="L89">
        <v>1.77E-2</v>
      </c>
      <c r="M89">
        <v>0.19719999999999999</v>
      </c>
      <c r="N89">
        <v>103.23</v>
      </c>
      <c r="O89" t="s">
        <v>142</v>
      </c>
      <c r="P89" t="s">
        <v>17</v>
      </c>
    </row>
    <row r="90" spans="1:16">
      <c r="A90">
        <v>13</v>
      </c>
      <c r="B90">
        <v>2.9999999999999997E-4</v>
      </c>
      <c r="C90">
        <v>0</v>
      </c>
      <c r="D90">
        <v>54.15</v>
      </c>
      <c r="E90">
        <v>5.4000000000000003E-3</v>
      </c>
      <c r="F90">
        <v>2.9999999999999997E-4</v>
      </c>
      <c r="G90">
        <v>0</v>
      </c>
      <c r="H90">
        <v>48.53</v>
      </c>
      <c r="I90">
        <v>1.1999999999999999E-3</v>
      </c>
      <c r="J90">
        <v>8.1600000000000006E-2</v>
      </c>
      <c r="K90">
        <v>0</v>
      </c>
      <c r="L90">
        <v>0</v>
      </c>
      <c r="M90">
        <v>0.19600000000000001</v>
      </c>
      <c r="N90">
        <v>102.96469999999999</v>
      </c>
      <c r="O90" t="s">
        <v>142</v>
      </c>
      <c r="P90" t="s">
        <v>17</v>
      </c>
    </row>
    <row r="91" spans="1:16">
      <c r="A91">
        <v>18</v>
      </c>
      <c r="B91">
        <v>0.49120000000000003</v>
      </c>
      <c r="C91">
        <v>0</v>
      </c>
      <c r="D91">
        <v>54.05</v>
      </c>
      <c r="E91">
        <v>1.8E-3</v>
      </c>
      <c r="F91">
        <v>1.03E-2</v>
      </c>
      <c r="G91">
        <v>0</v>
      </c>
      <c r="H91">
        <v>48.52</v>
      </c>
      <c r="I91">
        <v>0</v>
      </c>
      <c r="J91">
        <v>0</v>
      </c>
      <c r="K91">
        <v>0</v>
      </c>
      <c r="L91">
        <v>0</v>
      </c>
      <c r="M91">
        <v>0.18679999999999999</v>
      </c>
      <c r="N91">
        <v>103.26</v>
      </c>
      <c r="O91" t="s">
        <v>142</v>
      </c>
      <c r="P91" t="s">
        <v>17</v>
      </c>
    </row>
    <row r="92" spans="1:16">
      <c r="A92">
        <v>19</v>
      </c>
      <c r="B92">
        <v>3.9399999999999998E-2</v>
      </c>
      <c r="C92">
        <v>0</v>
      </c>
      <c r="D92">
        <v>54.39</v>
      </c>
      <c r="E92">
        <v>8.6999999999999994E-3</v>
      </c>
      <c r="F92">
        <v>0</v>
      </c>
      <c r="G92">
        <v>0</v>
      </c>
      <c r="H92">
        <v>48.46</v>
      </c>
      <c r="I92">
        <v>0</v>
      </c>
      <c r="J92">
        <v>0</v>
      </c>
      <c r="K92">
        <v>0</v>
      </c>
      <c r="L92">
        <v>0</v>
      </c>
      <c r="M92">
        <v>0.17419999999999999</v>
      </c>
      <c r="N92">
        <v>103.0723</v>
      </c>
      <c r="O92" t="s">
        <v>142</v>
      </c>
      <c r="P92" t="s">
        <v>17</v>
      </c>
    </row>
    <row r="93" spans="1:16">
      <c r="A93">
        <v>16</v>
      </c>
      <c r="B93">
        <v>0</v>
      </c>
      <c r="C93">
        <v>0</v>
      </c>
      <c r="D93">
        <v>54.26</v>
      </c>
      <c r="E93">
        <v>0</v>
      </c>
      <c r="F93">
        <v>0</v>
      </c>
      <c r="G93">
        <v>0</v>
      </c>
      <c r="H93">
        <v>48.44</v>
      </c>
      <c r="I93">
        <v>6.7000000000000004E-2</v>
      </c>
      <c r="J93">
        <v>3.5799999999999998E-2</v>
      </c>
      <c r="K93">
        <v>0</v>
      </c>
      <c r="L93">
        <v>0.13930000000000001</v>
      </c>
      <c r="M93">
        <v>0.1709</v>
      </c>
      <c r="N93">
        <v>103.1129</v>
      </c>
      <c r="O93" t="s">
        <v>142</v>
      </c>
      <c r="P93" t="s">
        <v>17</v>
      </c>
    </row>
    <row r="94" spans="1:16">
      <c r="A94">
        <v>24</v>
      </c>
      <c r="B94">
        <v>1.7000000000000001E-2</v>
      </c>
      <c r="C94">
        <v>0</v>
      </c>
      <c r="D94">
        <v>54.31</v>
      </c>
      <c r="E94">
        <v>6.1999999999999998E-3</v>
      </c>
      <c r="F94">
        <v>0</v>
      </c>
      <c r="G94">
        <v>0</v>
      </c>
      <c r="H94">
        <v>48.44</v>
      </c>
      <c r="I94">
        <v>3.5000000000000001E-3</v>
      </c>
      <c r="J94">
        <v>2.3999999999999998E-3</v>
      </c>
      <c r="K94">
        <v>0</v>
      </c>
      <c r="L94">
        <v>7.3000000000000001E-3</v>
      </c>
      <c r="M94">
        <v>0.1552</v>
      </c>
      <c r="N94">
        <v>102.9415</v>
      </c>
      <c r="O94" t="s">
        <v>142</v>
      </c>
      <c r="P94" t="s">
        <v>17</v>
      </c>
    </row>
    <row r="95" spans="1:16">
      <c r="A95">
        <v>12</v>
      </c>
      <c r="B95">
        <v>8.5000000000000006E-3</v>
      </c>
      <c r="C95">
        <v>0</v>
      </c>
      <c r="D95">
        <v>54.03</v>
      </c>
      <c r="E95">
        <v>1.0500000000000001E-2</v>
      </c>
      <c r="F95">
        <v>0</v>
      </c>
      <c r="G95">
        <v>0</v>
      </c>
      <c r="H95">
        <v>48.21</v>
      </c>
      <c r="I95">
        <v>1.83E-2</v>
      </c>
      <c r="J95">
        <v>0</v>
      </c>
      <c r="K95">
        <v>0</v>
      </c>
      <c r="L95">
        <v>3.8199999999999998E-2</v>
      </c>
      <c r="M95">
        <v>0.16669999999999999</v>
      </c>
      <c r="N95">
        <v>102.48220000000001</v>
      </c>
      <c r="O95" t="s">
        <v>142</v>
      </c>
      <c r="P95" t="s">
        <v>17</v>
      </c>
    </row>
    <row r="96" spans="1:16">
      <c r="A96">
        <v>11</v>
      </c>
      <c r="B96">
        <v>1.9400000000000001E-2</v>
      </c>
      <c r="C96">
        <v>0</v>
      </c>
      <c r="D96">
        <v>54.22</v>
      </c>
      <c r="E96">
        <v>7.3000000000000001E-3</v>
      </c>
      <c r="F96">
        <v>0</v>
      </c>
      <c r="G96">
        <v>0</v>
      </c>
      <c r="H96">
        <v>48.13</v>
      </c>
      <c r="I96">
        <v>0</v>
      </c>
      <c r="J96">
        <v>0</v>
      </c>
      <c r="K96">
        <v>0</v>
      </c>
      <c r="L96">
        <v>9.1999999999999998E-3</v>
      </c>
      <c r="M96">
        <v>0.1661</v>
      </c>
      <c r="N96">
        <v>102.55200000000001</v>
      </c>
      <c r="O96" t="s">
        <v>142</v>
      </c>
      <c r="P96" t="s">
        <v>17</v>
      </c>
    </row>
    <row r="97" spans="1:16">
      <c r="A97">
        <v>14</v>
      </c>
      <c r="B97">
        <v>8.8999999999999999E-3</v>
      </c>
      <c r="C97">
        <v>0</v>
      </c>
      <c r="D97">
        <v>54.36</v>
      </c>
      <c r="E97">
        <v>0</v>
      </c>
      <c r="F97">
        <v>0</v>
      </c>
      <c r="G97">
        <v>0</v>
      </c>
      <c r="H97">
        <v>48.11</v>
      </c>
      <c r="I97">
        <v>0</v>
      </c>
      <c r="J97">
        <v>0</v>
      </c>
      <c r="K97">
        <v>0</v>
      </c>
      <c r="L97">
        <v>0</v>
      </c>
      <c r="M97">
        <v>0.191</v>
      </c>
      <c r="N97">
        <v>102.6698</v>
      </c>
      <c r="O97" t="s">
        <v>142</v>
      </c>
      <c r="P97" t="s">
        <v>17</v>
      </c>
    </row>
    <row r="98" spans="1:16">
      <c r="A98">
        <v>83</v>
      </c>
      <c r="B98">
        <v>0.10929999999999999</v>
      </c>
      <c r="C98">
        <v>0</v>
      </c>
      <c r="D98">
        <v>54.41</v>
      </c>
      <c r="E98">
        <v>2.5999999999999999E-3</v>
      </c>
      <c r="F98">
        <v>0</v>
      </c>
      <c r="G98">
        <v>0</v>
      </c>
      <c r="H98">
        <v>46.81</v>
      </c>
      <c r="I98">
        <v>0</v>
      </c>
      <c r="J98">
        <v>3.5999999999999999E-3</v>
      </c>
      <c r="K98">
        <v>0</v>
      </c>
      <c r="L98">
        <v>4.4000000000000003E-3</v>
      </c>
      <c r="M98">
        <v>0.18609999999999999</v>
      </c>
      <c r="N98">
        <v>101.52589999999999</v>
      </c>
      <c r="O98" t="s">
        <v>143</v>
      </c>
      <c r="P98" t="s">
        <v>21</v>
      </c>
    </row>
    <row r="99" spans="1:16">
      <c r="A99">
        <v>93</v>
      </c>
      <c r="B99">
        <v>5.0599999999999999E-2</v>
      </c>
      <c r="C99">
        <v>0</v>
      </c>
      <c r="D99">
        <v>53.98</v>
      </c>
      <c r="E99">
        <v>1E-3</v>
      </c>
      <c r="F99">
        <v>0</v>
      </c>
      <c r="G99">
        <v>0</v>
      </c>
      <c r="H99">
        <v>46.37</v>
      </c>
      <c r="I99">
        <v>0</v>
      </c>
      <c r="J99">
        <v>1.2E-2</v>
      </c>
      <c r="K99">
        <v>0</v>
      </c>
      <c r="L99">
        <v>2.0999999999999999E-3</v>
      </c>
      <c r="M99">
        <v>0.1701</v>
      </c>
      <c r="N99">
        <v>100.5857</v>
      </c>
      <c r="O99" t="s">
        <v>143</v>
      </c>
      <c r="P99" t="s">
        <v>21</v>
      </c>
    </row>
    <row r="100" spans="1:16">
      <c r="A100">
        <v>77</v>
      </c>
      <c r="B100">
        <v>2.47E-2</v>
      </c>
      <c r="C100">
        <v>0</v>
      </c>
      <c r="D100">
        <v>54.57</v>
      </c>
      <c r="E100">
        <v>0</v>
      </c>
      <c r="F100">
        <v>0</v>
      </c>
      <c r="G100">
        <v>0</v>
      </c>
      <c r="H100">
        <v>47.68</v>
      </c>
      <c r="I100">
        <v>0</v>
      </c>
      <c r="J100">
        <v>0</v>
      </c>
      <c r="K100">
        <v>0</v>
      </c>
      <c r="L100">
        <v>0</v>
      </c>
      <c r="M100">
        <v>0.19139999999999999</v>
      </c>
      <c r="N100">
        <v>102.46599999999999</v>
      </c>
      <c r="O100" t="s">
        <v>143</v>
      </c>
      <c r="P100" t="s">
        <v>21</v>
      </c>
    </row>
    <row r="101" spans="1:16">
      <c r="A101">
        <v>79</v>
      </c>
      <c r="B101">
        <v>1.47E-2</v>
      </c>
      <c r="C101">
        <v>0</v>
      </c>
      <c r="D101">
        <v>54.44</v>
      </c>
      <c r="E101">
        <v>2.8999999999999998E-3</v>
      </c>
      <c r="F101">
        <v>0</v>
      </c>
      <c r="G101">
        <v>0</v>
      </c>
      <c r="H101">
        <v>47.71</v>
      </c>
      <c r="I101">
        <v>0</v>
      </c>
      <c r="J101">
        <v>0</v>
      </c>
      <c r="K101">
        <v>0</v>
      </c>
      <c r="L101">
        <v>0</v>
      </c>
      <c r="M101">
        <v>0.19089999999999999</v>
      </c>
      <c r="N101">
        <v>102.35850000000001</v>
      </c>
      <c r="O101" t="s">
        <v>143</v>
      </c>
      <c r="P101" t="s">
        <v>21</v>
      </c>
    </row>
    <row r="102" spans="1:16">
      <c r="A102">
        <v>82</v>
      </c>
      <c r="B102">
        <v>1.44E-2</v>
      </c>
      <c r="C102">
        <v>0</v>
      </c>
      <c r="D102">
        <v>54.48</v>
      </c>
      <c r="E102">
        <v>2.0999999999999999E-3</v>
      </c>
      <c r="F102">
        <v>5.0000000000000001E-4</v>
      </c>
      <c r="G102">
        <v>0</v>
      </c>
      <c r="H102">
        <v>47.46</v>
      </c>
      <c r="I102">
        <v>8.0000000000000004E-4</v>
      </c>
      <c r="J102">
        <v>0</v>
      </c>
      <c r="K102">
        <v>0</v>
      </c>
      <c r="L102">
        <v>8.2000000000000007E-3</v>
      </c>
      <c r="M102">
        <v>0.18909999999999999</v>
      </c>
      <c r="N102">
        <v>102.1551</v>
      </c>
      <c r="O102" t="s">
        <v>143</v>
      </c>
      <c r="P102" t="s">
        <v>21</v>
      </c>
    </row>
    <row r="103" spans="1:16">
      <c r="A103">
        <v>92</v>
      </c>
      <c r="B103">
        <v>9.4999999999999998E-3</v>
      </c>
      <c r="C103">
        <v>0</v>
      </c>
      <c r="D103">
        <v>54.14</v>
      </c>
      <c r="E103">
        <v>6.7999999999999996E-3</v>
      </c>
      <c r="F103">
        <v>0</v>
      </c>
      <c r="G103">
        <v>0</v>
      </c>
      <c r="H103">
        <v>46.73</v>
      </c>
      <c r="I103">
        <v>0</v>
      </c>
      <c r="J103">
        <v>4.1999999999999997E-3</v>
      </c>
      <c r="K103">
        <v>0</v>
      </c>
      <c r="L103">
        <v>1.21E-2</v>
      </c>
      <c r="M103">
        <v>0.17299999999999999</v>
      </c>
      <c r="N103">
        <v>101.07550000000001</v>
      </c>
      <c r="O103" t="s">
        <v>143</v>
      </c>
      <c r="P103" t="s">
        <v>21</v>
      </c>
    </row>
    <row r="104" spans="1:16">
      <c r="A104">
        <v>78</v>
      </c>
      <c r="B104">
        <v>4.7999999999999996E-3</v>
      </c>
      <c r="C104">
        <v>0</v>
      </c>
      <c r="D104">
        <v>54.66</v>
      </c>
      <c r="E104">
        <v>4.4000000000000003E-3</v>
      </c>
      <c r="F104">
        <v>0</v>
      </c>
      <c r="G104">
        <v>0</v>
      </c>
      <c r="H104">
        <v>47.42</v>
      </c>
      <c r="I104">
        <v>0</v>
      </c>
      <c r="J104">
        <v>4.7000000000000002E-3</v>
      </c>
      <c r="K104">
        <v>0</v>
      </c>
      <c r="L104">
        <v>0</v>
      </c>
      <c r="M104">
        <v>0.19589999999999999</v>
      </c>
      <c r="N104">
        <v>102.2897</v>
      </c>
      <c r="O104" t="s">
        <v>143</v>
      </c>
      <c r="P104" t="s">
        <v>21</v>
      </c>
    </row>
    <row r="105" spans="1:16">
      <c r="A105">
        <v>57</v>
      </c>
      <c r="B105">
        <v>0.61470000000000002</v>
      </c>
      <c r="C105">
        <v>0</v>
      </c>
      <c r="D105">
        <v>53.57</v>
      </c>
      <c r="E105">
        <v>2.5999999999999999E-3</v>
      </c>
      <c r="F105">
        <v>0</v>
      </c>
      <c r="G105">
        <v>0</v>
      </c>
      <c r="H105">
        <v>47</v>
      </c>
      <c r="I105">
        <v>5.0000000000000001E-4</v>
      </c>
      <c r="J105">
        <v>0</v>
      </c>
      <c r="K105">
        <v>0</v>
      </c>
      <c r="L105">
        <v>0</v>
      </c>
      <c r="M105">
        <v>0.16200000000000001</v>
      </c>
      <c r="N105">
        <v>101.3498</v>
      </c>
      <c r="O105" t="s">
        <v>144</v>
      </c>
      <c r="P105" t="s">
        <v>21</v>
      </c>
    </row>
    <row r="106" spans="1:16">
      <c r="A106">
        <v>51</v>
      </c>
      <c r="B106">
        <v>0.61419999999999997</v>
      </c>
      <c r="C106">
        <v>0</v>
      </c>
      <c r="D106">
        <v>53.71</v>
      </c>
      <c r="E106">
        <v>0</v>
      </c>
      <c r="F106">
        <v>1.78E-2</v>
      </c>
      <c r="G106">
        <v>0</v>
      </c>
      <c r="H106">
        <v>47.56</v>
      </c>
      <c r="I106">
        <v>0</v>
      </c>
      <c r="J106">
        <v>0</v>
      </c>
      <c r="K106">
        <v>0</v>
      </c>
      <c r="L106">
        <v>0</v>
      </c>
      <c r="M106">
        <v>0.12889999999999999</v>
      </c>
      <c r="N106">
        <v>102.0308</v>
      </c>
      <c r="O106" t="s">
        <v>144</v>
      </c>
      <c r="P106" t="s">
        <v>21</v>
      </c>
    </row>
    <row r="107" spans="1:16">
      <c r="A107">
        <v>60</v>
      </c>
      <c r="B107">
        <v>0.5544</v>
      </c>
      <c r="C107">
        <v>0</v>
      </c>
      <c r="D107">
        <v>53.57</v>
      </c>
      <c r="E107">
        <v>4.3E-3</v>
      </c>
      <c r="F107">
        <v>0</v>
      </c>
      <c r="G107">
        <v>0</v>
      </c>
      <c r="H107">
        <v>47.32</v>
      </c>
      <c r="I107">
        <v>5.0000000000000001E-4</v>
      </c>
      <c r="J107">
        <v>0</v>
      </c>
      <c r="K107">
        <v>0</v>
      </c>
      <c r="L107">
        <v>2.1700000000000001E-2</v>
      </c>
      <c r="M107">
        <v>0.15079999999999999</v>
      </c>
      <c r="N107">
        <v>101.6217</v>
      </c>
      <c r="O107" t="s">
        <v>144</v>
      </c>
      <c r="P107" t="s">
        <v>21</v>
      </c>
    </row>
    <row r="108" spans="1:16">
      <c r="A108">
        <v>56</v>
      </c>
      <c r="B108">
        <v>0.48480000000000001</v>
      </c>
      <c r="C108">
        <v>0</v>
      </c>
      <c r="D108">
        <v>53.6</v>
      </c>
      <c r="E108">
        <v>6.3E-3</v>
      </c>
      <c r="F108">
        <v>1.3100000000000001E-2</v>
      </c>
      <c r="G108">
        <v>0</v>
      </c>
      <c r="H108">
        <v>47.45</v>
      </c>
      <c r="I108">
        <v>1.4E-3</v>
      </c>
      <c r="J108">
        <v>0</v>
      </c>
      <c r="K108">
        <v>0</v>
      </c>
      <c r="L108">
        <v>2.2599999999999999E-2</v>
      </c>
      <c r="M108">
        <v>0.14349999999999999</v>
      </c>
      <c r="N108">
        <v>101.7216</v>
      </c>
      <c r="O108" t="s">
        <v>144</v>
      </c>
      <c r="P108" t="s">
        <v>21</v>
      </c>
    </row>
    <row r="109" spans="1:16">
      <c r="A109">
        <v>55</v>
      </c>
      <c r="B109">
        <v>0.48010000000000003</v>
      </c>
      <c r="C109">
        <v>0</v>
      </c>
      <c r="D109">
        <v>53.59</v>
      </c>
      <c r="E109">
        <v>3.5999999999999999E-3</v>
      </c>
      <c r="F109">
        <v>0</v>
      </c>
      <c r="G109">
        <v>0</v>
      </c>
      <c r="H109">
        <v>47.26</v>
      </c>
      <c r="I109">
        <v>0</v>
      </c>
      <c r="J109">
        <v>0</v>
      </c>
      <c r="K109">
        <v>0</v>
      </c>
      <c r="L109">
        <v>0</v>
      </c>
      <c r="M109">
        <v>0.14380000000000001</v>
      </c>
      <c r="N109">
        <v>101.4774</v>
      </c>
      <c r="O109" t="s">
        <v>144</v>
      </c>
      <c r="P109" t="s">
        <v>21</v>
      </c>
    </row>
    <row r="110" spans="1:16">
      <c r="A110">
        <v>59</v>
      </c>
      <c r="B110">
        <v>0.442</v>
      </c>
      <c r="C110">
        <v>0</v>
      </c>
      <c r="D110">
        <v>53.58</v>
      </c>
      <c r="E110">
        <v>0</v>
      </c>
      <c r="F110">
        <v>0</v>
      </c>
      <c r="G110">
        <v>0</v>
      </c>
      <c r="H110">
        <v>46.97</v>
      </c>
      <c r="I110">
        <v>0</v>
      </c>
      <c r="J110">
        <v>0</v>
      </c>
      <c r="K110">
        <v>0</v>
      </c>
      <c r="L110">
        <v>0</v>
      </c>
      <c r="M110">
        <v>0.1452</v>
      </c>
      <c r="N110">
        <v>101.13720000000001</v>
      </c>
      <c r="O110" t="s">
        <v>144</v>
      </c>
      <c r="P110" t="s">
        <v>21</v>
      </c>
    </row>
    <row r="111" spans="1:16">
      <c r="A111">
        <v>58</v>
      </c>
      <c r="B111">
        <v>0.42230000000000001</v>
      </c>
      <c r="C111">
        <v>0</v>
      </c>
      <c r="D111">
        <v>53.73</v>
      </c>
      <c r="E111">
        <v>4.4000000000000003E-3</v>
      </c>
      <c r="F111">
        <v>0</v>
      </c>
      <c r="G111">
        <v>0</v>
      </c>
      <c r="H111">
        <v>47.48</v>
      </c>
      <c r="I111">
        <v>0</v>
      </c>
      <c r="J111">
        <v>0</v>
      </c>
      <c r="K111">
        <v>0</v>
      </c>
      <c r="L111">
        <v>0</v>
      </c>
      <c r="M111">
        <v>0.13370000000000001</v>
      </c>
      <c r="N111">
        <v>101.77030000000001</v>
      </c>
      <c r="O111" t="s">
        <v>144</v>
      </c>
      <c r="P111" t="s">
        <v>21</v>
      </c>
    </row>
    <row r="112" spans="1:16">
      <c r="A112">
        <v>54</v>
      </c>
      <c r="B112">
        <v>3.3999999999999998E-3</v>
      </c>
      <c r="C112">
        <v>0</v>
      </c>
      <c r="D112">
        <v>53.96</v>
      </c>
      <c r="E112">
        <v>0</v>
      </c>
      <c r="F112">
        <v>0</v>
      </c>
      <c r="G112">
        <v>0</v>
      </c>
      <c r="H112">
        <v>47.48</v>
      </c>
      <c r="I112">
        <v>0</v>
      </c>
      <c r="J112">
        <v>5.0000000000000001E-4</v>
      </c>
      <c r="K112">
        <v>0</v>
      </c>
      <c r="L112">
        <v>3.2000000000000002E-3</v>
      </c>
      <c r="M112">
        <v>0.1515</v>
      </c>
      <c r="N112">
        <v>101.5985</v>
      </c>
      <c r="O112" t="s">
        <v>144</v>
      </c>
      <c r="P112" t="s">
        <v>21</v>
      </c>
    </row>
    <row r="113" spans="1:16">
      <c r="A113">
        <v>53</v>
      </c>
      <c r="B113">
        <v>2E-3</v>
      </c>
      <c r="C113">
        <v>0</v>
      </c>
      <c r="D113">
        <v>54.09</v>
      </c>
      <c r="E113">
        <v>0</v>
      </c>
      <c r="F113">
        <v>0</v>
      </c>
      <c r="G113">
        <v>0</v>
      </c>
      <c r="H113">
        <v>47.5</v>
      </c>
      <c r="I113">
        <v>0</v>
      </c>
      <c r="J113">
        <v>0</v>
      </c>
      <c r="K113">
        <v>0</v>
      </c>
      <c r="L113">
        <v>0</v>
      </c>
      <c r="M113">
        <v>0.13719999999999999</v>
      </c>
      <c r="N113">
        <v>101.7291</v>
      </c>
      <c r="O113" t="s">
        <v>144</v>
      </c>
      <c r="P113" t="s">
        <v>21</v>
      </c>
    </row>
    <row r="114" spans="1:16">
      <c r="A114">
        <v>52</v>
      </c>
      <c r="B114">
        <v>0</v>
      </c>
      <c r="C114">
        <v>0</v>
      </c>
      <c r="D114">
        <v>53.88</v>
      </c>
      <c r="E114">
        <v>2.8E-3</v>
      </c>
      <c r="F114">
        <v>0</v>
      </c>
      <c r="G114">
        <v>2.9999999999999997E-4</v>
      </c>
      <c r="H114">
        <v>47.44</v>
      </c>
      <c r="I114">
        <v>0</v>
      </c>
      <c r="J114">
        <v>6.8999999999999999E-3</v>
      </c>
      <c r="K114">
        <v>0</v>
      </c>
      <c r="L114">
        <v>1.23E-2</v>
      </c>
      <c r="M114">
        <v>0.16600000000000001</v>
      </c>
      <c r="N114">
        <v>101.5082</v>
      </c>
      <c r="O114" t="s">
        <v>144</v>
      </c>
      <c r="P114" t="s">
        <v>21</v>
      </c>
    </row>
    <row r="115" spans="1:16">
      <c r="A115">
        <v>78</v>
      </c>
      <c r="B115">
        <v>0</v>
      </c>
      <c r="C115">
        <v>0</v>
      </c>
      <c r="D115">
        <v>54.89</v>
      </c>
      <c r="E115">
        <v>3.9399999999999998E-2</v>
      </c>
      <c r="F115">
        <v>3.5999999999999999E-3</v>
      </c>
      <c r="G115">
        <v>0</v>
      </c>
      <c r="H115">
        <v>48.9</v>
      </c>
      <c r="I115">
        <v>0</v>
      </c>
      <c r="J115">
        <v>8.1299999999999997E-2</v>
      </c>
      <c r="K115">
        <v>0</v>
      </c>
      <c r="L115">
        <v>6.7999999999999996E-3</v>
      </c>
      <c r="M115">
        <v>0.20169999999999999</v>
      </c>
      <c r="N115">
        <v>104.12269999999999</v>
      </c>
      <c r="O115" t="s">
        <v>145</v>
      </c>
      <c r="P115" t="s">
        <v>24</v>
      </c>
    </row>
    <row r="116" spans="1:16">
      <c r="A116">
        <v>79</v>
      </c>
      <c r="B116">
        <v>5.0000000000000001E-4</v>
      </c>
      <c r="C116">
        <v>0</v>
      </c>
      <c r="D116">
        <v>54.92</v>
      </c>
      <c r="E116">
        <v>1.61E-2</v>
      </c>
      <c r="F116">
        <v>0</v>
      </c>
      <c r="G116">
        <v>0</v>
      </c>
      <c r="H116">
        <v>48.56</v>
      </c>
      <c r="I116">
        <v>0</v>
      </c>
      <c r="J116">
        <v>0.1</v>
      </c>
      <c r="K116">
        <v>0</v>
      </c>
      <c r="L116">
        <v>2.3199999999999998E-2</v>
      </c>
      <c r="M116">
        <v>0.193</v>
      </c>
      <c r="N116">
        <v>103.81270000000001</v>
      </c>
      <c r="O116" t="s">
        <v>145</v>
      </c>
      <c r="P116" t="s">
        <v>24</v>
      </c>
    </row>
    <row r="117" spans="1:16">
      <c r="A117">
        <v>117</v>
      </c>
      <c r="B117">
        <v>1.17E-2</v>
      </c>
      <c r="C117">
        <v>0</v>
      </c>
      <c r="D117">
        <v>54.94</v>
      </c>
      <c r="E117">
        <v>3.2000000000000002E-3</v>
      </c>
      <c r="F117">
        <v>0</v>
      </c>
      <c r="G117">
        <v>0</v>
      </c>
      <c r="H117">
        <v>48.53</v>
      </c>
      <c r="I117">
        <v>0</v>
      </c>
      <c r="J117">
        <v>0.1016</v>
      </c>
      <c r="K117">
        <v>0</v>
      </c>
      <c r="L117">
        <v>6.6500000000000004E-2</v>
      </c>
      <c r="M117">
        <v>0.18940000000000001</v>
      </c>
      <c r="N117">
        <v>103.84229999999999</v>
      </c>
      <c r="O117" t="s">
        <v>145</v>
      </c>
      <c r="P117" t="s">
        <v>24</v>
      </c>
    </row>
    <row r="118" spans="1:16">
      <c r="A118">
        <v>118</v>
      </c>
      <c r="B118">
        <v>1.43E-2</v>
      </c>
      <c r="C118">
        <v>0</v>
      </c>
      <c r="D118">
        <v>54.85</v>
      </c>
      <c r="E118">
        <v>1.41E-2</v>
      </c>
      <c r="F118">
        <v>0</v>
      </c>
      <c r="G118">
        <v>0</v>
      </c>
      <c r="H118">
        <v>48.34</v>
      </c>
      <c r="I118">
        <v>0</v>
      </c>
      <c r="J118">
        <v>4.0399999999999998E-2</v>
      </c>
      <c r="K118">
        <v>0</v>
      </c>
      <c r="L118">
        <v>2.9100000000000001E-2</v>
      </c>
      <c r="M118">
        <v>0.18529999999999999</v>
      </c>
      <c r="N118">
        <v>103.4731</v>
      </c>
      <c r="O118" t="s">
        <v>145</v>
      </c>
      <c r="P118" t="s">
        <v>24</v>
      </c>
    </row>
    <row r="119" spans="1:16">
      <c r="A119">
        <v>120</v>
      </c>
      <c r="B119">
        <v>0</v>
      </c>
      <c r="C119">
        <v>0</v>
      </c>
      <c r="D119">
        <v>54.74</v>
      </c>
      <c r="E119">
        <v>1.67E-2</v>
      </c>
      <c r="F119">
        <v>6.0000000000000001E-3</v>
      </c>
      <c r="G119">
        <v>0</v>
      </c>
      <c r="H119">
        <v>48.09</v>
      </c>
      <c r="I119">
        <v>0</v>
      </c>
      <c r="J119">
        <v>0.13109999999999999</v>
      </c>
      <c r="K119">
        <v>0</v>
      </c>
      <c r="L119">
        <v>0.10150000000000001</v>
      </c>
      <c r="M119">
        <v>0.192</v>
      </c>
      <c r="N119">
        <v>103.2773</v>
      </c>
      <c r="O119" t="s">
        <v>145</v>
      </c>
      <c r="P119" t="s">
        <v>24</v>
      </c>
    </row>
    <row r="120" spans="1:16">
      <c r="A120">
        <v>116</v>
      </c>
      <c r="B120">
        <v>1.21E-2</v>
      </c>
      <c r="C120">
        <v>0</v>
      </c>
      <c r="D120">
        <v>54.26</v>
      </c>
      <c r="E120">
        <v>7.6E-3</v>
      </c>
      <c r="F120">
        <v>1.6000000000000001E-3</v>
      </c>
      <c r="G120">
        <v>0</v>
      </c>
      <c r="H120">
        <v>47.93</v>
      </c>
      <c r="I120">
        <v>5.8999999999999999E-3</v>
      </c>
      <c r="J120">
        <v>0.74450000000000005</v>
      </c>
      <c r="K120">
        <v>0</v>
      </c>
      <c r="L120">
        <v>0.10299999999999999</v>
      </c>
      <c r="M120">
        <v>0.19020000000000001</v>
      </c>
      <c r="N120">
        <v>103.2548</v>
      </c>
      <c r="O120" t="s">
        <v>145</v>
      </c>
      <c r="P120" t="s">
        <v>24</v>
      </c>
    </row>
    <row r="121" spans="1:16">
      <c r="A121">
        <v>119</v>
      </c>
      <c r="B121">
        <v>0</v>
      </c>
      <c r="C121">
        <v>0</v>
      </c>
      <c r="D121">
        <v>54.26</v>
      </c>
      <c r="E121">
        <v>6.6E-3</v>
      </c>
      <c r="F121">
        <v>0</v>
      </c>
      <c r="G121">
        <v>0</v>
      </c>
      <c r="H121">
        <v>47.9</v>
      </c>
      <c r="I121">
        <v>8.0000000000000004E-4</v>
      </c>
      <c r="J121">
        <v>0.74939999999999996</v>
      </c>
      <c r="K121">
        <v>0</v>
      </c>
      <c r="L121">
        <v>0.1603</v>
      </c>
      <c r="M121">
        <v>0.1726</v>
      </c>
      <c r="N121">
        <v>103.2496</v>
      </c>
      <c r="O121" t="s">
        <v>145</v>
      </c>
      <c r="P121" t="s">
        <v>24</v>
      </c>
    </row>
    <row r="122" spans="1:16">
      <c r="A122">
        <v>70</v>
      </c>
      <c r="B122">
        <v>5.9999999999999995E-4</v>
      </c>
      <c r="C122">
        <v>0</v>
      </c>
      <c r="D122">
        <v>54.38</v>
      </c>
      <c r="E122">
        <v>1.9599999999999999E-2</v>
      </c>
      <c r="F122">
        <v>0</v>
      </c>
      <c r="G122">
        <v>0</v>
      </c>
      <c r="H122">
        <v>48.42</v>
      </c>
      <c r="I122">
        <v>0</v>
      </c>
      <c r="J122">
        <v>0</v>
      </c>
      <c r="K122">
        <v>0</v>
      </c>
      <c r="L122">
        <v>0</v>
      </c>
      <c r="M122">
        <v>0.15989999999999999</v>
      </c>
      <c r="N122">
        <v>102.98</v>
      </c>
      <c r="O122" t="s">
        <v>146</v>
      </c>
      <c r="P122" t="s">
        <v>24</v>
      </c>
    </row>
    <row r="123" spans="1:16">
      <c r="A123">
        <v>69</v>
      </c>
      <c r="B123">
        <v>5.4000000000000003E-3</v>
      </c>
      <c r="C123">
        <v>0</v>
      </c>
      <c r="D123">
        <v>54.47</v>
      </c>
      <c r="E123">
        <v>2.4799999999999999E-2</v>
      </c>
      <c r="F123">
        <v>1E-4</v>
      </c>
      <c r="G123">
        <v>0</v>
      </c>
      <c r="H123">
        <v>48.13</v>
      </c>
      <c r="I123">
        <v>0</v>
      </c>
      <c r="J123">
        <v>0</v>
      </c>
      <c r="K123">
        <v>0</v>
      </c>
      <c r="L123">
        <v>0</v>
      </c>
      <c r="M123">
        <v>0.17630000000000001</v>
      </c>
      <c r="N123">
        <v>102.8065</v>
      </c>
      <c r="O123" t="s">
        <v>146</v>
      </c>
      <c r="P123" t="s">
        <v>24</v>
      </c>
    </row>
    <row r="124" spans="1:16">
      <c r="A124">
        <v>7</v>
      </c>
      <c r="B124">
        <v>0.13289999999999999</v>
      </c>
      <c r="C124">
        <v>0</v>
      </c>
      <c r="D124">
        <v>53.86</v>
      </c>
      <c r="E124">
        <v>1.0200000000000001E-2</v>
      </c>
      <c r="F124">
        <v>0</v>
      </c>
      <c r="G124">
        <v>0</v>
      </c>
      <c r="H124">
        <v>47.92</v>
      </c>
      <c r="I124">
        <v>2E-3</v>
      </c>
      <c r="J124">
        <v>0</v>
      </c>
      <c r="K124">
        <v>0</v>
      </c>
      <c r="L124">
        <v>0</v>
      </c>
      <c r="M124">
        <v>0.16869999999999999</v>
      </c>
      <c r="N124">
        <v>102.0937</v>
      </c>
      <c r="O124" t="s">
        <v>147</v>
      </c>
      <c r="P124" t="s">
        <v>104</v>
      </c>
    </row>
    <row r="125" spans="1:16">
      <c r="A125">
        <v>15</v>
      </c>
      <c r="B125">
        <v>1.2500000000000001E-2</v>
      </c>
      <c r="C125">
        <v>0</v>
      </c>
      <c r="D125">
        <v>54.14</v>
      </c>
      <c r="E125">
        <v>3.2099999999999997E-2</v>
      </c>
      <c r="F125">
        <v>0</v>
      </c>
      <c r="G125">
        <v>0</v>
      </c>
      <c r="H125">
        <v>46.74</v>
      </c>
      <c r="I125">
        <v>2E-3</v>
      </c>
      <c r="J125">
        <v>0.17349999999999999</v>
      </c>
      <c r="K125">
        <v>0</v>
      </c>
      <c r="L125">
        <v>7.7999999999999996E-3</v>
      </c>
      <c r="M125">
        <v>0.24149999999999999</v>
      </c>
      <c r="N125">
        <v>101.3493</v>
      </c>
      <c r="O125" t="s">
        <v>147</v>
      </c>
      <c r="P125" t="s">
        <v>104</v>
      </c>
    </row>
    <row r="126" spans="1:16">
      <c r="A126">
        <v>113</v>
      </c>
      <c r="B126">
        <v>4.24</v>
      </c>
      <c r="C126">
        <v>0</v>
      </c>
      <c r="D126">
        <v>51.78</v>
      </c>
      <c r="E126">
        <v>3.8E-3</v>
      </c>
      <c r="F126">
        <v>7.1599999999999997E-2</v>
      </c>
      <c r="G126">
        <v>0</v>
      </c>
      <c r="H126">
        <v>46.83</v>
      </c>
      <c r="I126">
        <v>0</v>
      </c>
      <c r="J126">
        <v>1.0699999999999999E-2</v>
      </c>
      <c r="K126">
        <v>0</v>
      </c>
      <c r="L126">
        <v>0</v>
      </c>
      <c r="M126">
        <v>0.1278</v>
      </c>
      <c r="N126">
        <v>103.0638</v>
      </c>
      <c r="O126" t="s">
        <v>148</v>
      </c>
      <c r="P126" t="s">
        <v>24</v>
      </c>
    </row>
    <row r="127" spans="1:16">
      <c r="A127">
        <v>110</v>
      </c>
      <c r="B127">
        <v>3.63</v>
      </c>
      <c r="C127">
        <v>0</v>
      </c>
      <c r="D127">
        <v>52.07</v>
      </c>
      <c r="E127">
        <v>1.01E-2</v>
      </c>
      <c r="F127">
        <v>6.2799999999999995E-2</v>
      </c>
      <c r="G127">
        <v>0</v>
      </c>
      <c r="H127">
        <v>46.82</v>
      </c>
      <c r="I127">
        <v>0</v>
      </c>
      <c r="J127">
        <v>0</v>
      </c>
      <c r="K127">
        <v>0</v>
      </c>
      <c r="L127">
        <v>0</v>
      </c>
      <c r="M127">
        <v>0.1134</v>
      </c>
      <c r="N127">
        <v>102.7063</v>
      </c>
      <c r="O127" t="s">
        <v>148</v>
      </c>
      <c r="P127" t="s">
        <v>24</v>
      </c>
    </row>
    <row r="128" spans="1:16">
      <c r="A128">
        <v>109</v>
      </c>
      <c r="B128">
        <v>3.23</v>
      </c>
      <c r="C128">
        <v>0</v>
      </c>
      <c r="D128">
        <v>52.24</v>
      </c>
      <c r="E128">
        <v>1.2500000000000001E-2</v>
      </c>
      <c r="F128">
        <v>2.18E-2</v>
      </c>
      <c r="G128">
        <v>0</v>
      </c>
      <c r="H128">
        <v>46.8</v>
      </c>
      <c r="I128">
        <v>0</v>
      </c>
      <c r="J128">
        <v>0</v>
      </c>
      <c r="K128">
        <v>0</v>
      </c>
      <c r="L128">
        <v>0</v>
      </c>
      <c r="M128">
        <v>0.1285</v>
      </c>
      <c r="N128">
        <v>102.4328</v>
      </c>
      <c r="O128" t="s">
        <v>148</v>
      </c>
      <c r="P128" t="s">
        <v>24</v>
      </c>
    </row>
    <row r="129" spans="1:16">
      <c r="A129">
        <v>108</v>
      </c>
      <c r="B129">
        <v>3.71</v>
      </c>
      <c r="C129">
        <v>0</v>
      </c>
      <c r="D129">
        <v>51.99</v>
      </c>
      <c r="E129">
        <v>2.5999999999999999E-3</v>
      </c>
      <c r="F129">
        <v>4.8000000000000001E-2</v>
      </c>
      <c r="G129">
        <v>6.9999999999999999E-4</v>
      </c>
      <c r="H129">
        <v>46.74</v>
      </c>
      <c r="I129">
        <v>0</v>
      </c>
      <c r="J129">
        <v>1.5E-3</v>
      </c>
      <c r="K129">
        <v>0</v>
      </c>
      <c r="L129">
        <v>0</v>
      </c>
      <c r="M129">
        <v>0.1389</v>
      </c>
      <c r="N129">
        <v>102.6317</v>
      </c>
      <c r="O129" t="s">
        <v>148</v>
      </c>
      <c r="P129" t="s">
        <v>24</v>
      </c>
    </row>
    <row r="130" spans="1:16">
      <c r="A130">
        <v>111</v>
      </c>
      <c r="B130">
        <v>3.96</v>
      </c>
      <c r="C130">
        <v>0</v>
      </c>
      <c r="D130">
        <v>51.89</v>
      </c>
      <c r="E130">
        <v>4.1000000000000003E-3</v>
      </c>
      <c r="F130">
        <v>8.8999999999999996E-2</v>
      </c>
      <c r="G130">
        <v>0</v>
      </c>
      <c r="H130">
        <v>46.73</v>
      </c>
      <c r="I130">
        <v>0</v>
      </c>
      <c r="J130">
        <v>1.5800000000000002E-2</v>
      </c>
      <c r="K130">
        <v>0</v>
      </c>
      <c r="L130">
        <v>0</v>
      </c>
      <c r="M130">
        <v>0.1031</v>
      </c>
      <c r="N130">
        <v>102.7919</v>
      </c>
      <c r="O130" t="s">
        <v>148</v>
      </c>
      <c r="P130" t="s">
        <v>24</v>
      </c>
    </row>
    <row r="131" spans="1:16">
      <c r="A131">
        <v>112</v>
      </c>
      <c r="B131">
        <v>3.14</v>
      </c>
      <c r="C131">
        <v>0</v>
      </c>
      <c r="D131">
        <v>52.21</v>
      </c>
      <c r="E131">
        <v>1.5900000000000001E-2</v>
      </c>
      <c r="F131">
        <v>2.2800000000000001E-2</v>
      </c>
      <c r="G131">
        <v>0</v>
      </c>
      <c r="H131">
        <v>46.59</v>
      </c>
      <c r="I131">
        <v>0</v>
      </c>
      <c r="J131">
        <v>0</v>
      </c>
      <c r="K131">
        <v>0</v>
      </c>
      <c r="L131">
        <v>0</v>
      </c>
      <c r="M131">
        <v>0.14419999999999999</v>
      </c>
      <c r="N131">
        <v>102.1228</v>
      </c>
      <c r="O131" t="s">
        <v>148</v>
      </c>
      <c r="P131" t="s">
        <v>24</v>
      </c>
    </row>
    <row r="132" spans="1:16">
      <c r="A132">
        <v>114</v>
      </c>
      <c r="B132">
        <v>4.17</v>
      </c>
      <c r="C132">
        <v>0</v>
      </c>
      <c r="D132">
        <v>51.85</v>
      </c>
      <c r="E132">
        <v>0</v>
      </c>
      <c r="F132">
        <v>9.9599999999999994E-2</v>
      </c>
      <c r="G132">
        <v>0</v>
      </c>
      <c r="H132">
        <v>46.28</v>
      </c>
      <c r="I132">
        <v>0</v>
      </c>
      <c r="J132">
        <v>5.8999999999999999E-3</v>
      </c>
      <c r="K132">
        <v>0</v>
      </c>
      <c r="L132">
        <v>0</v>
      </c>
      <c r="M132">
        <v>0.13239999999999999</v>
      </c>
      <c r="N132">
        <v>102.5378</v>
      </c>
      <c r="O132" t="s">
        <v>148</v>
      </c>
      <c r="P132" t="s">
        <v>24</v>
      </c>
    </row>
    <row r="133" spans="1:16">
      <c r="A133">
        <v>106</v>
      </c>
      <c r="B133">
        <v>4.1900000000000004</v>
      </c>
      <c r="C133">
        <v>0</v>
      </c>
      <c r="D133">
        <v>51.71</v>
      </c>
      <c r="E133">
        <v>1.34E-2</v>
      </c>
      <c r="F133">
        <v>8.2500000000000004E-2</v>
      </c>
      <c r="G133">
        <v>0</v>
      </c>
      <c r="H133">
        <v>46.28</v>
      </c>
      <c r="I133">
        <v>0</v>
      </c>
      <c r="J133">
        <v>4.4999999999999997E-3</v>
      </c>
      <c r="K133">
        <v>0</v>
      </c>
      <c r="L133">
        <v>0</v>
      </c>
      <c r="M133">
        <v>0.1183</v>
      </c>
      <c r="N133">
        <v>102.3986</v>
      </c>
      <c r="O133" t="s">
        <v>148</v>
      </c>
      <c r="P133" t="s">
        <v>24</v>
      </c>
    </row>
    <row r="134" spans="1:16">
      <c r="A134">
        <v>115</v>
      </c>
      <c r="B134">
        <v>4.33</v>
      </c>
      <c r="C134">
        <v>0</v>
      </c>
      <c r="D134">
        <v>51.8</v>
      </c>
      <c r="E134">
        <v>3.5999999999999999E-3</v>
      </c>
      <c r="F134">
        <v>6.6600000000000006E-2</v>
      </c>
      <c r="G134">
        <v>0</v>
      </c>
      <c r="H134">
        <v>45.93</v>
      </c>
      <c r="I134">
        <v>0</v>
      </c>
      <c r="J134">
        <v>6.1000000000000004E-3</v>
      </c>
      <c r="K134">
        <v>0</v>
      </c>
      <c r="L134">
        <v>0</v>
      </c>
      <c r="M134">
        <v>0.1222</v>
      </c>
      <c r="N134">
        <v>102.2585</v>
      </c>
      <c r="O134" t="s">
        <v>148</v>
      </c>
      <c r="P134" t="s">
        <v>24</v>
      </c>
    </row>
    <row r="135" spans="1:16">
      <c r="A135">
        <v>107</v>
      </c>
      <c r="B135">
        <v>4.82</v>
      </c>
      <c r="C135">
        <v>0</v>
      </c>
      <c r="D135">
        <v>51.16</v>
      </c>
      <c r="E135">
        <v>9.4999999999999998E-3</v>
      </c>
      <c r="F135">
        <v>4.6399999999999997E-2</v>
      </c>
      <c r="G135">
        <v>5.0000000000000001E-4</v>
      </c>
      <c r="H135">
        <v>45.8</v>
      </c>
      <c r="I135">
        <v>0</v>
      </c>
      <c r="J135">
        <v>5.1000000000000004E-3</v>
      </c>
      <c r="K135">
        <v>0</v>
      </c>
      <c r="L135">
        <v>2.5000000000000001E-3</v>
      </c>
      <c r="M135">
        <v>0.15079999999999999</v>
      </c>
      <c r="N135">
        <v>101.99469999999999</v>
      </c>
      <c r="O135" t="s">
        <v>148</v>
      </c>
      <c r="P135" t="s">
        <v>24</v>
      </c>
    </row>
    <row r="136" spans="1:16">
      <c r="A136">
        <v>98</v>
      </c>
      <c r="B136">
        <v>9.0499999999999997E-2</v>
      </c>
      <c r="C136">
        <v>0</v>
      </c>
      <c r="D136">
        <v>54.71</v>
      </c>
      <c r="E136">
        <v>1E-3</v>
      </c>
      <c r="F136">
        <v>0</v>
      </c>
      <c r="G136">
        <v>0</v>
      </c>
      <c r="H136">
        <v>47.53</v>
      </c>
      <c r="I136">
        <v>1.43E-2</v>
      </c>
      <c r="J136">
        <v>4.2900000000000001E-2</v>
      </c>
      <c r="K136">
        <v>0</v>
      </c>
      <c r="L136">
        <v>5.1200000000000002E-2</v>
      </c>
      <c r="M136">
        <v>0.18340000000000001</v>
      </c>
      <c r="N136">
        <v>102.6232</v>
      </c>
      <c r="O136" t="s">
        <v>149</v>
      </c>
      <c r="P136" t="s">
        <v>24</v>
      </c>
    </row>
    <row r="137" spans="1:16">
      <c r="A137">
        <v>100</v>
      </c>
      <c r="B137">
        <v>0.84340000000000004</v>
      </c>
      <c r="C137">
        <v>0</v>
      </c>
      <c r="D137">
        <v>53.96</v>
      </c>
      <c r="E137">
        <v>2.3300000000000001E-2</v>
      </c>
      <c r="F137">
        <v>4.3E-3</v>
      </c>
      <c r="G137">
        <v>0</v>
      </c>
      <c r="H137">
        <v>47.51</v>
      </c>
      <c r="I137">
        <v>8.0999999999999996E-3</v>
      </c>
      <c r="J137">
        <v>1.21E-2</v>
      </c>
      <c r="K137">
        <v>0</v>
      </c>
      <c r="L137">
        <v>1.2500000000000001E-2</v>
      </c>
      <c r="M137">
        <v>0.1731</v>
      </c>
      <c r="N137">
        <v>102.5467</v>
      </c>
      <c r="O137" t="s">
        <v>149</v>
      </c>
      <c r="P137" t="s">
        <v>24</v>
      </c>
    </row>
    <row r="138" spans="1:16">
      <c r="A138">
        <v>99</v>
      </c>
      <c r="B138">
        <v>0.14760000000000001</v>
      </c>
      <c r="C138">
        <v>0</v>
      </c>
      <c r="D138">
        <v>54.35</v>
      </c>
      <c r="E138">
        <v>1.35E-2</v>
      </c>
      <c r="F138">
        <v>8.0000000000000004E-4</v>
      </c>
      <c r="G138">
        <v>0</v>
      </c>
      <c r="H138">
        <v>47.29</v>
      </c>
      <c r="I138">
        <v>5.7000000000000002E-3</v>
      </c>
      <c r="J138">
        <v>2.0299999999999999E-2</v>
      </c>
      <c r="K138">
        <v>0</v>
      </c>
      <c r="L138">
        <v>1.3100000000000001E-2</v>
      </c>
      <c r="M138">
        <v>0.2286</v>
      </c>
      <c r="N138">
        <v>102.06950000000001</v>
      </c>
      <c r="O138" t="s">
        <v>149</v>
      </c>
      <c r="P138" t="s">
        <v>24</v>
      </c>
    </row>
    <row r="139" spans="1:16">
      <c r="A139">
        <v>101</v>
      </c>
      <c r="B139">
        <v>2</v>
      </c>
      <c r="C139">
        <v>0</v>
      </c>
      <c r="D139">
        <v>52.99</v>
      </c>
      <c r="E139">
        <v>8.3999999999999995E-3</v>
      </c>
      <c r="F139">
        <v>0</v>
      </c>
      <c r="G139">
        <v>0</v>
      </c>
      <c r="H139">
        <v>47.13</v>
      </c>
      <c r="I139">
        <v>0</v>
      </c>
      <c r="J139">
        <v>2.9600000000000001E-2</v>
      </c>
      <c r="K139">
        <v>0</v>
      </c>
      <c r="L139">
        <v>0</v>
      </c>
      <c r="M139">
        <v>0.13489999999999999</v>
      </c>
      <c r="N139">
        <v>102.2929</v>
      </c>
      <c r="O139" t="s">
        <v>149</v>
      </c>
      <c r="P139" t="s">
        <v>24</v>
      </c>
    </row>
    <row r="140" spans="1:16">
      <c r="A140">
        <v>50</v>
      </c>
      <c r="B140">
        <v>0.54759999999999998</v>
      </c>
      <c r="C140">
        <v>0</v>
      </c>
      <c r="D140">
        <v>53.79</v>
      </c>
      <c r="E140">
        <v>3.5999999999999999E-3</v>
      </c>
      <c r="F140">
        <v>0</v>
      </c>
      <c r="G140">
        <v>0</v>
      </c>
      <c r="H140">
        <v>47.55</v>
      </c>
      <c r="I140">
        <v>5.0000000000000001E-3</v>
      </c>
      <c r="J140">
        <v>2.8999999999999998E-3</v>
      </c>
      <c r="K140">
        <v>0</v>
      </c>
      <c r="L140">
        <v>0</v>
      </c>
      <c r="M140">
        <v>0.15859999999999999</v>
      </c>
      <c r="N140">
        <v>102.05759999999999</v>
      </c>
      <c r="O140" t="s">
        <v>110</v>
      </c>
      <c r="P140" t="s">
        <v>150</v>
      </c>
    </row>
    <row r="141" spans="1:16">
      <c r="A141">
        <v>51</v>
      </c>
      <c r="B141">
        <v>0.50339999999999996</v>
      </c>
      <c r="C141">
        <v>0</v>
      </c>
      <c r="D141">
        <v>53.97</v>
      </c>
      <c r="E141">
        <v>5.5999999999999999E-3</v>
      </c>
      <c r="F141">
        <v>0</v>
      </c>
      <c r="G141">
        <v>0</v>
      </c>
      <c r="H141">
        <v>47.34</v>
      </c>
      <c r="I141">
        <v>0</v>
      </c>
      <c r="J141">
        <v>0</v>
      </c>
      <c r="K141">
        <v>0</v>
      </c>
      <c r="L141">
        <v>0</v>
      </c>
      <c r="M141">
        <v>0.18490000000000001</v>
      </c>
      <c r="N141">
        <v>102.0038</v>
      </c>
      <c r="O141" t="s">
        <v>110</v>
      </c>
      <c r="P141" t="s">
        <v>150</v>
      </c>
    </row>
    <row r="142" spans="1:16">
      <c r="A142">
        <v>57</v>
      </c>
      <c r="B142">
        <v>0.21310000000000001</v>
      </c>
      <c r="C142">
        <v>0</v>
      </c>
      <c r="D142">
        <v>54.2</v>
      </c>
      <c r="E142">
        <v>0</v>
      </c>
      <c r="F142">
        <v>2.7000000000000001E-3</v>
      </c>
      <c r="G142">
        <v>0</v>
      </c>
      <c r="H142">
        <v>47.49</v>
      </c>
      <c r="I142">
        <v>0</v>
      </c>
      <c r="J142">
        <v>0</v>
      </c>
      <c r="K142">
        <v>0</v>
      </c>
      <c r="L142">
        <v>0</v>
      </c>
      <c r="M142">
        <v>0.17530000000000001</v>
      </c>
      <c r="N142">
        <v>102.08110000000001</v>
      </c>
      <c r="O142" t="s">
        <v>110</v>
      </c>
      <c r="P142" t="s">
        <v>150</v>
      </c>
    </row>
    <row r="143" spans="1:16">
      <c r="A143">
        <v>56</v>
      </c>
      <c r="B143">
        <v>5.7000000000000002E-3</v>
      </c>
      <c r="C143">
        <v>0</v>
      </c>
      <c r="D143">
        <v>54.24</v>
      </c>
      <c r="E143">
        <v>0</v>
      </c>
      <c r="F143">
        <v>0</v>
      </c>
      <c r="G143">
        <v>0</v>
      </c>
      <c r="H143">
        <v>47.57</v>
      </c>
      <c r="I143">
        <v>0</v>
      </c>
      <c r="J143">
        <v>0</v>
      </c>
      <c r="K143">
        <v>0</v>
      </c>
      <c r="L143">
        <v>1.72E-2</v>
      </c>
      <c r="M143">
        <v>0.15459999999999999</v>
      </c>
      <c r="N143">
        <v>101.98739999999999</v>
      </c>
      <c r="O143" t="s">
        <v>110</v>
      </c>
      <c r="P143" t="s">
        <v>150</v>
      </c>
    </row>
    <row r="144" spans="1:16">
      <c r="A144">
        <v>22</v>
      </c>
      <c r="B144">
        <v>4.0000000000000002E-4</v>
      </c>
      <c r="C144">
        <v>0</v>
      </c>
      <c r="D144">
        <v>54.14</v>
      </c>
      <c r="E144">
        <v>1.4E-3</v>
      </c>
      <c r="F144">
        <v>0</v>
      </c>
      <c r="G144">
        <v>0</v>
      </c>
      <c r="H144">
        <v>47.42</v>
      </c>
      <c r="I144">
        <v>0</v>
      </c>
      <c r="J144">
        <v>1.0699999999999999E-2</v>
      </c>
      <c r="K144">
        <v>0</v>
      </c>
      <c r="L144">
        <v>0</v>
      </c>
      <c r="M144">
        <v>0.1651</v>
      </c>
      <c r="N144">
        <v>101.7375</v>
      </c>
      <c r="O144" t="s">
        <v>105</v>
      </c>
      <c r="P144" t="s">
        <v>150</v>
      </c>
    </row>
    <row r="145" spans="1:16">
      <c r="A145">
        <v>25</v>
      </c>
      <c r="B145">
        <v>2.3999999999999998E-3</v>
      </c>
      <c r="C145">
        <v>0</v>
      </c>
      <c r="D145">
        <v>54.03</v>
      </c>
      <c r="E145">
        <v>0</v>
      </c>
      <c r="F145">
        <v>0</v>
      </c>
      <c r="G145">
        <v>0</v>
      </c>
      <c r="H145">
        <v>48.36</v>
      </c>
      <c r="I145">
        <v>0</v>
      </c>
      <c r="J145">
        <v>1.49E-2</v>
      </c>
      <c r="K145">
        <v>0</v>
      </c>
      <c r="L145">
        <v>0</v>
      </c>
      <c r="M145">
        <v>0.1676</v>
      </c>
      <c r="N145">
        <v>102.5748</v>
      </c>
      <c r="O145" t="s">
        <v>151</v>
      </c>
      <c r="P145" t="s">
        <v>150</v>
      </c>
    </row>
    <row r="146" spans="1:16">
      <c r="A146">
        <v>36</v>
      </c>
      <c r="B146">
        <v>1.1999999999999999E-3</v>
      </c>
      <c r="C146">
        <v>0</v>
      </c>
      <c r="D146">
        <v>54.18</v>
      </c>
      <c r="E146">
        <v>1.1299999999999999E-2</v>
      </c>
      <c r="F146">
        <v>0</v>
      </c>
      <c r="G146">
        <v>0</v>
      </c>
      <c r="H146">
        <v>48.67</v>
      </c>
      <c r="I146">
        <v>0</v>
      </c>
      <c r="J146">
        <v>6.3E-3</v>
      </c>
      <c r="K146">
        <v>0</v>
      </c>
      <c r="L146">
        <v>0</v>
      </c>
      <c r="M146">
        <v>0.1628</v>
      </c>
      <c r="N146">
        <v>103.0316</v>
      </c>
      <c r="O146" t="s">
        <v>151</v>
      </c>
      <c r="P146" t="s">
        <v>150</v>
      </c>
    </row>
    <row r="147" spans="1:16">
      <c r="A147">
        <v>26</v>
      </c>
      <c r="B147">
        <v>1.1999999999999999E-3</v>
      </c>
      <c r="C147">
        <v>0</v>
      </c>
      <c r="D147">
        <v>54.12</v>
      </c>
      <c r="E147">
        <v>0</v>
      </c>
      <c r="F147">
        <v>0</v>
      </c>
      <c r="G147">
        <v>0</v>
      </c>
      <c r="H147">
        <v>48.41</v>
      </c>
      <c r="I147">
        <v>0</v>
      </c>
      <c r="J147">
        <v>0</v>
      </c>
      <c r="K147">
        <v>0</v>
      </c>
      <c r="L147">
        <v>5.0000000000000001E-3</v>
      </c>
      <c r="M147">
        <v>0.16439999999999999</v>
      </c>
      <c r="N147">
        <v>102.70050000000001</v>
      </c>
      <c r="O147" t="s">
        <v>151</v>
      </c>
      <c r="P147" t="s">
        <v>150</v>
      </c>
    </row>
    <row r="148" spans="1:16">
      <c r="A148">
        <v>28</v>
      </c>
      <c r="B148">
        <v>0</v>
      </c>
      <c r="C148">
        <v>0</v>
      </c>
      <c r="D148">
        <v>54.04</v>
      </c>
      <c r="E148">
        <v>2.1000000000000001E-2</v>
      </c>
      <c r="F148">
        <v>0</v>
      </c>
      <c r="G148">
        <v>0</v>
      </c>
      <c r="H148">
        <v>48.66</v>
      </c>
      <c r="I148">
        <v>0</v>
      </c>
      <c r="J148">
        <v>1.8499999999999999E-2</v>
      </c>
      <c r="K148">
        <v>0</v>
      </c>
      <c r="L148">
        <v>1.12E-2</v>
      </c>
      <c r="M148">
        <v>0.17510000000000001</v>
      </c>
      <c r="N148">
        <v>102.9258</v>
      </c>
      <c r="O148" t="s">
        <v>151</v>
      </c>
      <c r="P148" t="s">
        <v>150</v>
      </c>
    </row>
    <row r="149" spans="1:16">
      <c r="A149">
        <v>29</v>
      </c>
      <c r="B149">
        <v>0</v>
      </c>
      <c r="C149">
        <v>0</v>
      </c>
      <c r="D149">
        <v>54.13</v>
      </c>
      <c r="E149">
        <v>1.0699999999999999E-2</v>
      </c>
      <c r="F149">
        <v>3.5999999999999999E-3</v>
      </c>
      <c r="G149">
        <v>0</v>
      </c>
      <c r="H149">
        <v>48.58</v>
      </c>
      <c r="I149">
        <v>3.7000000000000002E-3</v>
      </c>
      <c r="J149">
        <v>1.6000000000000001E-3</v>
      </c>
      <c r="K149">
        <v>0</v>
      </c>
      <c r="L149">
        <v>0</v>
      </c>
      <c r="M149">
        <v>0.17549999999999999</v>
      </c>
      <c r="N149">
        <v>102.9051</v>
      </c>
      <c r="O149" t="s">
        <v>151</v>
      </c>
      <c r="P149" t="s">
        <v>150</v>
      </c>
    </row>
    <row r="150" spans="1:16">
      <c r="A150">
        <v>27</v>
      </c>
      <c r="B150">
        <v>0</v>
      </c>
      <c r="C150">
        <v>0</v>
      </c>
      <c r="D150">
        <v>53.88</v>
      </c>
      <c r="E150">
        <v>1.17E-2</v>
      </c>
      <c r="F150">
        <v>0</v>
      </c>
      <c r="G150">
        <v>0</v>
      </c>
      <c r="H150">
        <v>48.72</v>
      </c>
      <c r="I150">
        <v>0</v>
      </c>
      <c r="J150">
        <v>0</v>
      </c>
      <c r="K150">
        <v>0</v>
      </c>
      <c r="L150">
        <v>0</v>
      </c>
      <c r="M150">
        <v>0.17030000000000001</v>
      </c>
      <c r="N150">
        <v>102.782</v>
      </c>
      <c r="O150" t="s">
        <v>151</v>
      </c>
      <c r="P150" t="s">
        <v>150</v>
      </c>
    </row>
    <row r="151" spans="1:16">
      <c r="A151">
        <v>30</v>
      </c>
      <c r="B151">
        <v>0</v>
      </c>
      <c r="C151">
        <v>0</v>
      </c>
      <c r="D151">
        <v>54.13</v>
      </c>
      <c r="E151">
        <v>0</v>
      </c>
      <c r="F151">
        <v>0</v>
      </c>
      <c r="G151">
        <v>0</v>
      </c>
      <c r="H151">
        <v>48.62</v>
      </c>
      <c r="I151">
        <v>0</v>
      </c>
      <c r="J151">
        <v>0</v>
      </c>
      <c r="K151">
        <v>0</v>
      </c>
      <c r="L151">
        <v>0</v>
      </c>
      <c r="M151">
        <v>0.17280000000000001</v>
      </c>
      <c r="N151">
        <v>102.92270000000001</v>
      </c>
      <c r="O151" t="s">
        <v>151</v>
      </c>
      <c r="P151" t="s">
        <v>150</v>
      </c>
    </row>
    <row r="152" spans="1:16">
      <c r="A152">
        <v>37</v>
      </c>
      <c r="B152">
        <v>0</v>
      </c>
      <c r="C152">
        <v>0</v>
      </c>
      <c r="D152">
        <v>54.24</v>
      </c>
      <c r="E152">
        <v>0</v>
      </c>
      <c r="F152">
        <v>1.8700000000000001E-2</v>
      </c>
      <c r="G152">
        <v>0</v>
      </c>
      <c r="H152">
        <v>48.73</v>
      </c>
      <c r="I152">
        <v>0</v>
      </c>
      <c r="J152">
        <v>0</v>
      </c>
      <c r="K152">
        <v>0</v>
      </c>
      <c r="L152">
        <v>0</v>
      </c>
      <c r="M152">
        <v>0.18490000000000001</v>
      </c>
      <c r="N152">
        <v>103.1735</v>
      </c>
      <c r="O152" t="s">
        <v>151</v>
      </c>
      <c r="P152" t="s">
        <v>150</v>
      </c>
    </row>
    <row r="153" spans="1:16">
      <c r="A153">
        <v>12</v>
      </c>
      <c r="B153">
        <v>1.7100000000000001E-2</v>
      </c>
      <c r="C153">
        <v>0</v>
      </c>
      <c r="D153">
        <v>54.17</v>
      </c>
      <c r="E153">
        <v>5.7999999999999996E-3</v>
      </c>
      <c r="F153">
        <v>0</v>
      </c>
      <c r="G153">
        <v>0</v>
      </c>
      <c r="H153">
        <v>48.66</v>
      </c>
      <c r="I153">
        <v>0</v>
      </c>
      <c r="J153">
        <v>1.0500000000000001E-2</v>
      </c>
      <c r="K153">
        <v>0</v>
      </c>
      <c r="L153">
        <v>4.7999999999999996E-3</v>
      </c>
      <c r="M153">
        <v>0.16439999999999999</v>
      </c>
      <c r="N153">
        <v>103.0325</v>
      </c>
      <c r="O153" t="s">
        <v>152</v>
      </c>
      <c r="P153" t="s">
        <v>150</v>
      </c>
    </row>
    <row r="154" spans="1:16">
      <c r="A154">
        <v>11</v>
      </c>
      <c r="B154">
        <v>4.7000000000000002E-3</v>
      </c>
      <c r="C154">
        <v>0</v>
      </c>
      <c r="D154">
        <v>54.05</v>
      </c>
      <c r="E154">
        <v>4.0000000000000001E-3</v>
      </c>
      <c r="F154">
        <v>0</v>
      </c>
      <c r="G154">
        <v>0</v>
      </c>
      <c r="H154">
        <v>48.76</v>
      </c>
      <c r="I154">
        <v>0</v>
      </c>
      <c r="J154">
        <v>0.05</v>
      </c>
      <c r="K154">
        <v>0</v>
      </c>
      <c r="L154">
        <v>0</v>
      </c>
      <c r="M154">
        <v>0.21959999999999999</v>
      </c>
      <c r="N154">
        <v>103.0882</v>
      </c>
      <c r="O154" t="s">
        <v>152</v>
      </c>
      <c r="P154" t="s">
        <v>150</v>
      </c>
    </row>
    <row r="155" spans="1:16">
      <c r="A155">
        <v>13</v>
      </c>
      <c r="B155">
        <v>0</v>
      </c>
      <c r="C155">
        <v>0</v>
      </c>
      <c r="D155">
        <v>54.13</v>
      </c>
      <c r="E155">
        <v>3.49E-2</v>
      </c>
      <c r="F155">
        <v>0</v>
      </c>
      <c r="G155">
        <v>0</v>
      </c>
      <c r="H155">
        <v>48.5</v>
      </c>
      <c r="I155">
        <v>1.9E-3</v>
      </c>
      <c r="J155">
        <v>7.4399999999999994E-2</v>
      </c>
      <c r="K155">
        <v>0</v>
      </c>
      <c r="L155">
        <v>0</v>
      </c>
      <c r="M155">
        <v>0.2026</v>
      </c>
      <c r="N155">
        <v>102.94370000000001</v>
      </c>
      <c r="O155" t="s">
        <v>152</v>
      </c>
      <c r="P155" t="s">
        <v>150</v>
      </c>
    </row>
    <row r="156" spans="1:16">
      <c r="A156">
        <v>14</v>
      </c>
      <c r="B156">
        <v>0</v>
      </c>
      <c r="C156">
        <v>0</v>
      </c>
      <c r="D156">
        <v>54.17</v>
      </c>
      <c r="E156">
        <v>5.5999999999999999E-3</v>
      </c>
      <c r="F156">
        <v>3.5999999999999999E-3</v>
      </c>
      <c r="G156">
        <v>0</v>
      </c>
      <c r="H156">
        <v>48.53</v>
      </c>
      <c r="I156">
        <v>0</v>
      </c>
      <c r="J156">
        <v>3.5799999999999998E-2</v>
      </c>
      <c r="K156">
        <v>0</v>
      </c>
      <c r="L156">
        <v>0</v>
      </c>
      <c r="M156">
        <v>0.1711</v>
      </c>
      <c r="N156">
        <v>102.916</v>
      </c>
      <c r="O156" t="s">
        <v>152</v>
      </c>
      <c r="P156" t="s">
        <v>150</v>
      </c>
    </row>
    <row r="157" spans="1:16">
      <c r="A157">
        <v>43</v>
      </c>
      <c r="B157">
        <v>0.56920000000000004</v>
      </c>
      <c r="C157">
        <v>0</v>
      </c>
      <c r="D157">
        <v>53.4</v>
      </c>
      <c r="E157">
        <v>0</v>
      </c>
      <c r="F157">
        <v>7.1999999999999998E-3</v>
      </c>
      <c r="G157">
        <v>0</v>
      </c>
      <c r="H157">
        <v>47.57</v>
      </c>
      <c r="I157">
        <v>1.6999999999999999E-3</v>
      </c>
      <c r="J157">
        <v>2.93E-2</v>
      </c>
      <c r="K157">
        <v>0</v>
      </c>
      <c r="L157">
        <v>1.9900000000000001E-2</v>
      </c>
      <c r="M157">
        <v>0.19</v>
      </c>
      <c r="N157">
        <v>101.7872</v>
      </c>
      <c r="O157" t="s">
        <v>153</v>
      </c>
      <c r="P157" t="s">
        <v>112</v>
      </c>
    </row>
    <row r="158" spans="1:16">
      <c r="A158">
        <v>44</v>
      </c>
      <c r="B158">
        <v>1.26</v>
      </c>
      <c r="C158">
        <v>0</v>
      </c>
      <c r="D158">
        <v>53.07</v>
      </c>
      <c r="E158">
        <v>4.4000000000000003E-3</v>
      </c>
      <c r="F158">
        <v>0</v>
      </c>
      <c r="G158">
        <v>0</v>
      </c>
      <c r="H158">
        <v>47.32</v>
      </c>
      <c r="I158">
        <v>0</v>
      </c>
      <c r="J158">
        <v>2.5999999999999999E-2</v>
      </c>
      <c r="K158">
        <v>0</v>
      </c>
      <c r="L158">
        <v>2.35E-2</v>
      </c>
      <c r="M158">
        <v>0.1477</v>
      </c>
      <c r="N158">
        <v>101.8515</v>
      </c>
      <c r="O158" t="s">
        <v>154</v>
      </c>
      <c r="P158" t="s">
        <v>112</v>
      </c>
    </row>
    <row r="159" spans="1:16">
      <c r="A159">
        <v>45</v>
      </c>
      <c r="B159">
        <v>8.3000000000000004E-2</v>
      </c>
      <c r="C159">
        <v>0</v>
      </c>
      <c r="D159">
        <v>53.91</v>
      </c>
      <c r="E159">
        <v>1.5299999999999999E-2</v>
      </c>
      <c r="F159">
        <v>0</v>
      </c>
      <c r="G159">
        <v>0</v>
      </c>
      <c r="H159">
        <v>48.02</v>
      </c>
      <c r="I159">
        <v>0</v>
      </c>
      <c r="J159">
        <v>2.0500000000000001E-2</v>
      </c>
      <c r="K159">
        <v>0</v>
      </c>
      <c r="L159">
        <v>0</v>
      </c>
      <c r="M159">
        <v>0.12809999999999999</v>
      </c>
      <c r="N159">
        <v>102.1768</v>
      </c>
      <c r="O159" t="s">
        <v>154</v>
      </c>
      <c r="P159" t="s">
        <v>112</v>
      </c>
    </row>
    <row r="160" spans="1:16">
      <c r="A160">
        <v>38</v>
      </c>
      <c r="B160">
        <v>2.33</v>
      </c>
      <c r="C160">
        <v>0</v>
      </c>
      <c r="D160">
        <v>52.43</v>
      </c>
      <c r="E160">
        <v>0</v>
      </c>
      <c r="F160">
        <v>0</v>
      </c>
      <c r="G160">
        <v>0</v>
      </c>
      <c r="H160">
        <v>46.3</v>
      </c>
      <c r="I160">
        <v>1.4E-3</v>
      </c>
      <c r="J160">
        <v>0</v>
      </c>
      <c r="K160">
        <v>0</v>
      </c>
      <c r="L160">
        <v>0</v>
      </c>
      <c r="M160">
        <v>0.18</v>
      </c>
      <c r="N160">
        <v>101.2413</v>
      </c>
      <c r="O160" t="s">
        <v>155</v>
      </c>
      <c r="P160" t="s">
        <v>112</v>
      </c>
    </row>
    <row r="161" spans="1:16">
      <c r="A161">
        <v>37</v>
      </c>
      <c r="B161">
        <v>0.88280000000000003</v>
      </c>
      <c r="C161">
        <v>0</v>
      </c>
      <c r="D161">
        <v>53.63</v>
      </c>
      <c r="E161">
        <v>0</v>
      </c>
      <c r="F161">
        <v>2.8E-3</v>
      </c>
      <c r="G161">
        <v>0</v>
      </c>
      <c r="H161">
        <v>46.82</v>
      </c>
      <c r="I161">
        <v>0</v>
      </c>
      <c r="J161">
        <v>3.7000000000000002E-3</v>
      </c>
      <c r="K161">
        <v>0</v>
      </c>
      <c r="L161">
        <v>0</v>
      </c>
      <c r="M161">
        <v>0.17460000000000001</v>
      </c>
      <c r="N161">
        <v>101.5138</v>
      </c>
      <c r="O161" t="s">
        <v>155</v>
      </c>
      <c r="P161" t="s">
        <v>112</v>
      </c>
    </row>
    <row r="162" spans="1:16">
      <c r="A162">
        <v>41</v>
      </c>
      <c r="B162">
        <v>0.82830000000000004</v>
      </c>
      <c r="C162">
        <v>0</v>
      </c>
      <c r="D162">
        <v>53.82</v>
      </c>
      <c r="E162">
        <v>7.1999999999999998E-3</v>
      </c>
      <c r="F162">
        <v>0</v>
      </c>
      <c r="G162">
        <v>0</v>
      </c>
      <c r="H162">
        <v>47.24</v>
      </c>
      <c r="I162">
        <v>0</v>
      </c>
      <c r="J162">
        <v>0</v>
      </c>
      <c r="K162">
        <v>0</v>
      </c>
      <c r="L162">
        <v>3.0999999999999999E-3</v>
      </c>
      <c r="M162">
        <v>0.16159999999999999</v>
      </c>
      <c r="N162">
        <v>102.06010000000001</v>
      </c>
      <c r="O162" t="s">
        <v>155</v>
      </c>
      <c r="P162" t="s">
        <v>112</v>
      </c>
    </row>
    <row r="163" spans="1:16">
      <c r="A163">
        <v>44</v>
      </c>
      <c r="B163">
        <v>0.75490000000000002</v>
      </c>
      <c r="C163">
        <v>0</v>
      </c>
      <c r="D163">
        <v>53.88</v>
      </c>
      <c r="E163">
        <v>0</v>
      </c>
      <c r="F163">
        <v>0</v>
      </c>
      <c r="G163">
        <v>0</v>
      </c>
      <c r="H163">
        <v>47.24</v>
      </c>
      <c r="I163">
        <v>0</v>
      </c>
      <c r="J163">
        <v>0.02</v>
      </c>
      <c r="K163">
        <v>0</v>
      </c>
      <c r="L163">
        <v>0</v>
      </c>
      <c r="M163">
        <v>0.14810000000000001</v>
      </c>
      <c r="N163">
        <v>102.04300000000001</v>
      </c>
      <c r="O163" t="s">
        <v>155</v>
      </c>
      <c r="P163" t="s">
        <v>112</v>
      </c>
    </row>
    <row r="164" spans="1:16">
      <c r="A164">
        <v>43</v>
      </c>
      <c r="B164">
        <v>0.70020000000000004</v>
      </c>
      <c r="C164">
        <v>0</v>
      </c>
      <c r="D164">
        <v>53.94</v>
      </c>
      <c r="E164">
        <v>0</v>
      </c>
      <c r="F164">
        <v>0</v>
      </c>
      <c r="G164">
        <v>0</v>
      </c>
      <c r="H164">
        <v>47.19</v>
      </c>
      <c r="I164">
        <v>0</v>
      </c>
      <c r="J164">
        <v>0</v>
      </c>
      <c r="K164">
        <v>0</v>
      </c>
      <c r="L164">
        <v>0</v>
      </c>
      <c r="M164">
        <v>0.1666</v>
      </c>
      <c r="N164">
        <v>101.9967</v>
      </c>
      <c r="O164" t="s">
        <v>155</v>
      </c>
      <c r="P164" t="s">
        <v>112</v>
      </c>
    </row>
    <row r="165" spans="1:16">
      <c r="A165">
        <v>40</v>
      </c>
      <c r="B165">
        <v>0.60219999999999996</v>
      </c>
      <c r="C165">
        <v>0</v>
      </c>
      <c r="D165">
        <v>53.96</v>
      </c>
      <c r="E165">
        <v>0</v>
      </c>
      <c r="F165">
        <v>0</v>
      </c>
      <c r="G165">
        <v>0</v>
      </c>
      <c r="H165">
        <v>47.36</v>
      </c>
      <c r="I165">
        <v>0</v>
      </c>
      <c r="J165">
        <v>0</v>
      </c>
      <c r="K165">
        <v>0</v>
      </c>
      <c r="L165">
        <v>2.64E-2</v>
      </c>
      <c r="M165">
        <v>0.158</v>
      </c>
      <c r="N165">
        <v>102.1065</v>
      </c>
      <c r="O165" t="s">
        <v>155</v>
      </c>
      <c r="P165" t="s">
        <v>112</v>
      </c>
    </row>
    <row r="166" spans="1:16">
      <c r="A166">
        <v>33</v>
      </c>
      <c r="B166">
        <v>2.5000000000000001E-3</v>
      </c>
      <c r="C166">
        <v>0</v>
      </c>
      <c r="D166">
        <v>54.46</v>
      </c>
      <c r="E166">
        <v>7.7000000000000002E-3</v>
      </c>
      <c r="F166">
        <v>0</v>
      </c>
      <c r="G166">
        <v>0</v>
      </c>
      <c r="H166">
        <v>48.13</v>
      </c>
      <c r="I166">
        <v>0</v>
      </c>
      <c r="J166">
        <v>0</v>
      </c>
      <c r="K166">
        <v>0</v>
      </c>
      <c r="L166">
        <v>9.5999999999999992E-3</v>
      </c>
      <c r="M166">
        <v>0.18779999999999999</v>
      </c>
      <c r="N166">
        <v>102.7975</v>
      </c>
      <c r="O166" t="s">
        <v>155</v>
      </c>
      <c r="P166" t="s">
        <v>112</v>
      </c>
    </row>
    <row r="167" spans="1:16">
      <c r="A167">
        <v>8</v>
      </c>
      <c r="B167">
        <v>0</v>
      </c>
      <c r="C167">
        <v>0</v>
      </c>
      <c r="D167">
        <v>55.19</v>
      </c>
      <c r="E167">
        <v>1.4999999999999999E-2</v>
      </c>
      <c r="F167">
        <v>0</v>
      </c>
      <c r="G167">
        <v>0</v>
      </c>
      <c r="H167">
        <v>48.96</v>
      </c>
      <c r="I167">
        <v>0</v>
      </c>
      <c r="J167">
        <v>1.7500000000000002E-2</v>
      </c>
      <c r="K167">
        <v>0</v>
      </c>
      <c r="L167">
        <v>0</v>
      </c>
      <c r="M167">
        <v>0.22889999999999999</v>
      </c>
      <c r="N167">
        <v>104.4113</v>
      </c>
      <c r="O167" t="s">
        <v>156</v>
      </c>
      <c r="P167" t="s">
        <v>157</v>
      </c>
    </row>
    <row r="168" spans="1:16">
      <c r="A168">
        <v>9</v>
      </c>
      <c r="B168">
        <v>0</v>
      </c>
      <c r="C168">
        <v>0</v>
      </c>
      <c r="D168">
        <v>54.98</v>
      </c>
      <c r="E168">
        <v>5.5999999999999999E-3</v>
      </c>
      <c r="F168">
        <v>0</v>
      </c>
      <c r="G168">
        <v>0</v>
      </c>
      <c r="H168">
        <v>48.9</v>
      </c>
      <c r="I168">
        <v>0</v>
      </c>
      <c r="J168">
        <v>1.5699999999999999E-2</v>
      </c>
      <c r="K168">
        <v>0</v>
      </c>
      <c r="L168">
        <v>0</v>
      </c>
      <c r="M168">
        <v>0.23710000000000001</v>
      </c>
      <c r="N168">
        <v>104.1384</v>
      </c>
      <c r="O168" t="s">
        <v>156</v>
      </c>
      <c r="P168" t="s">
        <v>157</v>
      </c>
    </row>
    <row r="169" spans="1:16">
      <c r="A169">
        <v>10</v>
      </c>
      <c r="B169">
        <v>5.1000000000000004E-3</v>
      </c>
      <c r="C169">
        <v>0</v>
      </c>
      <c r="D169">
        <v>55.03</v>
      </c>
      <c r="E169">
        <v>9.7999999999999997E-3</v>
      </c>
      <c r="F169">
        <v>0</v>
      </c>
      <c r="G169">
        <v>0</v>
      </c>
      <c r="H169">
        <v>48.74</v>
      </c>
      <c r="I169">
        <v>0</v>
      </c>
      <c r="J169">
        <v>0</v>
      </c>
      <c r="K169">
        <v>0</v>
      </c>
      <c r="L169">
        <v>6.9999999999999999E-4</v>
      </c>
      <c r="M169">
        <v>0.2157</v>
      </c>
      <c r="N169">
        <v>104.0012</v>
      </c>
      <c r="O169" t="s">
        <v>156</v>
      </c>
      <c r="P169" t="s">
        <v>157</v>
      </c>
    </row>
    <row r="170" spans="1:16">
      <c r="A170">
        <v>6</v>
      </c>
      <c r="B170">
        <v>2.5999999999999999E-3</v>
      </c>
      <c r="C170">
        <v>0</v>
      </c>
      <c r="D170">
        <v>55.11</v>
      </c>
      <c r="E170">
        <v>5.7999999999999996E-3</v>
      </c>
      <c r="F170">
        <v>0</v>
      </c>
      <c r="G170">
        <v>0</v>
      </c>
      <c r="H170">
        <v>48.68</v>
      </c>
      <c r="I170">
        <v>0</v>
      </c>
      <c r="J170">
        <v>0</v>
      </c>
      <c r="K170">
        <v>0</v>
      </c>
      <c r="L170">
        <v>0</v>
      </c>
      <c r="M170">
        <v>0.22450000000000001</v>
      </c>
      <c r="N170">
        <v>104.02290000000001</v>
      </c>
      <c r="O170" t="s">
        <v>156</v>
      </c>
      <c r="P170" t="s">
        <v>157</v>
      </c>
    </row>
    <row r="171" spans="1:16">
      <c r="A171">
        <v>11</v>
      </c>
      <c r="B171">
        <v>2.86E-2</v>
      </c>
      <c r="C171">
        <v>0</v>
      </c>
      <c r="D171">
        <v>54.93</v>
      </c>
      <c r="E171">
        <v>1.2E-2</v>
      </c>
      <c r="F171">
        <v>0</v>
      </c>
      <c r="G171">
        <v>0</v>
      </c>
      <c r="H171">
        <v>48.55</v>
      </c>
      <c r="I171">
        <v>0</v>
      </c>
      <c r="J171">
        <v>4.1999999999999997E-3</v>
      </c>
      <c r="K171">
        <v>0</v>
      </c>
      <c r="L171">
        <v>0</v>
      </c>
      <c r="M171">
        <v>0.2097</v>
      </c>
      <c r="N171">
        <v>103.7345</v>
      </c>
      <c r="O171" t="s">
        <v>156</v>
      </c>
      <c r="P171" t="s">
        <v>157</v>
      </c>
    </row>
    <row r="172" spans="1:16">
      <c r="A172">
        <v>7</v>
      </c>
      <c r="B172">
        <v>0</v>
      </c>
      <c r="C172">
        <v>0</v>
      </c>
      <c r="D172">
        <v>55.05</v>
      </c>
      <c r="E172">
        <v>1.9699999999999999E-2</v>
      </c>
      <c r="F172">
        <v>6.1000000000000004E-3</v>
      </c>
      <c r="G172">
        <v>0</v>
      </c>
      <c r="H172">
        <v>48.46</v>
      </c>
      <c r="I172">
        <v>1E-3</v>
      </c>
      <c r="J172">
        <v>2.0400000000000001E-2</v>
      </c>
      <c r="K172">
        <v>0</v>
      </c>
      <c r="L172">
        <v>0</v>
      </c>
      <c r="M172">
        <v>0.21360000000000001</v>
      </c>
      <c r="N172">
        <v>103.77070000000001</v>
      </c>
      <c r="O172" t="s">
        <v>156</v>
      </c>
      <c r="P172" t="s">
        <v>157</v>
      </c>
    </row>
    <row r="173" spans="1:16">
      <c r="A173">
        <v>55</v>
      </c>
      <c r="B173">
        <v>0</v>
      </c>
      <c r="C173">
        <v>0</v>
      </c>
      <c r="D173">
        <v>54.99</v>
      </c>
      <c r="E173">
        <v>1.9E-2</v>
      </c>
      <c r="F173">
        <v>0</v>
      </c>
      <c r="G173">
        <v>0</v>
      </c>
      <c r="H173">
        <v>48.52</v>
      </c>
      <c r="I173">
        <v>0</v>
      </c>
      <c r="J173">
        <v>1.29E-2</v>
      </c>
      <c r="K173">
        <v>0</v>
      </c>
      <c r="L173">
        <v>1.09E-2</v>
      </c>
      <c r="M173">
        <v>0.16009999999999999</v>
      </c>
      <c r="N173">
        <v>103.7129</v>
      </c>
      <c r="O173" t="s">
        <v>158</v>
      </c>
      <c r="P173" t="s">
        <v>157</v>
      </c>
    </row>
    <row r="174" spans="1:16">
      <c r="A174">
        <v>65</v>
      </c>
      <c r="B174">
        <v>0</v>
      </c>
      <c r="C174">
        <v>0</v>
      </c>
      <c r="D174">
        <v>54.9</v>
      </c>
      <c r="E174">
        <v>1.12E-2</v>
      </c>
      <c r="F174">
        <v>0</v>
      </c>
      <c r="G174">
        <v>0</v>
      </c>
      <c r="H174">
        <v>48.4</v>
      </c>
      <c r="I174">
        <v>0</v>
      </c>
      <c r="J174">
        <v>1.9599999999999999E-2</v>
      </c>
      <c r="K174">
        <v>0</v>
      </c>
      <c r="L174">
        <v>0</v>
      </c>
      <c r="M174">
        <v>0.17599999999999999</v>
      </c>
      <c r="N174">
        <v>103.5068</v>
      </c>
      <c r="O174" t="s">
        <v>158</v>
      </c>
      <c r="P174" t="s">
        <v>157</v>
      </c>
    </row>
    <row r="175" spans="1:16">
      <c r="A175">
        <v>54</v>
      </c>
      <c r="B175">
        <v>2.8E-3</v>
      </c>
      <c r="C175">
        <v>0</v>
      </c>
      <c r="D175">
        <v>55.01</v>
      </c>
      <c r="E175">
        <v>2.0400000000000001E-2</v>
      </c>
      <c r="F175">
        <v>0</v>
      </c>
      <c r="G175">
        <v>0</v>
      </c>
      <c r="H175">
        <v>48.21</v>
      </c>
      <c r="I175">
        <v>0</v>
      </c>
      <c r="J175">
        <v>2.5600000000000001E-2</v>
      </c>
      <c r="K175">
        <v>0</v>
      </c>
      <c r="L175">
        <v>0</v>
      </c>
      <c r="M175">
        <v>0.18</v>
      </c>
      <c r="N175">
        <v>103.4487</v>
      </c>
      <c r="O175" t="s">
        <v>158</v>
      </c>
      <c r="P175" t="s">
        <v>157</v>
      </c>
    </row>
    <row r="176" spans="1:16">
      <c r="A176">
        <v>69</v>
      </c>
      <c r="B176">
        <v>5.0000000000000001E-3</v>
      </c>
      <c r="C176">
        <v>0</v>
      </c>
      <c r="D176">
        <v>55.22</v>
      </c>
      <c r="E176">
        <v>1.8100000000000002E-2</v>
      </c>
      <c r="F176">
        <v>0</v>
      </c>
      <c r="G176">
        <v>0</v>
      </c>
      <c r="H176">
        <v>47.98</v>
      </c>
      <c r="I176">
        <v>8.9999999999999998E-4</v>
      </c>
      <c r="J176">
        <v>1.4800000000000001E-2</v>
      </c>
      <c r="K176">
        <v>0</v>
      </c>
      <c r="L176">
        <v>0</v>
      </c>
      <c r="M176">
        <v>0.17649999999999999</v>
      </c>
      <c r="N176">
        <v>103.4152</v>
      </c>
      <c r="O176" t="s">
        <v>158</v>
      </c>
      <c r="P176" t="s">
        <v>157</v>
      </c>
    </row>
    <row r="177" spans="1:16">
      <c r="A177">
        <v>53</v>
      </c>
      <c r="B177">
        <v>0</v>
      </c>
      <c r="C177">
        <v>0</v>
      </c>
      <c r="D177">
        <v>55.11</v>
      </c>
      <c r="E177">
        <v>5.7000000000000002E-3</v>
      </c>
      <c r="F177">
        <v>5.1999999999999998E-3</v>
      </c>
      <c r="G177">
        <v>0</v>
      </c>
      <c r="H177">
        <v>47.92</v>
      </c>
      <c r="I177">
        <v>1E-4</v>
      </c>
      <c r="J177">
        <v>3.0999999999999999E-3</v>
      </c>
      <c r="K177">
        <v>0</v>
      </c>
      <c r="L177">
        <v>0</v>
      </c>
      <c r="M177">
        <v>0.1681</v>
      </c>
      <c r="N177">
        <v>103.21210000000001</v>
      </c>
      <c r="O177" t="s">
        <v>158</v>
      </c>
      <c r="P177" t="s">
        <v>157</v>
      </c>
    </row>
    <row r="178" spans="1:16">
      <c r="A178">
        <v>64</v>
      </c>
      <c r="B178">
        <v>1.6799999999999999E-2</v>
      </c>
      <c r="C178">
        <v>0</v>
      </c>
      <c r="D178">
        <v>54.95</v>
      </c>
      <c r="E178">
        <v>3.8800000000000001E-2</v>
      </c>
      <c r="F178">
        <v>1.5E-3</v>
      </c>
      <c r="G178">
        <v>0</v>
      </c>
      <c r="H178">
        <v>47.23</v>
      </c>
      <c r="I178">
        <v>0</v>
      </c>
      <c r="J178">
        <v>3.5000000000000003E-2</v>
      </c>
      <c r="K178">
        <v>0</v>
      </c>
      <c r="L178">
        <v>0</v>
      </c>
      <c r="M178">
        <v>0.2016</v>
      </c>
      <c r="N178">
        <v>102.4736</v>
      </c>
      <c r="O178" t="s">
        <v>158</v>
      </c>
      <c r="P178" t="s">
        <v>157</v>
      </c>
    </row>
    <row r="179" spans="1:16">
      <c r="A179">
        <v>144</v>
      </c>
      <c r="B179">
        <v>1.9300000000000001E-2</v>
      </c>
      <c r="C179">
        <v>0</v>
      </c>
      <c r="D179">
        <v>54.25</v>
      </c>
      <c r="E179">
        <v>6.3E-3</v>
      </c>
      <c r="F179">
        <v>0</v>
      </c>
      <c r="G179">
        <v>0</v>
      </c>
      <c r="H179">
        <v>48.5</v>
      </c>
      <c r="I179">
        <v>0</v>
      </c>
      <c r="J179">
        <v>0</v>
      </c>
      <c r="K179">
        <v>0</v>
      </c>
      <c r="L179">
        <v>4.1999999999999997E-3</v>
      </c>
      <c r="M179">
        <v>0.16489999999999999</v>
      </c>
      <c r="N179">
        <v>102.9447</v>
      </c>
      <c r="O179" t="s">
        <v>159</v>
      </c>
      <c r="P179" t="s">
        <v>38</v>
      </c>
    </row>
    <row r="180" spans="1:16">
      <c r="A180">
        <v>153</v>
      </c>
      <c r="B180">
        <v>0.1855</v>
      </c>
      <c r="C180">
        <v>0</v>
      </c>
      <c r="D180">
        <v>54.6</v>
      </c>
      <c r="E180">
        <v>1.24E-2</v>
      </c>
      <c r="F180">
        <v>0</v>
      </c>
      <c r="G180">
        <v>0</v>
      </c>
      <c r="H180">
        <v>48.97</v>
      </c>
      <c r="I180">
        <v>0</v>
      </c>
      <c r="J180">
        <v>2.8E-3</v>
      </c>
      <c r="K180">
        <v>0</v>
      </c>
      <c r="L180">
        <v>0</v>
      </c>
      <c r="M180">
        <v>0.19020000000000001</v>
      </c>
      <c r="N180">
        <v>103.96080000000001</v>
      </c>
      <c r="O180" t="s">
        <v>160</v>
      </c>
      <c r="P180" t="s">
        <v>38</v>
      </c>
    </row>
    <row r="181" spans="1:16">
      <c r="A181">
        <v>163</v>
      </c>
      <c r="B181">
        <v>0.57789999999999997</v>
      </c>
      <c r="C181">
        <v>0</v>
      </c>
      <c r="D181">
        <v>54.18</v>
      </c>
      <c r="E181">
        <v>3.5999999999999999E-3</v>
      </c>
      <c r="F181">
        <v>0</v>
      </c>
      <c r="G181">
        <v>0</v>
      </c>
      <c r="H181">
        <v>48.82</v>
      </c>
      <c r="I181">
        <v>0</v>
      </c>
      <c r="J181">
        <v>0</v>
      </c>
      <c r="K181">
        <v>0</v>
      </c>
      <c r="L181">
        <v>0</v>
      </c>
      <c r="M181">
        <v>0.17829999999999999</v>
      </c>
      <c r="N181">
        <v>103.7597</v>
      </c>
      <c r="O181" t="s">
        <v>160</v>
      </c>
      <c r="P181" t="s">
        <v>38</v>
      </c>
    </row>
    <row r="182" spans="1:16">
      <c r="A182">
        <v>164</v>
      </c>
      <c r="B182">
        <v>0.53129999999999999</v>
      </c>
      <c r="C182">
        <v>0</v>
      </c>
      <c r="D182">
        <v>53.98</v>
      </c>
      <c r="E182">
        <v>8.3999999999999995E-3</v>
      </c>
      <c r="F182">
        <v>0</v>
      </c>
      <c r="G182">
        <v>0</v>
      </c>
      <c r="H182">
        <v>48.76</v>
      </c>
      <c r="I182">
        <v>0</v>
      </c>
      <c r="J182">
        <v>2.3999999999999998E-3</v>
      </c>
      <c r="K182">
        <v>0</v>
      </c>
      <c r="L182">
        <v>4.8999999999999998E-3</v>
      </c>
      <c r="M182">
        <v>0.1948</v>
      </c>
      <c r="N182">
        <v>103.4817</v>
      </c>
      <c r="O182" t="s">
        <v>160</v>
      </c>
      <c r="P182" t="s">
        <v>38</v>
      </c>
    </row>
    <row r="183" spans="1:16">
      <c r="A183">
        <v>152</v>
      </c>
      <c r="B183">
        <v>0.55220000000000002</v>
      </c>
      <c r="C183">
        <v>0</v>
      </c>
      <c r="D183">
        <v>54.13</v>
      </c>
      <c r="E183">
        <v>1.21E-2</v>
      </c>
      <c r="F183">
        <v>8.8000000000000005E-3</v>
      </c>
      <c r="G183">
        <v>0</v>
      </c>
      <c r="H183">
        <v>48.74</v>
      </c>
      <c r="I183">
        <v>0</v>
      </c>
      <c r="J183">
        <v>1.1299999999999999E-2</v>
      </c>
      <c r="K183">
        <v>0</v>
      </c>
      <c r="L183">
        <v>0</v>
      </c>
      <c r="M183">
        <v>0.1711</v>
      </c>
      <c r="N183">
        <v>103.6254</v>
      </c>
      <c r="O183" t="s">
        <v>160</v>
      </c>
      <c r="P183" t="s">
        <v>38</v>
      </c>
    </row>
    <row r="184" spans="1:16">
      <c r="A184">
        <v>154</v>
      </c>
      <c r="B184">
        <v>6.7400000000000002E-2</v>
      </c>
      <c r="C184">
        <v>0</v>
      </c>
      <c r="D184">
        <v>54.31</v>
      </c>
      <c r="E184">
        <v>1.6E-2</v>
      </c>
      <c r="F184">
        <v>0</v>
      </c>
      <c r="G184">
        <v>0</v>
      </c>
      <c r="H184">
        <v>48.68</v>
      </c>
      <c r="I184">
        <v>2.3800000000000002E-2</v>
      </c>
      <c r="J184">
        <v>3.3599999999999998E-2</v>
      </c>
      <c r="K184">
        <v>0</v>
      </c>
      <c r="L184">
        <v>0.1191</v>
      </c>
      <c r="M184">
        <v>0.22159999999999999</v>
      </c>
      <c r="N184">
        <v>103.47150000000001</v>
      </c>
      <c r="O184" t="s">
        <v>160</v>
      </c>
      <c r="P184" t="s">
        <v>38</v>
      </c>
    </row>
    <row r="185" spans="1:16">
      <c r="A185">
        <v>165</v>
      </c>
      <c r="B185">
        <v>1.07</v>
      </c>
      <c r="C185">
        <v>0</v>
      </c>
      <c r="D185">
        <v>53.79</v>
      </c>
      <c r="E185">
        <v>1.37E-2</v>
      </c>
      <c r="F185">
        <v>3.2000000000000002E-3</v>
      </c>
      <c r="G185">
        <v>0</v>
      </c>
      <c r="H185">
        <v>48.51</v>
      </c>
      <c r="I185">
        <v>0</v>
      </c>
      <c r="J185">
        <v>5.7999999999999996E-3</v>
      </c>
      <c r="K185">
        <v>0</v>
      </c>
      <c r="L185">
        <v>0</v>
      </c>
      <c r="M185">
        <v>0.1691</v>
      </c>
      <c r="N185">
        <v>103.5617</v>
      </c>
      <c r="O185" t="s">
        <v>160</v>
      </c>
      <c r="P185" t="s">
        <v>38</v>
      </c>
    </row>
    <row r="186" spans="1:16">
      <c r="A186">
        <v>202</v>
      </c>
      <c r="B186">
        <v>0.1221</v>
      </c>
      <c r="C186">
        <v>0</v>
      </c>
      <c r="D186">
        <v>54.51</v>
      </c>
      <c r="E186">
        <v>2.2499999999999999E-2</v>
      </c>
      <c r="F186">
        <v>0</v>
      </c>
      <c r="G186">
        <v>0</v>
      </c>
      <c r="H186">
        <v>48.24</v>
      </c>
      <c r="I186">
        <v>0</v>
      </c>
      <c r="J186">
        <v>2.8999999999999998E-3</v>
      </c>
      <c r="K186">
        <v>0</v>
      </c>
      <c r="L186">
        <v>2.1600000000000001E-2</v>
      </c>
      <c r="M186">
        <v>0.182</v>
      </c>
      <c r="N186">
        <v>103.101</v>
      </c>
      <c r="O186" t="s">
        <v>160</v>
      </c>
      <c r="P186" t="s">
        <v>38</v>
      </c>
    </row>
    <row r="187" spans="1:16">
      <c r="A187">
        <v>203</v>
      </c>
      <c r="B187">
        <v>0.87649999999999995</v>
      </c>
      <c r="C187">
        <v>0</v>
      </c>
      <c r="D187">
        <v>54.01</v>
      </c>
      <c r="E187">
        <v>2.3900000000000001E-2</v>
      </c>
      <c r="F187">
        <v>0</v>
      </c>
      <c r="G187">
        <v>0</v>
      </c>
      <c r="H187">
        <v>48.06</v>
      </c>
      <c r="I187">
        <v>0</v>
      </c>
      <c r="J187">
        <v>5.3E-3</v>
      </c>
      <c r="K187">
        <v>0</v>
      </c>
      <c r="L187">
        <v>6.7000000000000002E-3</v>
      </c>
      <c r="M187">
        <v>0.1799</v>
      </c>
      <c r="N187">
        <v>103.1622</v>
      </c>
      <c r="O187" t="s">
        <v>160</v>
      </c>
      <c r="P187" t="s">
        <v>38</v>
      </c>
    </row>
    <row r="188" spans="1:16">
      <c r="A188">
        <v>195</v>
      </c>
      <c r="B188">
        <v>0.1077</v>
      </c>
      <c r="C188">
        <v>0</v>
      </c>
      <c r="D188">
        <v>54.1</v>
      </c>
      <c r="E188">
        <v>1.49E-2</v>
      </c>
      <c r="F188">
        <v>0</v>
      </c>
      <c r="G188">
        <v>0</v>
      </c>
      <c r="H188">
        <v>47.69</v>
      </c>
      <c r="I188">
        <v>4.7999999999999996E-3</v>
      </c>
      <c r="J188">
        <v>1.2800000000000001E-2</v>
      </c>
      <c r="K188">
        <v>0</v>
      </c>
      <c r="L188">
        <v>2.5999999999999999E-3</v>
      </c>
      <c r="M188">
        <v>0.15359999999999999</v>
      </c>
      <c r="N188">
        <v>102.08629999999999</v>
      </c>
      <c r="O188" t="s">
        <v>161</v>
      </c>
      <c r="P188" t="s">
        <v>38</v>
      </c>
    </row>
    <row r="189" spans="1:16">
      <c r="A189">
        <v>192</v>
      </c>
      <c r="B189">
        <v>3.1399999999999997E-2</v>
      </c>
      <c r="C189">
        <v>0</v>
      </c>
      <c r="D189">
        <v>54.18</v>
      </c>
      <c r="E189">
        <v>1.09E-2</v>
      </c>
      <c r="F189">
        <v>0</v>
      </c>
      <c r="G189">
        <v>0</v>
      </c>
      <c r="H189">
        <v>47.64</v>
      </c>
      <c r="I189">
        <v>5.4999999999999997E-3</v>
      </c>
      <c r="J189">
        <v>0.1037</v>
      </c>
      <c r="K189">
        <v>0</v>
      </c>
      <c r="L189">
        <v>9.9000000000000008E-3</v>
      </c>
      <c r="M189">
        <v>0.16370000000000001</v>
      </c>
      <c r="N189">
        <v>102.145</v>
      </c>
      <c r="O189" t="s">
        <v>161</v>
      </c>
      <c r="P189" t="s">
        <v>38</v>
      </c>
    </row>
    <row r="190" spans="1:16">
      <c r="A190">
        <v>190</v>
      </c>
      <c r="B190">
        <v>5.5500000000000001E-2</v>
      </c>
      <c r="C190">
        <v>0</v>
      </c>
      <c r="D190">
        <v>54.02</v>
      </c>
      <c r="E190">
        <v>1.54E-2</v>
      </c>
      <c r="F190">
        <v>0</v>
      </c>
      <c r="G190">
        <v>0</v>
      </c>
      <c r="H190">
        <v>47.1</v>
      </c>
      <c r="I190">
        <v>7.4399999999999994E-2</v>
      </c>
      <c r="J190">
        <v>7.6799999999999993E-2</v>
      </c>
      <c r="K190">
        <v>0</v>
      </c>
      <c r="L190">
        <v>0</v>
      </c>
      <c r="M190">
        <v>0.1648</v>
      </c>
      <c r="N190">
        <v>101.5069</v>
      </c>
      <c r="O190" t="s">
        <v>161</v>
      </c>
      <c r="P190" t="s">
        <v>38</v>
      </c>
    </row>
    <row r="191" spans="1:16">
      <c r="A191">
        <v>41</v>
      </c>
      <c r="B191">
        <v>1.34</v>
      </c>
      <c r="C191">
        <v>0</v>
      </c>
      <c r="D191">
        <v>53.34</v>
      </c>
      <c r="E191">
        <v>1.1599999999999999E-2</v>
      </c>
      <c r="F191">
        <v>0</v>
      </c>
      <c r="G191">
        <v>0</v>
      </c>
      <c r="H191">
        <v>52.26</v>
      </c>
      <c r="I191">
        <v>3.7000000000000002E-3</v>
      </c>
      <c r="J191">
        <v>1.7600000000000001E-2</v>
      </c>
      <c r="K191">
        <v>0</v>
      </c>
      <c r="L191">
        <v>6.1800000000000001E-2</v>
      </c>
      <c r="M191">
        <v>0.18340000000000001</v>
      </c>
      <c r="N191">
        <v>107.218</v>
      </c>
      <c r="O191" t="s">
        <v>162</v>
      </c>
      <c r="P191" t="s">
        <v>33</v>
      </c>
    </row>
    <row r="192" spans="1:16">
      <c r="A192">
        <v>34</v>
      </c>
      <c r="B192">
        <v>2.4799999999999999E-2</v>
      </c>
      <c r="C192">
        <v>0</v>
      </c>
      <c r="D192">
        <v>54.34</v>
      </c>
      <c r="E192">
        <v>0</v>
      </c>
      <c r="F192">
        <v>0</v>
      </c>
      <c r="G192">
        <v>0</v>
      </c>
      <c r="H192">
        <v>50.54</v>
      </c>
      <c r="I192">
        <v>1.4E-3</v>
      </c>
      <c r="J192">
        <v>4.5699999999999998E-2</v>
      </c>
      <c r="K192">
        <v>0</v>
      </c>
      <c r="L192">
        <v>1.6999999999999999E-3</v>
      </c>
      <c r="M192">
        <v>0.16600000000000001</v>
      </c>
      <c r="N192">
        <v>105.11960000000001</v>
      </c>
      <c r="O192" t="s">
        <v>162</v>
      </c>
      <c r="P192" t="s">
        <v>33</v>
      </c>
    </row>
    <row r="193" spans="1:16">
      <c r="A193">
        <v>40</v>
      </c>
      <c r="B193">
        <v>1.11E-2</v>
      </c>
      <c r="C193">
        <v>0</v>
      </c>
      <c r="D193">
        <v>54.3</v>
      </c>
      <c r="E193">
        <v>8.2000000000000007E-3</v>
      </c>
      <c r="F193">
        <v>0</v>
      </c>
      <c r="G193">
        <v>0</v>
      </c>
      <c r="H193">
        <v>52.67</v>
      </c>
      <c r="I193">
        <v>0</v>
      </c>
      <c r="J193">
        <v>4.1000000000000003E-3</v>
      </c>
      <c r="K193">
        <v>0</v>
      </c>
      <c r="L193">
        <v>0</v>
      </c>
      <c r="M193">
        <v>0.17960000000000001</v>
      </c>
      <c r="N193">
        <v>107.173</v>
      </c>
      <c r="O193" t="s">
        <v>162</v>
      </c>
      <c r="P193" t="s">
        <v>33</v>
      </c>
    </row>
    <row r="194" spans="1:16">
      <c r="A194">
        <v>52</v>
      </c>
      <c r="B194">
        <v>0.68879999999999997</v>
      </c>
      <c r="C194">
        <v>0</v>
      </c>
      <c r="D194">
        <v>53.36</v>
      </c>
      <c r="E194">
        <v>1.4999999999999999E-2</v>
      </c>
      <c r="F194">
        <v>0</v>
      </c>
      <c r="G194">
        <v>0</v>
      </c>
      <c r="H194">
        <v>52.17</v>
      </c>
      <c r="I194">
        <v>0</v>
      </c>
      <c r="J194">
        <v>0.1164</v>
      </c>
      <c r="K194">
        <v>0</v>
      </c>
      <c r="L194">
        <v>5.1000000000000004E-3</v>
      </c>
      <c r="M194">
        <v>0.17280000000000001</v>
      </c>
      <c r="N194">
        <v>106.52800000000001</v>
      </c>
      <c r="O194" t="s">
        <v>163</v>
      </c>
      <c r="P194" t="s">
        <v>33</v>
      </c>
    </row>
    <row r="195" spans="1:16">
      <c r="A195">
        <v>48</v>
      </c>
      <c r="B195">
        <v>0.2472</v>
      </c>
      <c r="C195">
        <v>0</v>
      </c>
      <c r="D195">
        <v>54.53</v>
      </c>
      <c r="E195">
        <v>1.1000000000000001E-3</v>
      </c>
      <c r="F195">
        <v>6.9999999999999999E-4</v>
      </c>
      <c r="G195">
        <v>0</v>
      </c>
      <c r="H195">
        <v>48.79</v>
      </c>
      <c r="I195">
        <v>0</v>
      </c>
      <c r="J195">
        <v>2.0500000000000001E-2</v>
      </c>
      <c r="K195">
        <v>0</v>
      </c>
      <c r="L195">
        <v>2.5700000000000001E-2</v>
      </c>
      <c r="M195">
        <v>0.17530000000000001</v>
      </c>
      <c r="N195">
        <v>103.79049999999999</v>
      </c>
      <c r="O195" t="s">
        <v>164</v>
      </c>
      <c r="P195" t="s">
        <v>36</v>
      </c>
    </row>
    <row r="196" spans="1:16">
      <c r="A196">
        <v>47</v>
      </c>
      <c r="B196">
        <v>0.66110000000000002</v>
      </c>
      <c r="C196">
        <v>0</v>
      </c>
      <c r="D196">
        <v>54.26</v>
      </c>
      <c r="E196">
        <v>1.5100000000000001E-2</v>
      </c>
      <c r="F196">
        <v>0</v>
      </c>
      <c r="G196">
        <v>0</v>
      </c>
      <c r="H196">
        <v>48.58</v>
      </c>
      <c r="I196">
        <v>0</v>
      </c>
      <c r="J196">
        <v>3.49E-2</v>
      </c>
      <c r="K196">
        <v>0</v>
      </c>
      <c r="L196">
        <v>0</v>
      </c>
      <c r="M196">
        <v>0.18509999999999999</v>
      </c>
      <c r="N196">
        <v>103.73609999999999</v>
      </c>
      <c r="O196" t="s">
        <v>164</v>
      </c>
      <c r="P196" t="s">
        <v>36</v>
      </c>
    </row>
    <row r="197" spans="1:16">
      <c r="A197">
        <v>49</v>
      </c>
      <c r="B197">
        <v>3.7900000000000003E-2</v>
      </c>
      <c r="C197">
        <v>0</v>
      </c>
      <c r="D197">
        <v>53.87</v>
      </c>
      <c r="E197">
        <v>2.0999999999999999E-3</v>
      </c>
      <c r="F197">
        <v>0</v>
      </c>
      <c r="G197">
        <v>0</v>
      </c>
      <c r="H197">
        <v>48.34</v>
      </c>
      <c r="I197">
        <v>0</v>
      </c>
      <c r="J197">
        <v>0.4032</v>
      </c>
      <c r="K197">
        <v>0</v>
      </c>
      <c r="L197">
        <v>5.1700000000000003E-2</v>
      </c>
      <c r="M197">
        <v>0.2014</v>
      </c>
      <c r="N197">
        <v>102.9062</v>
      </c>
      <c r="O197" t="s">
        <v>164</v>
      </c>
      <c r="P197" t="s">
        <v>36</v>
      </c>
    </row>
    <row r="198" spans="1:16">
      <c r="A198">
        <v>46</v>
      </c>
      <c r="B198">
        <v>0.11700000000000001</v>
      </c>
      <c r="C198">
        <v>0</v>
      </c>
      <c r="D198">
        <v>54.66</v>
      </c>
      <c r="E198">
        <v>1.46E-2</v>
      </c>
      <c r="F198">
        <v>0</v>
      </c>
      <c r="G198">
        <v>0</v>
      </c>
      <c r="H198">
        <v>48.19</v>
      </c>
      <c r="I198">
        <v>5.0000000000000001E-4</v>
      </c>
      <c r="J198">
        <v>2.63E-2</v>
      </c>
      <c r="K198">
        <v>0</v>
      </c>
      <c r="L198">
        <v>0</v>
      </c>
      <c r="M198">
        <v>0.1721</v>
      </c>
      <c r="N198">
        <v>103.18040000000001</v>
      </c>
      <c r="O198" t="s">
        <v>164</v>
      </c>
      <c r="P198" t="s">
        <v>36</v>
      </c>
    </row>
    <row r="199" spans="1:16">
      <c r="A199">
        <v>41</v>
      </c>
      <c r="B199">
        <v>1.56</v>
      </c>
      <c r="C199">
        <v>0</v>
      </c>
      <c r="D199">
        <v>53.56</v>
      </c>
      <c r="E199">
        <v>4.4000000000000003E-3</v>
      </c>
      <c r="F199">
        <v>0</v>
      </c>
      <c r="G199">
        <v>0</v>
      </c>
      <c r="H199">
        <v>50.05</v>
      </c>
      <c r="I199">
        <v>0</v>
      </c>
      <c r="J199">
        <v>1.1999999999999999E-3</v>
      </c>
      <c r="K199">
        <v>0</v>
      </c>
      <c r="L199">
        <v>1.6199999999999999E-2</v>
      </c>
      <c r="M199">
        <v>0.23119999999999999</v>
      </c>
      <c r="N199">
        <v>105.4229</v>
      </c>
      <c r="O199" t="s">
        <v>165</v>
      </c>
      <c r="P199" t="s">
        <v>166</v>
      </c>
    </row>
    <row r="200" spans="1:16">
      <c r="A200">
        <v>85</v>
      </c>
      <c r="B200">
        <v>0</v>
      </c>
      <c r="C200">
        <v>0</v>
      </c>
      <c r="D200">
        <v>54.4</v>
      </c>
      <c r="E200">
        <v>2.3099999999999999E-2</v>
      </c>
      <c r="F200">
        <v>6.1000000000000004E-3</v>
      </c>
      <c r="G200">
        <v>0</v>
      </c>
      <c r="H200">
        <v>48.13</v>
      </c>
      <c r="I200">
        <v>0</v>
      </c>
      <c r="J200">
        <v>0</v>
      </c>
      <c r="K200">
        <v>0</v>
      </c>
      <c r="L200">
        <v>0</v>
      </c>
      <c r="M200">
        <v>0.1719</v>
      </c>
      <c r="N200">
        <v>102.73099999999999</v>
      </c>
      <c r="O200" t="s">
        <v>167</v>
      </c>
      <c r="P200" t="s">
        <v>60</v>
      </c>
    </row>
    <row r="201" spans="1:16">
      <c r="A201">
        <v>84</v>
      </c>
      <c r="B201">
        <v>0</v>
      </c>
      <c r="C201">
        <v>0</v>
      </c>
      <c r="D201">
        <v>54.81</v>
      </c>
      <c r="E201">
        <v>2.5100000000000001E-2</v>
      </c>
      <c r="F201">
        <v>8.3999999999999995E-3</v>
      </c>
      <c r="G201">
        <v>0</v>
      </c>
      <c r="H201">
        <v>48.12</v>
      </c>
      <c r="I201">
        <v>0</v>
      </c>
      <c r="J201">
        <v>1.6799999999999999E-2</v>
      </c>
      <c r="K201">
        <v>0</v>
      </c>
      <c r="L201">
        <v>1.7600000000000001E-2</v>
      </c>
      <c r="M201">
        <v>0.16980000000000001</v>
      </c>
      <c r="N201">
        <v>103.16759999999999</v>
      </c>
      <c r="O201" t="s">
        <v>167</v>
      </c>
      <c r="P201" t="s">
        <v>60</v>
      </c>
    </row>
    <row r="202" spans="1:16">
      <c r="A202">
        <v>83</v>
      </c>
      <c r="B202">
        <v>0</v>
      </c>
      <c r="C202">
        <v>0</v>
      </c>
      <c r="D202">
        <v>53.73</v>
      </c>
      <c r="E202">
        <v>8.8000000000000005E-3</v>
      </c>
      <c r="F202">
        <v>1.54E-2</v>
      </c>
      <c r="G202">
        <v>0</v>
      </c>
      <c r="H202">
        <v>47.7</v>
      </c>
      <c r="I202">
        <v>0</v>
      </c>
      <c r="J202">
        <v>2.4799999999999999E-2</v>
      </c>
      <c r="K202">
        <v>0</v>
      </c>
      <c r="L202">
        <v>2.1299999999999999E-2</v>
      </c>
      <c r="M202">
        <v>0.18260000000000001</v>
      </c>
      <c r="N202">
        <v>101.6829</v>
      </c>
      <c r="O202" t="s">
        <v>167</v>
      </c>
      <c r="P202" t="s">
        <v>60</v>
      </c>
    </row>
    <row r="203" spans="1:16">
      <c r="A203">
        <v>33</v>
      </c>
      <c r="B203">
        <v>5.1000000000000004E-3</v>
      </c>
      <c r="C203">
        <v>0</v>
      </c>
      <c r="D203">
        <v>53.69</v>
      </c>
      <c r="E203">
        <v>1.5100000000000001E-2</v>
      </c>
      <c r="F203">
        <v>0</v>
      </c>
      <c r="G203">
        <v>0</v>
      </c>
      <c r="H203">
        <v>48.14</v>
      </c>
      <c r="I203">
        <v>0</v>
      </c>
      <c r="J203">
        <v>1.9E-2</v>
      </c>
      <c r="K203">
        <v>0</v>
      </c>
      <c r="L203">
        <v>3.3999999999999998E-3</v>
      </c>
      <c r="M203">
        <v>0.1638</v>
      </c>
      <c r="N203">
        <v>102.0363</v>
      </c>
      <c r="O203" t="s">
        <v>168</v>
      </c>
      <c r="P203" t="s">
        <v>60</v>
      </c>
    </row>
    <row r="204" spans="1:16">
      <c r="A204">
        <v>34</v>
      </c>
      <c r="B204">
        <v>5.4000000000000003E-3</v>
      </c>
      <c r="C204">
        <v>0</v>
      </c>
      <c r="D204">
        <v>53.94</v>
      </c>
      <c r="E204">
        <v>1.6E-2</v>
      </c>
      <c r="F204">
        <v>3.5999999999999999E-3</v>
      </c>
      <c r="G204">
        <v>0</v>
      </c>
      <c r="H204">
        <v>47.9</v>
      </c>
      <c r="I204">
        <v>0</v>
      </c>
      <c r="J204">
        <v>0</v>
      </c>
      <c r="K204">
        <v>0</v>
      </c>
      <c r="L204">
        <v>0</v>
      </c>
      <c r="M204">
        <v>0.20430000000000001</v>
      </c>
      <c r="N204">
        <v>102.0693</v>
      </c>
      <c r="O204" t="s">
        <v>168</v>
      </c>
      <c r="P204" t="s">
        <v>60</v>
      </c>
    </row>
    <row r="205" spans="1:16">
      <c r="A205">
        <v>62</v>
      </c>
      <c r="B205">
        <v>2.4199999999999999E-2</v>
      </c>
      <c r="C205">
        <v>0</v>
      </c>
      <c r="D205">
        <v>54.96</v>
      </c>
      <c r="E205">
        <v>4.0000000000000001E-3</v>
      </c>
      <c r="F205">
        <v>6.4999999999999997E-3</v>
      </c>
      <c r="G205">
        <v>0</v>
      </c>
      <c r="H205">
        <v>48.11</v>
      </c>
      <c r="I205">
        <v>0</v>
      </c>
      <c r="J205">
        <v>0</v>
      </c>
      <c r="K205">
        <v>0</v>
      </c>
      <c r="L205">
        <v>1.6799999999999999E-2</v>
      </c>
      <c r="M205">
        <v>0.21010000000000001</v>
      </c>
      <c r="N205">
        <v>103.33159999999999</v>
      </c>
      <c r="O205" t="s">
        <v>169</v>
      </c>
      <c r="P205" t="s">
        <v>81</v>
      </c>
    </row>
    <row r="206" spans="1:16">
      <c r="A206">
        <v>64</v>
      </c>
      <c r="B206">
        <v>0.1152</v>
      </c>
      <c r="C206">
        <v>0</v>
      </c>
      <c r="D206">
        <v>54.83</v>
      </c>
      <c r="E206">
        <v>1.47E-2</v>
      </c>
      <c r="F206">
        <v>0</v>
      </c>
      <c r="G206">
        <v>0</v>
      </c>
      <c r="H206">
        <v>48.07</v>
      </c>
      <c r="I206">
        <v>0</v>
      </c>
      <c r="J206">
        <v>1.46E-2</v>
      </c>
      <c r="K206">
        <v>0</v>
      </c>
      <c r="L206">
        <v>0</v>
      </c>
      <c r="M206">
        <v>0.1681</v>
      </c>
      <c r="N206">
        <v>103.21259999999999</v>
      </c>
      <c r="O206" t="s">
        <v>169</v>
      </c>
      <c r="P206" t="s">
        <v>81</v>
      </c>
    </row>
    <row r="207" spans="1:16">
      <c r="A207">
        <v>84</v>
      </c>
      <c r="B207">
        <v>1.18E-2</v>
      </c>
      <c r="C207">
        <v>0</v>
      </c>
      <c r="D207">
        <v>54.97</v>
      </c>
      <c r="E207">
        <v>1.83E-2</v>
      </c>
      <c r="F207">
        <v>1.4999999999999999E-2</v>
      </c>
      <c r="G207">
        <v>0</v>
      </c>
      <c r="H207">
        <v>48.05</v>
      </c>
      <c r="I207">
        <v>0</v>
      </c>
      <c r="J207">
        <v>0</v>
      </c>
      <c r="K207">
        <v>0</v>
      </c>
      <c r="L207">
        <v>2.0899999999999998E-2</v>
      </c>
      <c r="M207">
        <v>0.2122</v>
      </c>
      <c r="N207">
        <v>103.29810000000001</v>
      </c>
      <c r="O207" t="s">
        <v>169</v>
      </c>
      <c r="P207" t="s">
        <v>81</v>
      </c>
    </row>
    <row r="208" spans="1:16">
      <c r="A208">
        <v>89</v>
      </c>
      <c r="B208">
        <v>0.15629999999999999</v>
      </c>
      <c r="C208">
        <v>0</v>
      </c>
      <c r="D208">
        <v>54.73</v>
      </c>
      <c r="E208">
        <v>1.5900000000000001E-2</v>
      </c>
      <c r="F208">
        <v>0</v>
      </c>
      <c r="G208">
        <v>0</v>
      </c>
      <c r="H208">
        <v>47.94</v>
      </c>
      <c r="I208">
        <v>0</v>
      </c>
      <c r="J208">
        <v>0</v>
      </c>
      <c r="K208">
        <v>0</v>
      </c>
      <c r="L208">
        <v>9.4999999999999998E-3</v>
      </c>
      <c r="M208">
        <v>0.2336</v>
      </c>
      <c r="N208">
        <v>103.0852</v>
      </c>
      <c r="O208" t="s">
        <v>169</v>
      </c>
      <c r="P208" t="s">
        <v>81</v>
      </c>
    </row>
    <row r="209" spans="1:16">
      <c r="A209">
        <v>55</v>
      </c>
      <c r="B209">
        <v>0.20369999999999999</v>
      </c>
      <c r="C209">
        <v>0</v>
      </c>
      <c r="D209">
        <v>54.82</v>
      </c>
      <c r="E209">
        <v>1.8100000000000002E-2</v>
      </c>
      <c r="F209">
        <v>8.2000000000000007E-3</v>
      </c>
      <c r="G209">
        <v>0</v>
      </c>
      <c r="H209">
        <v>47.94</v>
      </c>
      <c r="I209">
        <v>0</v>
      </c>
      <c r="J209">
        <v>4.4000000000000003E-3</v>
      </c>
      <c r="K209">
        <v>0</v>
      </c>
      <c r="L209">
        <v>4.7999999999999996E-3</v>
      </c>
      <c r="M209">
        <v>0.18970000000000001</v>
      </c>
      <c r="N209">
        <v>103.1889</v>
      </c>
      <c r="O209" t="s">
        <v>169</v>
      </c>
      <c r="P209" t="s">
        <v>81</v>
      </c>
    </row>
    <row r="210" spans="1:16">
      <c r="A210">
        <v>53</v>
      </c>
      <c r="B210">
        <v>1.1299999999999999</v>
      </c>
      <c r="C210">
        <v>0</v>
      </c>
      <c r="D210">
        <v>54.05</v>
      </c>
      <c r="E210">
        <v>6.1999999999999998E-3</v>
      </c>
      <c r="F210">
        <v>2E-3</v>
      </c>
      <c r="G210">
        <v>0</v>
      </c>
      <c r="H210">
        <v>47.89</v>
      </c>
      <c r="I210">
        <v>0</v>
      </c>
      <c r="J210">
        <v>5.4999999999999997E-3</v>
      </c>
      <c r="K210">
        <v>0</v>
      </c>
      <c r="L210">
        <v>3.3999999999999998E-3</v>
      </c>
      <c r="M210">
        <v>0.19539999999999999</v>
      </c>
      <c r="N210">
        <v>103.2824</v>
      </c>
      <c r="O210" t="s">
        <v>169</v>
      </c>
      <c r="P210" t="s">
        <v>81</v>
      </c>
    </row>
    <row r="211" spans="1:16">
      <c r="A211">
        <v>86</v>
      </c>
      <c r="B211">
        <v>0</v>
      </c>
      <c r="C211">
        <v>0</v>
      </c>
      <c r="D211">
        <v>54.88</v>
      </c>
      <c r="E211">
        <v>2.1000000000000001E-2</v>
      </c>
      <c r="F211">
        <v>0</v>
      </c>
      <c r="G211">
        <v>0</v>
      </c>
      <c r="H211">
        <v>47.88</v>
      </c>
      <c r="I211">
        <v>0</v>
      </c>
      <c r="J211">
        <v>9.2999999999999992E-3</v>
      </c>
      <c r="K211">
        <v>0</v>
      </c>
      <c r="L211">
        <v>0</v>
      </c>
      <c r="M211">
        <v>0.19869999999999999</v>
      </c>
      <c r="N211">
        <v>102.989</v>
      </c>
      <c r="O211" t="s">
        <v>169</v>
      </c>
      <c r="P211" t="s">
        <v>81</v>
      </c>
    </row>
    <row r="212" spans="1:16">
      <c r="A212">
        <v>91</v>
      </c>
      <c r="B212">
        <v>2.5100000000000001E-2</v>
      </c>
      <c r="C212">
        <v>0</v>
      </c>
      <c r="D212">
        <v>54.58</v>
      </c>
      <c r="E212">
        <v>6.6E-3</v>
      </c>
      <c r="F212">
        <v>0</v>
      </c>
      <c r="G212">
        <v>0</v>
      </c>
      <c r="H212">
        <v>47.83</v>
      </c>
      <c r="I212">
        <v>0</v>
      </c>
      <c r="J212">
        <v>0</v>
      </c>
      <c r="K212">
        <v>0</v>
      </c>
      <c r="L212">
        <v>2.1399999999999999E-2</v>
      </c>
      <c r="M212">
        <v>0.38450000000000001</v>
      </c>
      <c r="N212">
        <v>102.8475</v>
      </c>
      <c r="O212" t="s">
        <v>169</v>
      </c>
      <c r="P212" t="s">
        <v>81</v>
      </c>
    </row>
    <row r="213" spans="1:16">
      <c r="A213">
        <v>85</v>
      </c>
      <c r="B213">
        <v>0</v>
      </c>
      <c r="C213">
        <v>0</v>
      </c>
      <c r="D213">
        <v>54.85</v>
      </c>
      <c r="E213">
        <v>1.34E-2</v>
      </c>
      <c r="F213">
        <v>0</v>
      </c>
      <c r="G213">
        <v>0</v>
      </c>
      <c r="H213">
        <v>47.79</v>
      </c>
      <c r="I213">
        <v>0</v>
      </c>
      <c r="J213">
        <v>3.5000000000000001E-3</v>
      </c>
      <c r="K213">
        <v>0</v>
      </c>
      <c r="L213">
        <v>3.8999999999999998E-3</v>
      </c>
      <c r="M213">
        <v>0.43609999999999999</v>
      </c>
      <c r="N213">
        <v>103.0968</v>
      </c>
      <c r="O213" t="s">
        <v>169</v>
      </c>
      <c r="P213" t="s">
        <v>81</v>
      </c>
    </row>
    <row r="214" spans="1:16">
      <c r="A214">
        <v>90</v>
      </c>
      <c r="B214">
        <v>9.8799999999999999E-2</v>
      </c>
      <c r="C214">
        <v>0</v>
      </c>
      <c r="D214">
        <v>54.86</v>
      </c>
      <c r="E214">
        <v>1.9E-3</v>
      </c>
      <c r="F214">
        <v>0</v>
      </c>
      <c r="G214">
        <v>0</v>
      </c>
      <c r="H214">
        <v>47.78</v>
      </c>
      <c r="I214">
        <v>8.9999999999999998E-4</v>
      </c>
      <c r="J214">
        <v>0</v>
      </c>
      <c r="K214">
        <v>0</v>
      </c>
      <c r="L214">
        <v>1.95E-2</v>
      </c>
      <c r="M214">
        <v>0.17449999999999999</v>
      </c>
      <c r="N214">
        <v>102.9355</v>
      </c>
      <c r="O214" t="s">
        <v>169</v>
      </c>
      <c r="P214" t="s">
        <v>81</v>
      </c>
    </row>
    <row r="215" spans="1:16">
      <c r="A215">
        <v>60</v>
      </c>
      <c r="B215">
        <v>0.65990000000000004</v>
      </c>
      <c r="C215">
        <v>0</v>
      </c>
      <c r="D215">
        <v>54.11</v>
      </c>
      <c r="E215">
        <v>2.24E-2</v>
      </c>
      <c r="F215">
        <v>0</v>
      </c>
      <c r="G215">
        <v>0</v>
      </c>
      <c r="H215">
        <v>47.75</v>
      </c>
      <c r="I215">
        <v>0</v>
      </c>
      <c r="J215">
        <v>5.0000000000000001E-4</v>
      </c>
      <c r="K215">
        <v>0</v>
      </c>
      <c r="L215">
        <v>8.8999999999999999E-3</v>
      </c>
      <c r="M215">
        <v>0.19289999999999999</v>
      </c>
      <c r="N215">
        <v>102.74460000000001</v>
      </c>
      <c r="O215" t="s">
        <v>169</v>
      </c>
      <c r="P215" t="s">
        <v>81</v>
      </c>
    </row>
    <row r="216" spans="1:16">
      <c r="A216">
        <v>63</v>
      </c>
      <c r="B216">
        <v>0.62219999999999998</v>
      </c>
      <c r="C216">
        <v>0</v>
      </c>
      <c r="D216">
        <v>54.4</v>
      </c>
      <c r="E216">
        <v>2.47E-2</v>
      </c>
      <c r="F216">
        <v>0</v>
      </c>
      <c r="G216">
        <v>0</v>
      </c>
      <c r="H216">
        <v>47.73</v>
      </c>
      <c r="I216">
        <v>0</v>
      </c>
      <c r="J216">
        <v>0</v>
      </c>
      <c r="K216">
        <v>0</v>
      </c>
      <c r="L216">
        <v>0</v>
      </c>
      <c r="M216">
        <v>0.21410000000000001</v>
      </c>
      <c r="N216">
        <v>102.991</v>
      </c>
      <c r="O216" t="s">
        <v>169</v>
      </c>
      <c r="P216" t="s">
        <v>81</v>
      </c>
    </row>
    <row r="217" spans="1:16">
      <c r="A217">
        <v>58</v>
      </c>
      <c r="B217">
        <v>3.44E-2</v>
      </c>
      <c r="C217">
        <v>0</v>
      </c>
      <c r="D217">
        <v>54.9</v>
      </c>
      <c r="E217">
        <v>1.6E-2</v>
      </c>
      <c r="F217">
        <v>3.3E-3</v>
      </c>
      <c r="G217">
        <v>0</v>
      </c>
      <c r="H217">
        <v>47.7</v>
      </c>
      <c r="I217">
        <v>0</v>
      </c>
      <c r="J217">
        <v>2.9999999999999997E-4</v>
      </c>
      <c r="K217">
        <v>0</v>
      </c>
      <c r="L217">
        <v>1.95E-2</v>
      </c>
      <c r="M217">
        <v>0.2039</v>
      </c>
      <c r="N217">
        <v>102.87730000000001</v>
      </c>
      <c r="O217" t="s">
        <v>169</v>
      </c>
      <c r="P217" t="s">
        <v>81</v>
      </c>
    </row>
    <row r="218" spans="1:16">
      <c r="A218">
        <v>65</v>
      </c>
      <c r="B218">
        <v>1</v>
      </c>
      <c r="C218">
        <v>0</v>
      </c>
      <c r="D218">
        <v>54.26</v>
      </c>
      <c r="E218">
        <v>4.7999999999999996E-3</v>
      </c>
      <c r="F218">
        <v>0</v>
      </c>
      <c r="G218">
        <v>0</v>
      </c>
      <c r="H218">
        <v>47.55</v>
      </c>
      <c r="I218">
        <v>0</v>
      </c>
      <c r="J218">
        <v>1.6999999999999999E-3</v>
      </c>
      <c r="K218">
        <v>0</v>
      </c>
      <c r="L218">
        <v>0</v>
      </c>
      <c r="M218">
        <v>0.183</v>
      </c>
      <c r="N218">
        <v>102.99939999999999</v>
      </c>
      <c r="O218" t="s">
        <v>169</v>
      </c>
      <c r="P218" t="s">
        <v>81</v>
      </c>
    </row>
    <row r="219" spans="1:16">
      <c r="A219">
        <v>54</v>
      </c>
      <c r="B219">
        <v>0.52910000000000001</v>
      </c>
      <c r="C219">
        <v>0</v>
      </c>
      <c r="D219">
        <v>54.31</v>
      </c>
      <c r="E219">
        <v>1.17E-2</v>
      </c>
      <c r="F219">
        <v>0</v>
      </c>
      <c r="G219">
        <v>0</v>
      </c>
      <c r="H219">
        <v>47.53</v>
      </c>
      <c r="I219">
        <v>0</v>
      </c>
      <c r="J219">
        <v>1.4800000000000001E-2</v>
      </c>
      <c r="K219">
        <v>0</v>
      </c>
      <c r="L219">
        <v>4.4999999999999997E-3</v>
      </c>
      <c r="M219">
        <v>0.1908</v>
      </c>
      <c r="N219">
        <v>102.5909</v>
      </c>
      <c r="O219" t="s">
        <v>169</v>
      </c>
      <c r="P219" t="s">
        <v>81</v>
      </c>
    </row>
    <row r="220" spans="1:16">
      <c r="A220">
        <v>110</v>
      </c>
      <c r="B220">
        <v>8.72E-2</v>
      </c>
      <c r="C220">
        <v>0</v>
      </c>
      <c r="D220">
        <v>54.62</v>
      </c>
      <c r="E220">
        <v>2.23E-2</v>
      </c>
      <c r="F220">
        <v>0</v>
      </c>
      <c r="G220">
        <v>0</v>
      </c>
      <c r="H220">
        <v>47.47</v>
      </c>
      <c r="I220">
        <v>0</v>
      </c>
      <c r="J220">
        <v>0</v>
      </c>
      <c r="K220">
        <v>0</v>
      </c>
      <c r="L220">
        <v>0</v>
      </c>
      <c r="M220">
        <v>0.2331</v>
      </c>
      <c r="N220">
        <v>102.4325</v>
      </c>
      <c r="O220" t="s">
        <v>169</v>
      </c>
      <c r="P220" t="s">
        <v>81</v>
      </c>
    </row>
    <row r="221" spans="1:16">
      <c r="A221">
        <v>111</v>
      </c>
      <c r="B221">
        <v>0.1447</v>
      </c>
      <c r="C221">
        <v>0</v>
      </c>
      <c r="D221">
        <v>54.82</v>
      </c>
      <c r="E221">
        <v>1.5E-3</v>
      </c>
      <c r="F221">
        <v>0</v>
      </c>
      <c r="G221">
        <v>0</v>
      </c>
      <c r="H221">
        <v>47.43</v>
      </c>
      <c r="I221">
        <v>0</v>
      </c>
      <c r="J221">
        <v>0</v>
      </c>
      <c r="K221">
        <v>0</v>
      </c>
      <c r="L221">
        <v>5.5999999999999999E-3</v>
      </c>
      <c r="M221">
        <v>0.19089999999999999</v>
      </c>
      <c r="N221">
        <v>102.5926</v>
      </c>
      <c r="O221" t="s">
        <v>169</v>
      </c>
      <c r="P221" t="s">
        <v>81</v>
      </c>
    </row>
    <row r="222" spans="1:16">
      <c r="A222">
        <v>83</v>
      </c>
      <c r="B222">
        <v>1.02</v>
      </c>
      <c r="C222">
        <v>0</v>
      </c>
      <c r="D222">
        <v>54.13</v>
      </c>
      <c r="E222">
        <v>1.03E-2</v>
      </c>
      <c r="F222">
        <v>7.6E-3</v>
      </c>
      <c r="G222">
        <v>0</v>
      </c>
      <c r="H222">
        <v>47.38</v>
      </c>
      <c r="I222">
        <v>0</v>
      </c>
      <c r="J222">
        <v>7.3000000000000001E-3</v>
      </c>
      <c r="K222">
        <v>0</v>
      </c>
      <c r="L222">
        <v>5.1999999999999998E-2</v>
      </c>
      <c r="M222">
        <v>0.1671</v>
      </c>
      <c r="N222">
        <v>102.77419999999999</v>
      </c>
      <c r="O222" t="s">
        <v>169</v>
      </c>
      <c r="P222" t="s">
        <v>81</v>
      </c>
    </row>
    <row r="223" spans="1:16">
      <c r="A223">
        <v>108</v>
      </c>
      <c r="B223">
        <v>0.7147</v>
      </c>
      <c r="C223">
        <v>0</v>
      </c>
      <c r="D223">
        <v>54.43</v>
      </c>
      <c r="E223">
        <v>0</v>
      </c>
      <c r="F223">
        <v>0</v>
      </c>
      <c r="G223">
        <v>0</v>
      </c>
      <c r="H223">
        <v>47.26</v>
      </c>
      <c r="I223">
        <v>0</v>
      </c>
      <c r="J223">
        <v>1.7299999999999999E-2</v>
      </c>
      <c r="K223">
        <v>0</v>
      </c>
      <c r="L223">
        <v>1.2500000000000001E-2</v>
      </c>
      <c r="M223">
        <v>0.25030000000000002</v>
      </c>
      <c r="N223">
        <v>102.68470000000001</v>
      </c>
      <c r="O223" t="s">
        <v>169</v>
      </c>
      <c r="P223" t="s">
        <v>81</v>
      </c>
    </row>
    <row r="224" spans="1:16">
      <c r="A224">
        <v>56</v>
      </c>
      <c r="B224">
        <v>1.55</v>
      </c>
      <c r="C224">
        <v>0</v>
      </c>
      <c r="D224">
        <v>53.87</v>
      </c>
      <c r="E224">
        <v>1.21E-2</v>
      </c>
      <c r="F224">
        <v>0</v>
      </c>
      <c r="G224">
        <v>0</v>
      </c>
      <c r="H224">
        <v>47.2</v>
      </c>
      <c r="I224">
        <v>0</v>
      </c>
      <c r="J224">
        <v>5.9999999999999995E-4</v>
      </c>
      <c r="K224">
        <v>0</v>
      </c>
      <c r="L224">
        <v>0</v>
      </c>
      <c r="M224">
        <v>0.1976</v>
      </c>
      <c r="N224">
        <v>102.8302</v>
      </c>
      <c r="O224" t="s">
        <v>169</v>
      </c>
      <c r="P224" t="s">
        <v>81</v>
      </c>
    </row>
    <row r="225" spans="1:16">
      <c r="A225">
        <v>59</v>
      </c>
      <c r="B225">
        <v>1.37</v>
      </c>
      <c r="C225">
        <v>0</v>
      </c>
      <c r="D225">
        <v>53.79</v>
      </c>
      <c r="E225">
        <v>6.1000000000000004E-3</v>
      </c>
      <c r="F225">
        <v>1.49E-2</v>
      </c>
      <c r="G225">
        <v>0</v>
      </c>
      <c r="H225">
        <v>47.15</v>
      </c>
      <c r="I225">
        <v>0</v>
      </c>
      <c r="J225">
        <v>1E-3</v>
      </c>
      <c r="K225">
        <v>0</v>
      </c>
      <c r="L225">
        <v>0</v>
      </c>
      <c r="M225">
        <v>0.20449999999999999</v>
      </c>
      <c r="N225">
        <v>102.5364</v>
      </c>
      <c r="O225" t="s">
        <v>169</v>
      </c>
      <c r="P225" t="s">
        <v>81</v>
      </c>
    </row>
    <row r="226" spans="1:16">
      <c r="A226">
        <v>109</v>
      </c>
      <c r="B226">
        <v>0.24779999999999999</v>
      </c>
      <c r="C226">
        <v>0</v>
      </c>
      <c r="D226">
        <v>54.33</v>
      </c>
      <c r="E226">
        <v>4.0000000000000001E-3</v>
      </c>
      <c r="F226">
        <v>6.6E-3</v>
      </c>
      <c r="G226">
        <v>0</v>
      </c>
      <c r="H226">
        <v>47.07</v>
      </c>
      <c r="I226">
        <v>0</v>
      </c>
      <c r="J226">
        <v>0</v>
      </c>
      <c r="K226">
        <v>0</v>
      </c>
      <c r="L226">
        <v>0</v>
      </c>
      <c r="M226">
        <v>0.70620000000000005</v>
      </c>
      <c r="N226">
        <v>102.36450000000001</v>
      </c>
      <c r="O226" t="s">
        <v>169</v>
      </c>
      <c r="P226" t="s">
        <v>81</v>
      </c>
    </row>
    <row r="227" spans="1:16">
      <c r="A227">
        <v>107</v>
      </c>
      <c r="B227">
        <v>0.1275</v>
      </c>
      <c r="C227">
        <v>0</v>
      </c>
      <c r="D227">
        <v>54.85</v>
      </c>
      <c r="E227">
        <v>1.5299999999999999E-2</v>
      </c>
      <c r="F227">
        <v>1.2800000000000001E-2</v>
      </c>
      <c r="G227">
        <v>0</v>
      </c>
      <c r="H227">
        <v>47</v>
      </c>
      <c r="I227">
        <v>0</v>
      </c>
      <c r="J227">
        <v>2.0999999999999999E-3</v>
      </c>
      <c r="K227">
        <v>0</v>
      </c>
      <c r="L227">
        <v>8.3299999999999999E-2</v>
      </c>
      <c r="M227">
        <v>0.188</v>
      </c>
      <c r="N227">
        <v>102.27889999999999</v>
      </c>
      <c r="O227" t="s">
        <v>169</v>
      </c>
      <c r="P227" t="s">
        <v>81</v>
      </c>
    </row>
    <row r="228" spans="1:16">
      <c r="A228">
        <v>106</v>
      </c>
      <c r="B228">
        <v>0.41460000000000002</v>
      </c>
      <c r="C228">
        <v>0</v>
      </c>
      <c r="D228">
        <v>54.51</v>
      </c>
      <c r="E228">
        <v>0</v>
      </c>
      <c r="F228">
        <v>2.9999999999999997E-4</v>
      </c>
      <c r="G228">
        <v>0</v>
      </c>
      <c r="H228">
        <v>46.76</v>
      </c>
      <c r="I228">
        <v>0</v>
      </c>
      <c r="J228">
        <v>2.3E-3</v>
      </c>
      <c r="K228">
        <v>0</v>
      </c>
      <c r="L228">
        <v>6.1199999999999997E-2</v>
      </c>
      <c r="M228">
        <v>0.17510000000000001</v>
      </c>
      <c r="N228">
        <v>101.9234</v>
      </c>
      <c r="O228" t="s">
        <v>169</v>
      </c>
      <c r="P228" t="s">
        <v>81</v>
      </c>
    </row>
    <row r="229" spans="1:16">
      <c r="A229">
        <v>6</v>
      </c>
      <c r="B229">
        <v>3.3999999999999998E-3</v>
      </c>
      <c r="C229">
        <v>0</v>
      </c>
      <c r="D229">
        <v>54.74</v>
      </c>
      <c r="E229">
        <v>0</v>
      </c>
      <c r="F229">
        <v>0</v>
      </c>
      <c r="G229">
        <v>0</v>
      </c>
      <c r="H229">
        <v>48.56</v>
      </c>
      <c r="I229">
        <v>0</v>
      </c>
      <c r="J229">
        <v>1.9800000000000002E-2</v>
      </c>
      <c r="K229">
        <v>0</v>
      </c>
      <c r="L229">
        <v>3.8999999999999998E-3</v>
      </c>
      <c r="M229">
        <v>0.20519999999999999</v>
      </c>
      <c r="N229">
        <v>103.5322</v>
      </c>
      <c r="O229" t="s">
        <v>80</v>
      </c>
      <c r="P229" t="s">
        <v>81</v>
      </c>
    </row>
    <row r="230" spans="1:16">
      <c r="A230">
        <v>4</v>
      </c>
      <c r="B230">
        <v>0.66890000000000005</v>
      </c>
      <c r="C230">
        <v>0</v>
      </c>
      <c r="D230">
        <v>54.5</v>
      </c>
      <c r="E230">
        <v>1.11E-2</v>
      </c>
      <c r="F230">
        <v>0</v>
      </c>
      <c r="G230">
        <v>0</v>
      </c>
      <c r="H230">
        <v>48.48</v>
      </c>
      <c r="I230">
        <v>0</v>
      </c>
      <c r="J230">
        <v>1.2999999999999999E-2</v>
      </c>
      <c r="K230">
        <v>0</v>
      </c>
      <c r="L230">
        <v>0</v>
      </c>
      <c r="M230">
        <v>0.19400000000000001</v>
      </c>
      <c r="N230">
        <v>103.867</v>
      </c>
      <c r="O230" t="s">
        <v>80</v>
      </c>
      <c r="P230" t="s">
        <v>81</v>
      </c>
    </row>
    <row r="231" spans="1:16">
      <c r="A231">
        <v>10</v>
      </c>
      <c r="B231">
        <v>1.6000000000000001E-3</v>
      </c>
      <c r="C231">
        <v>0</v>
      </c>
      <c r="D231">
        <v>54.84</v>
      </c>
      <c r="E231">
        <v>1.7600000000000001E-2</v>
      </c>
      <c r="F231">
        <v>0</v>
      </c>
      <c r="G231">
        <v>0</v>
      </c>
      <c r="H231">
        <v>48.23</v>
      </c>
      <c r="I231">
        <v>0</v>
      </c>
      <c r="J231">
        <v>0</v>
      </c>
      <c r="K231">
        <v>0</v>
      </c>
      <c r="L231">
        <v>0</v>
      </c>
      <c r="M231">
        <v>0.21609999999999999</v>
      </c>
      <c r="N231">
        <v>103.3053</v>
      </c>
      <c r="O231" t="s">
        <v>80</v>
      </c>
      <c r="P231" t="s">
        <v>81</v>
      </c>
    </row>
    <row r="232" spans="1:16">
      <c r="A232">
        <v>5</v>
      </c>
      <c r="B232">
        <v>0</v>
      </c>
      <c r="C232">
        <v>0</v>
      </c>
      <c r="D232">
        <v>55.04</v>
      </c>
      <c r="E232">
        <v>6.3E-3</v>
      </c>
      <c r="F232">
        <v>0</v>
      </c>
      <c r="G232">
        <v>0</v>
      </c>
      <c r="H232">
        <v>48.23</v>
      </c>
      <c r="I232">
        <v>2.0000000000000001E-4</v>
      </c>
      <c r="J232">
        <v>0</v>
      </c>
      <c r="K232">
        <v>0</v>
      </c>
      <c r="L232">
        <v>0</v>
      </c>
      <c r="M232">
        <v>0.1827</v>
      </c>
      <c r="N232">
        <v>103.4592</v>
      </c>
      <c r="O232" t="s">
        <v>80</v>
      </c>
      <c r="P232" t="s">
        <v>81</v>
      </c>
    </row>
    <row r="233" spans="1:16">
      <c r="A233">
        <v>9</v>
      </c>
      <c r="B233">
        <v>9.5999999999999992E-3</v>
      </c>
      <c r="C233">
        <v>0</v>
      </c>
      <c r="D233">
        <v>54.4</v>
      </c>
      <c r="E233">
        <v>7.3000000000000001E-3</v>
      </c>
      <c r="F233">
        <v>3.0999999999999999E-3</v>
      </c>
      <c r="G233">
        <v>0</v>
      </c>
      <c r="H233">
        <v>48.16</v>
      </c>
      <c r="I233">
        <v>0</v>
      </c>
      <c r="J233">
        <v>0</v>
      </c>
      <c r="K233">
        <v>0</v>
      </c>
      <c r="L233">
        <v>0</v>
      </c>
      <c r="M233">
        <v>0.23350000000000001</v>
      </c>
      <c r="N233">
        <v>102.8134</v>
      </c>
      <c r="O233" t="s">
        <v>80</v>
      </c>
      <c r="P233" t="s">
        <v>81</v>
      </c>
    </row>
    <row r="234" spans="1:16">
      <c r="A234">
        <v>13</v>
      </c>
      <c r="B234">
        <v>1.77E-2</v>
      </c>
      <c r="C234">
        <v>0</v>
      </c>
      <c r="D234">
        <v>54.66</v>
      </c>
      <c r="E234">
        <v>2.2700000000000001E-2</v>
      </c>
      <c r="F234">
        <v>0</v>
      </c>
      <c r="G234">
        <v>0</v>
      </c>
      <c r="H234">
        <v>48.03</v>
      </c>
      <c r="I234">
        <v>0</v>
      </c>
      <c r="J234">
        <v>7.3000000000000001E-3</v>
      </c>
      <c r="K234">
        <v>0</v>
      </c>
      <c r="L234">
        <v>0</v>
      </c>
      <c r="M234">
        <v>0.23130000000000001</v>
      </c>
      <c r="N234">
        <v>102.9689</v>
      </c>
      <c r="O234" t="s">
        <v>80</v>
      </c>
      <c r="P234" t="s">
        <v>81</v>
      </c>
    </row>
    <row r="235" spans="1:16">
      <c r="A235">
        <v>12</v>
      </c>
      <c r="B235">
        <v>7.1999999999999998E-3</v>
      </c>
      <c r="C235">
        <v>0</v>
      </c>
      <c r="D235">
        <v>54.92</v>
      </c>
      <c r="E235">
        <v>4.5999999999999999E-3</v>
      </c>
      <c r="F235">
        <v>0</v>
      </c>
      <c r="G235">
        <v>0</v>
      </c>
      <c r="H235">
        <v>47.98</v>
      </c>
      <c r="I235">
        <v>0</v>
      </c>
      <c r="J235">
        <v>0</v>
      </c>
      <c r="K235">
        <v>0</v>
      </c>
      <c r="L235">
        <v>1.5299999999999999E-2</v>
      </c>
      <c r="M235">
        <v>0.2122</v>
      </c>
      <c r="N235">
        <v>103.1392</v>
      </c>
      <c r="O235" t="s">
        <v>80</v>
      </c>
      <c r="P235" t="s">
        <v>81</v>
      </c>
    </row>
    <row r="236" spans="1:16">
      <c r="A236">
        <v>8</v>
      </c>
      <c r="B236">
        <v>1.63</v>
      </c>
      <c r="C236">
        <v>0</v>
      </c>
      <c r="D236">
        <v>53.62</v>
      </c>
      <c r="E236">
        <v>1.4E-3</v>
      </c>
      <c r="F236">
        <v>0</v>
      </c>
      <c r="G236">
        <v>0</v>
      </c>
      <c r="H236">
        <v>47.9</v>
      </c>
      <c r="I236">
        <v>0</v>
      </c>
      <c r="J236">
        <v>4.4999999999999997E-3</v>
      </c>
      <c r="K236">
        <v>0</v>
      </c>
      <c r="L236">
        <v>0</v>
      </c>
      <c r="M236">
        <v>0.2031</v>
      </c>
      <c r="N236">
        <v>103.35890000000001</v>
      </c>
      <c r="O236" t="s">
        <v>80</v>
      </c>
      <c r="P236" t="s">
        <v>81</v>
      </c>
    </row>
    <row r="237" spans="1:16">
      <c r="A237">
        <v>7</v>
      </c>
      <c r="B237">
        <v>0.93379999999999996</v>
      </c>
      <c r="C237">
        <v>0</v>
      </c>
      <c r="D237">
        <v>54.19</v>
      </c>
      <c r="E237">
        <v>0</v>
      </c>
      <c r="F237">
        <v>0</v>
      </c>
      <c r="G237">
        <v>0</v>
      </c>
      <c r="H237">
        <v>47.9</v>
      </c>
      <c r="I237">
        <v>0</v>
      </c>
      <c r="J237">
        <v>6.4000000000000003E-3</v>
      </c>
      <c r="K237">
        <v>0</v>
      </c>
      <c r="L237">
        <v>0</v>
      </c>
      <c r="M237">
        <v>0.2482</v>
      </c>
      <c r="N237">
        <v>103.2784</v>
      </c>
      <c r="O237" t="s">
        <v>80</v>
      </c>
      <c r="P237" t="s">
        <v>81</v>
      </c>
    </row>
    <row r="238" spans="1:16">
      <c r="A238">
        <v>11</v>
      </c>
      <c r="B238">
        <v>0.13009999999999999</v>
      </c>
      <c r="C238">
        <v>0</v>
      </c>
      <c r="D238">
        <v>55.02</v>
      </c>
      <c r="E238">
        <v>7.0000000000000001E-3</v>
      </c>
      <c r="F238">
        <v>8.2000000000000007E-3</v>
      </c>
      <c r="G238">
        <v>0</v>
      </c>
      <c r="H238">
        <v>47.51</v>
      </c>
      <c r="I238">
        <v>0</v>
      </c>
      <c r="J238">
        <v>2.86E-2</v>
      </c>
      <c r="K238">
        <v>0</v>
      </c>
      <c r="L238">
        <v>4.3E-3</v>
      </c>
      <c r="M238">
        <v>0.22989999999999999</v>
      </c>
      <c r="N238">
        <v>102.938</v>
      </c>
      <c r="O238" t="s">
        <v>80</v>
      </c>
      <c r="P238" t="s">
        <v>81</v>
      </c>
    </row>
    <row r="239" spans="1:16">
      <c r="A239">
        <v>41</v>
      </c>
      <c r="B239">
        <v>0.23039999999999999</v>
      </c>
      <c r="C239">
        <v>0</v>
      </c>
      <c r="D239">
        <v>54.6</v>
      </c>
      <c r="E239">
        <v>1.11E-2</v>
      </c>
      <c r="F239">
        <v>0</v>
      </c>
      <c r="G239">
        <v>0</v>
      </c>
      <c r="H239">
        <v>52.5</v>
      </c>
      <c r="I239">
        <v>0</v>
      </c>
      <c r="J239">
        <v>2.3199999999999998E-2</v>
      </c>
      <c r="K239">
        <v>0</v>
      </c>
      <c r="L239">
        <v>0</v>
      </c>
      <c r="M239">
        <v>0.19689999999999999</v>
      </c>
      <c r="N239">
        <v>107.5615</v>
      </c>
      <c r="O239" t="s">
        <v>170</v>
      </c>
      <c r="P239" t="s">
        <v>171</v>
      </c>
    </row>
    <row r="240" spans="1:16">
      <c r="A240">
        <v>40</v>
      </c>
      <c r="B240">
        <v>1.47E-2</v>
      </c>
      <c r="C240">
        <v>0</v>
      </c>
      <c r="D240">
        <v>54.88</v>
      </c>
      <c r="E240">
        <v>3.0999999999999999E-3</v>
      </c>
      <c r="F240">
        <v>0</v>
      </c>
      <c r="G240">
        <v>0</v>
      </c>
      <c r="H240">
        <v>52.37</v>
      </c>
      <c r="I240">
        <v>0</v>
      </c>
      <c r="J240">
        <v>0</v>
      </c>
      <c r="K240">
        <v>0</v>
      </c>
      <c r="L240">
        <v>7.7999999999999996E-3</v>
      </c>
      <c r="M240">
        <v>0.1988</v>
      </c>
      <c r="N240">
        <v>107.4743</v>
      </c>
      <c r="O240" t="s">
        <v>170</v>
      </c>
      <c r="P240" t="s">
        <v>171</v>
      </c>
    </row>
    <row r="241" spans="1:16">
      <c r="A241">
        <v>36</v>
      </c>
      <c r="B241">
        <v>0.17649999999999999</v>
      </c>
      <c r="C241">
        <v>0</v>
      </c>
      <c r="D241">
        <v>54.95</v>
      </c>
      <c r="E241">
        <v>1.0699999999999999E-2</v>
      </c>
      <c r="F241">
        <v>0</v>
      </c>
      <c r="G241">
        <v>0</v>
      </c>
      <c r="H241">
        <v>51.9</v>
      </c>
      <c r="I241">
        <v>0</v>
      </c>
      <c r="J241">
        <v>2.0299999999999999E-2</v>
      </c>
      <c r="K241">
        <v>0</v>
      </c>
      <c r="L241">
        <v>0</v>
      </c>
      <c r="M241">
        <v>0.22850000000000001</v>
      </c>
      <c r="N241">
        <v>107.2859</v>
      </c>
      <c r="O241" t="s">
        <v>170</v>
      </c>
      <c r="P241" t="s">
        <v>171</v>
      </c>
    </row>
    <row r="242" spans="1:16">
      <c r="A242">
        <v>38</v>
      </c>
      <c r="B242">
        <v>0.1424</v>
      </c>
      <c r="C242">
        <v>0</v>
      </c>
      <c r="D242">
        <v>54.6</v>
      </c>
      <c r="E242">
        <v>2.0999999999999999E-3</v>
      </c>
      <c r="F242">
        <v>0</v>
      </c>
      <c r="G242">
        <v>0</v>
      </c>
      <c r="H242">
        <v>51.8</v>
      </c>
      <c r="I242">
        <v>0</v>
      </c>
      <c r="J242">
        <v>8.5000000000000006E-3</v>
      </c>
      <c r="K242">
        <v>0</v>
      </c>
      <c r="L242">
        <v>0</v>
      </c>
      <c r="M242">
        <v>0.19769999999999999</v>
      </c>
      <c r="N242">
        <v>106.75060000000001</v>
      </c>
      <c r="O242" t="s">
        <v>170</v>
      </c>
      <c r="P242" t="s">
        <v>171</v>
      </c>
    </row>
    <row r="243" spans="1:16">
      <c r="A243">
        <v>37</v>
      </c>
      <c r="B243">
        <v>7.7000000000000002E-3</v>
      </c>
      <c r="C243">
        <v>0</v>
      </c>
      <c r="D243">
        <v>54.58</v>
      </c>
      <c r="E243">
        <v>2.8999999999999998E-3</v>
      </c>
      <c r="F243">
        <v>0</v>
      </c>
      <c r="G243">
        <v>0</v>
      </c>
      <c r="H243">
        <v>51.69</v>
      </c>
      <c r="I243">
        <v>1.9E-3</v>
      </c>
      <c r="J243">
        <v>4.4000000000000003E-3</v>
      </c>
      <c r="K243">
        <v>0</v>
      </c>
      <c r="L243">
        <v>0</v>
      </c>
      <c r="M243">
        <v>0.21629999999999999</v>
      </c>
      <c r="N243">
        <v>106.50320000000001</v>
      </c>
      <c r="O243" t="s">
        <v>170</v>
      </c>
      <c r="P243" t="s">
        <v>171</v>
      </c>
    </row>
    <row r="244" spans="1:16">
      <c r="A244">
        <v>35</v>
      </c>
      <c r="B244">
        <v>4.0000000000000002E-4</v>
      </c>
      <c r="C244">
        <v>0</v>
      </c>
      <c r="D244">
        <v>54.69</v>
      </c>
      <c r="E244">
        <v>2.12E-2</v>
      </c>
      <c r="F244">
        <v>0</v>
      </c>
      <c r="G244">
        <v>0</v>
      </c>
      <c r="H244">
        <v>51.36</v>
      </c>
      <c r="I244">
        <v>0</v>
      </c>
      <c r="J244">
        <v>0</v>
      </c>
      <c r="K244">
        <v>0</v>
      </c>
      <c r="L244">
        <v>2.7000000000000001E-3</v>
      </c>
      <c r="M244">
        <v>0.21440000000000001</v>
      </c>
      <c r="N244">
        <v>106.2886</v>
      </c>
      <c r="O244" t="s">
        <v>170</v>
      </c>
      <c r="P244" t="s">
        <v>171</v>
      </c>
    </row>
    <row r="245" spans="1:16">
      <c r="A245">
        <v>39</v>
      </c>
      <c r="B245">
        <v>0.28599999999999998</v>
      </c>
      <c r="C245">
        <v>0</v>
      </c>
      <c r="D245">
        <v>54.35</v>
      </c>
      <c r="E245">
        <v>1.34E-2</v>
      </c>
      <c r="F245">
        <v>0</v>
      </c>
      <c r="G245">
        <v>0</v>
      </c>
      <c r="H245">
        <v>51.36</v>
      </c>
      <c r="I245">
        <v>0</v>
      </c>
      <c r="J245">
        <v>0</v>
      </c>
      <c r="K245">
        <v>0</v>
      </c>
      <c r="L245">
        <v>0</v>
      </c>
      <c r="M245">
        <v>0.2253</v>
      </c>
      <c r="N245">
        <v>106.2346</v>
      </c>
      <c r="O245" t="s">
        <v>170</v>
      </c>
      <c r="P245" t="s">
        <v>171</v>
      </c>
    </row>
    <row r="246" spans="1:16">
      <c r="A246">
        <v>264</v>
      </c>
      <c r="B246">
        <v>0.2034</v>
      </c>
      <c r="C246">
        <v>0</v>
      </c>
      <c r="D246">
        <v>54.28</v>
      </c>
      <c r="E246">
        <v>1.0500000000000001E-2</v>
      </c>
      <c r="F246">
        <v>0</v>
      </c>
      <c r="G246">
        <v>0</v>
      </c>
      <c r="H246">
        <v>48.41</v>
      </c>
      <c r="I246">
        <v>0</v>
      </c>
      <c r="J246">
        <v>0</v>
      </c>
      <c r="K246">
        <v>0</v>
      </c>
      <c r="L246">
        <v>0</v>
      </c>
      <c r="M246">
        <v>0.15229999999999999</v>
      </c>
      <c r="N246">
        <v>103.0561</v>
      </c>
      <c r="O246" t="s">
        <v>172</v>
      </c>
      <c r="P246" t="s">
        <v>49</v>
      </c>
    </row>
    <row r="247" spans="1:16">
      <c r="A247">
        <v>263</v>
      </c>
      <c r="B247">
        <v>0.62629999999999997</v>
      </c>
      <c r="C247">
        <v>0</v>
      </c>
      <c r="D247">
        <v>53.94</v>
      </c>
      <c r="E247">
        <v>1.5699999999999999E-2</v>
      </c>
      <c r="F247">
        <v>0</v>
      </c>
      <c r="G247">
        <v>0</v>
      </c>
      <c r="H247">
        <v>48.13</v>
      </c>
      <c r="I247">
        <v>0</v>
      </c>
      <c r="J247">
        <v>1.11E-2</v>
      </c>
      <c r="K247">
        <v>0</v>
      </c>
      <c r="L247">
        <v>1.9E-3</v>
      </c>
      <c r="M247">
        <v>0.14699999999999999</v>
      </c>
      <c r="N247">
        <v>102.872</v>
      </c>
      <c r="O247" t="s">
        <v>172</v>
      </c>
      <c r="P247" t="s">
        <v>49</v>
      </c>
    </row>
    <row r="248" spans="1:16">
      <c r="A248">
        <v>266</v>
      </c>
      <c r="B248">
        <v>1.24</v>
      </c>
      <c r="C248">
        <v>0</v>
      </c>
      <c r="D248">
        <v>53.4</v>
      </c>
      <c r="E248">
        <v>1.15E-2</v>
      </c>
      <c r="F248">
        <v>1.24E-2</v>
      </c>
      <c r="G248">
        <v>0</v>
      </c>
      <c r="H248">
        <v>47.95</v>
      </c>
      <c r="I248">
        <v>0</v>
      </c>
      <c r="J248">
        <v>8.6E-3</v>
      </c>
      <c r="K248">
        <v>0</v>
      </c>
      <c r="L248">
        <v>0</v>
      </c>
      <c r="M248">
        <v>0.14230000000000001</v>
      </c>
      <c r="N248">
        <v>102.76479999999999</v>
      </c>
      <c r="O248" t="s">
        <v>172</v>
      </c>
      <c r="P248" t="s">
        <v>49</v>
      </c>
    </row>
    <row r="249" spans="1:16">
      <c r="A249">
        <v>262</v>
      </c>
      <c r="B249">
        <v>1.07</v>
      </c>
      <c r="C249">
        <v>0</v>
      </c>
      <c r="D249">
        <v>53.73</v>
      </c>
      <c r="E249">
        <v>2.4500000000000001E-2</v>
      </c>
      <c r="F249">
        <v>0</v>
      </c>
      <c r="G249">
        <v>0</v>
      </c>
      <c r="H249">
        <v>47.88</v>
      </c>
      <c r="I249">
        <v>0</v>
      </c>
      <c r="J249">
        <v>0</v>
      </c>
      <c r="K249">
        <v>0</v>
      </c>
      <c r="L249">
        <v>0</v>
      </c>
      <c r="M249">
        <v>0.13769999999999999</v>
      </c>
      <c r="N249">
        <v>102.8421</v>
      </c>
      <c r="O249" t="s">
        <v>172</v>
      </c>
      <c r="P249" t="s">
        <v>49</v>
      </c>
    </row>
    <row r="250" spans="1:16">
      <c r="A250">
        <v>265</v>
      </c>
      <c r="B250">
        <v>1.46</v>
      </c>
      <c r="C250">
        <v>0</v>
      </c>
      <c r="D250">
        <v>53.34</v>
      </c>
      <c r="E250">
        <v>0</v>
      </c>
      <c r="F250">
        <v>0</v>
      </c>
      <c r="G250">
        <v>0</v>
      </c>
      <c r="H250">
        <v>47.53</v>
      </c>
      <c r="I250">
        <v>0</v>
      </c>
      <c r="J250">
        <v>0</v>
      </c>
      <c r="K250">
        <v>0</v>
      </c>
      <c r="L250">
        <v>0</v>
      </c>
      <c r="M250">
        <v>0.125</v>
      </c>
      <c r="N250">
        <v>102.45489999999999</v>
      </c>
      <c r="O250" t="s">
        <v>172</v>
      </c>
      <c r="P250" t="s">
        <v>49</v>
      </c>
    </row>
    <row r="251" spans="1:16">
      <c r="A251">
        <v>43</v>
      </c>
      <c r="B251">
        <v>0.1799</v>
      </c>
      <c r="C251">
        <v>0</v>
      </c>
      <c r="D251">
        <v>54.37</v>
      </c>
      <c r="E251">
        <v>1.2699999999999999E-2</v>
      </c>
      <c r="F251">
        <v>9.4999999999999998E-3</v>
      </c>
      <c r="G251">
        <v>0</v>
      </c>
      <c r="H251">
        <v>48.82</v>
      </c>
      <c r="I251">
        <v>0</v>
      </c>
      <c r="J251">
        <v>0</v>
      </c>
      <c r="K251">
        <v>0</v>
      </c>
      <c r="L251">
        <v>0</v>
      </c>
      <c r="M251">
        <v>0.17730000000000001</v>
      </c>
      <c r="N251">
        <v>103.5693</v>
      </c>
      <c r="O251" t="s">
        <v>173</v>
      </c>
      <c r="P251" t="s">
        <v>49</v>
      </c>
    </row>
    <row r="252" spans="1:16">
      <c r="A252">
        <v>41</v>
      </c>
      <c r="B252">
        <v>2.3900000000000001E-2</v>
      </c>
      <c r="C252">
        <v>0</v>
      </c>
      <c r="D252">
        <v>54.01</v>
      </c>
      <c r="E252">
        <v>2.3E-2</v>
      </c>
      <c r="F252">
        <v>0</v>
      </c>
      <c r="G252">
        <v>0</v>
      </c>
      <c r="H252">
        <v>48.75</v>
      </c>
      <c r="I252">
        <v>1.2999999999999999E-3</v>
      </c>
      <c r="J252">
        <v>1.23E-2</v>
      </c>
      <c r="K252">
        <v>0</v>
      </c>
      <c r="L252">
        <v>0</v>
      </c>
      <c r="M252">
        <v>0.19289999999999999</v>
      </c>
      <c r="N252">
        <v>103.0133</v>
      </c>
      <c r="O252" t="s">
        <v>173</v>
      </c>
      <c r="P252" t="s">
        <v>49</v>
      </c>
    </row>
    <row r="253" spans="1:16">
      <c r="A253">
        <v>44</v>
      </c>
      <c r="B253">
        <v>3.5700000000000003E-2</v>
      </c>
      <c r="C253">
        <v>0</v>
      </c>
      <c r="D253">
        <v>54.45</v>
      </c>
      <c r="E253">
        <v>2.5999999999999999E-3</v>
      </c>
      <c r="F253">
        <v>0</v>
      </c>
      <c r="G253">
        <v>0</v>
      </c>
      <c r="H253">
        <v>48.62</v>
      </c>
      <c r="I253">
        <v>0</v>
      </c>
      <c r="J253">
        <v>5.0000000000000001E-3</v>
      </c>
      <c r="K253">
        <v>0</v>
      </c>
      <c r="L253">
        <v>0</v>
      </c>
      <c r="M253">
        <v>0.1951</v>
      </c>
      <c r="N253">
        <v>103.3083</v>
      </c>
      <c r="O253" t="s">
        <v>173</v>
      </c>
      <c r="P253" t="s">
        <v>49</v>
      </c>
    </row>
    <row r="254" spans="1:16">
      <c r="A254">
        <v>39</v>
      </c>
      <c r="B254">
        <v>0.22620000000000001</v>
      </c>
      <c r="C254">
        <v>0</v>
      </c>
      <c r="D254">
        <v>54.02</v>
      </c>
      <c r="E254">
        <v>1.8100000000000002E-2</v>
      </c>
      <c r="F254">
        <v>0.31030000000000002</v>
      </c>
      <c r="G254">
        <v>0</v>
      </c>
      <c r="H254">
        <v>48.59</v>
      </c>
      <c r="I254">
        <v>0</v>
      </c>
      <c r="J254">
        <v>0</v>
      </c>
      <c r="K254">
        <v>0</v>
      </c>
      <c r="L254">
        <v>2.0999999999999999E-3</v>
      </c>
      <c r="M254">
        <v>0.2026</v>
      </c>
      <c r="N254">
        <v>103.36920000000001</v>
      </c>
      <c r="O254" t="s">
        <v>173</v>
      </c>
      <c r="P254" t="s">
        <v>49</v>
      </c>
    </row>
    <row r="255" spans="1:16">
      <c r="A255">
        <v>49</v>
      </c>
      <c r="B255">
        <v>0.2399</v>
      </c>
      <c r="C255">
        <v>0</v>
      </c>
      <c r="D255">
        <v>54.43</v>
      </c>
      <c r="E255">
        <v>1.2800000000000001E-2</v>
      </c>
      <c r="F255">
        <v>0</v>
      </c>
      <c r="G255">
        <v>0</v>
      </c>
      <c r="H255">
        <v>48.55</v>
      </c>
      <c r="I255">
        <v>0</v>
      </c>
      <c r="J255">
        <v>2.0299999999999999E-2</v>
      </c>
      <c r="K255">
        <v>0</v>
      </c>
      <c r="L255">
        <v>1.4800000000000001E-2</v>
      </c>
      <c r="M255">
        <v>0.19800000000000001</v>
      </c>
      <c r="N255">
        <v>103.4657</v>
      </c>
      <c r="O255" t="s">
        <v>173</v>
      </c>
      <c r="P255" t="s">
        <v>49</v>
      </c>
    </row>
    <row r="256" spans="1:16">
      <c r="A256">
        <v>40</v>
      </c>
      <c r="B256">
        <v>3.3500000000000002E-2</v>
      </c>
      <c r="C256">
        <v>0</v>
      </c>
      <c r="D256">
        <v>54.24</v>
      </c>
      <c r="E256">
        <v>4.8300000000000003E-2</v>
      </c>
      <c r="F256">
        <v>0</v>
      </c>
      <c r="G256">
        <v>0</v>
      </c>
      <c r="H256">
        <v>48.54</v>
      </c>
      <c r="I256">
        <v>0</v>
      </c>
      <c r="J256">
        <v>0</v>
      </c>
      <c r="K256">
        <v>0</v>
      </c>
      <c r="L256">
        <v>0</v>
      </c>
      <c r="M256">
        <v>0.1794</v>
      </c>
      <c r="N256">
        <v>103.0411</v>
      </c>
      <c r="O256" t="s">
        <v>173</v>
      </c>
      <c r="P256" t="s">
        <v>49</v>
      </c>
    </row>
    <row r="257" spans="1:16">
      <c r="A257">
        <v>45</v>
      </c>
      <c r="B257">
        <v>9.6199999999999994E-2</v>
      </c>
      <c r="C257">
        <v>0</v>
      </c>
      <c r="D257">
        <v>54.68</v>
      </c>
      <c r="E257">
        <v>0.02</v>
      </c>
      <c r="F257">
        <v>1.3100000000000001E-2</v>
      </c>
      <c r="G257">
        <v>0</v>
      </c>
      <c r="H257">
        <v>48.52</v>
      </c>
      <c r="I257">
        <v>0</v>
      </c>
      <c r="J257">
        <v>0</v>
      </c>
      <c r="K257">
        <v>0</v>
      </c>
      <c r="L257">
        <v>0</v>
      </c>
      <c r="M257">
        <v>0.2263</v>
      </c>
      <c r="N257">
        <v>103.55549999999999</v>
      </c>
      <c r="O257" t="s">
        <v>173</v>
      </c>
      <c r="P257" t="s">
        <v>49</v>
      </c>
    </row>
    <row r="258" spans="1:16">
      <c r="A258">
        <v>36</v>
      </c>
      <c r="B258">
        <v>0.38269999999999998</v>
      </c>
      <c r="C258">
        <v>0</v>
      </c>
      <c r="D258">
        <v>53.38</v>
      </c>
      <c r="E258">
        <v>8.6999999999999994E-3</v>
      </c>
      <c r="F258">
        <v>0</v>
      </c>
      <c r="G258">
        <v>0</v>
      </c>
      <c r="H258">
        <v>48.49</v>
      </c>
      <c r="I258">
        <v>0</v>
      </c>
      <c r="J258">
        <v>7.4000000000000003E-3</v>
      </c>
      <c r="K258">
        <v>0</v>
      </c>
      <c r="L258">
        <v>0</v>
      </c>
      <c r="M258">
        <v>0.18329999999999999</v>
      </c>
      <c r="N258">
        <v>102.452</v>
      </c>
      <c r="O258" t="s">
        <v>173</v>
      </c>
      <c r="P258" t="s">
        <v>49</v>
      </c>
    </row>
    <row r="259" spans="1:16">
      <c r="A259">
        <v>50</v>
      </c>
      <c r="B259">
        <v>0.16250000000000001</v>
      </c>
      <c r="C259">
        <v>0</v>
      </c>
      <c r="D259">
        <v>54.43</v>
      </c>
      <c r="E259">
        <v>2.5999999999999999E-3</v>
      </c>
      <c r="F259">
        <v>0</v>
      </c>
      <c r="G259">
        <v>0</v>
      </c>
      <c r="H259">
        <v>48.45</v>
      </c>
      <c r="I259">
        <v>0</v>
      </c>
      <c r="J259">
        <v>9.7999999999999997E-3</v>
      </c>
      <c r="K259">
        <v>0</v>
      </c>
      <c r="L259">
        <v>6.1000000000000004E-3</v>
      </c>
      <c r="M259">
        <v>0.18079999999999999</v>
      </c>
      <c r="N259">
        <v>103.2418</v>
      </c>
      <c r="O259" t="s">
        <v>173</v>
      </c>
      <c r="P259" t="s">
        <v>49</v>
      </c>
    </row>
    <row r="260" spans="1:16">
      <c r="A260">
        <v>46</v>
      </c>
      <c r="B260">
        <v>0.37530000000000002</v>
      </c>
      <c r="C260">
        <v>0</v>
      </c>
      <c r="D260">
        <v>54.72</v>
      </c>
      <c r="E260">
        <v>1.89E-2</v>
      </c>
      <c r="F260">
        <v>6.3700000000000007E-2</v>
      </c>
      <c r="G260">
        <v>0</v>
      </c>
      <c r="H260">
        <v>48.41</v>
      </c>
      <c r="I260">
        <v>0</v>
      </c>
      <c r="J260">
        <v>1.83E-2</v>
      </c>
      <c r="K260">
        <v>0</v>
      </c>
      <c r="L260">
        <v>0</v>
      </c>
      <c r="M260">
        <v>0.18729999999999999</v>
      </c>
      <c r="N260">
        <v>103.79349999999999</v>
      </c>
      <c r="O260" t="s">
        <v>173</v>
      </c>
      <c r="P260" t="s">
        <v>49</v>
      </c>
    </row>
    <row r="261" spans="1:16">
      <c r="A261">
        <v>37</v>
      </c>
      <c r="B261">
        <v>0.28160000000000002</v>
      </c>
      <c r="C261">
        <v>0</v>
      </c>
      <c r="D261">
        <v>54.36</v>
      </c>
      <c r="E261">
        <v>1.3100000000000001E-2</v>
      </c>
      <c r="F261">
        <v>0</v>
      </c>
      <c r="G261">
        <v>0</v>
      </c>
      <c r="H261">
        <v>48.37</v>
      </c>
      <c r="I261">
        <v>0</v>
      </c>
      <c r="J261">
        <v>4.0000000000000001E-3</v>
      </c>
      <c r="K261">
        <v>0</v>
      </c>
      <c r="L261">
        <v>0</v>
      </c>
      <c r="M261">
        <v>0.1867</v>
      </c>
      <c r="N261">
        <v>103.2153</v>
      </c>
      <c r="O261" t="s">
        <v>173</v>
      </c>
      <c r="P261" t="s">
        <v>49</v>
      </c>
    </row>
    <row r="262" spans="1:16">
      <c r="A262">
        <v>42</v>
      </c>
      <c r="B262">
        <v>0.46920000000000001</v>
      </c>
      <c r="C262">
        <v>0</v>
      </c>
      <c r="D262">
        <v>54.97</v>
      </c>
      <c r="E262">
        <v>1.4200000000000001E-2</v>
      </c>
      <c r="F262">
        <v>4.3900000000000002E-2</v>
      </c>
      <c r="G262">
        <v>0</v>
      </c>
      <c r="H262">
        <v>48.19</v>
      </c>
      <c r="I262">
        <v>0</v>
      </c>
      <c r="J262">
        <v>0</v>
      </c>
      <c r="K262">
        <v>0</v>
      </c>
      <c r="L262">
        <v>0</v>
      </c>
      <c r="M262">
        <v>0.17680000000000001</v>
      </c>
      <c r="N262">
        <v>103.86409999999999</v>
      </c>
      <c r="O262" t="s">
        <v>173</v>
      </c>
      <c r="P262" t="s">
        <v>49</v>
      </c>
    </row>
    <row r="263" spans="1:16">
      <c r="A263">
        <v>47</v>
      </c>
      <c r="B263">
        <v>0.67</v>
      </c>
      <c r="C263">
        <v>0</v>
      </c>
      <c r="D263">
        <v>54.02</v>
      </c>
      <c r="E263">
        <v>1.21E-2</v>
      </c>
      <c r="F263">
        <v>3.8999999999999998E-3</v>
      </c>
      <c r="G263">
        <v>0</v>
      </c>
      <c r="H263">
        <v>48.16</v>
      </c>
      <c r="I263">
        <v>0</v>
      </c>
      <c r="J263">
        <v>1.3599999999999999E-2</v>
      </c>
      <c r="K263">
        <v>0</v>
      </c>
      <c r="L263">
        <v>2.06E-2</v>
      </c>
      <c r="M263">
        <v>0.19689999999999999</v>
      </c>
      <c r="N263">
        <v>103.09699999999999</v>
      </c>
      <c r="O263" t="s">
        <v>173</v>
      </c>
      <c r="P263" t="s">
        <v>49</v>
      </c>
    </row>
    <row r="264" spans="1:16">
      <c r="A264">
        <v>48</v>
      </c>
      <c r="B264">
        <v>0.10440000000000001</v>
      </c>
      <c r="C264">
        <v>0</v>
      </c>
      <c r="D264">
        <v>54.54</v>
      </c>
      <c r="E264">
        <v>1.61E-2</v>
      </c>
      <c r="F264">
        <v>0</v>
      </c>
      <c r="G264">
        <v>0</v>
      </c>
      <c r="H264">
        <v>47.95</v>
      </c>
      <c r="I264">
        <v>0</v>
      </c>
      <c r="J264">
        <v>0</v>
      </c>
      <c r="K264">
        <v>0</v>
      </c>
      <c r="L264">
        <v>4.7999999999999996E-3</v>
      </c>
      <c r="M264">
        <v>0.19320000000000001</v>
      </c>
      <c r="N264">
        <v>102.80840000000001</v>
      </c>
      <c r="O264" t="s">
        <v>173</v>
      </c>
      <c r="P264" t="s">
        <v>49</v>
      </c>
    </row>
    <row r="265" spans="1:16">
      <c r="A265">
        <v>38</v>
      </c>
      <c r="B265">
        <v>0</v>
      </c>
      <c r="C265">
        <v>0</v>
      </c>
      <c r="D265">
        <v>54.35</v>
      </c>
      <c r="E265">
        <v>2.41E-2</v>
      </c>
      <c r="F265">
        <v>0</v>
      </c>
      <c r="G265">
        <v>0</v>
      </c>
      <c r="H265">
        <v>47.81</v>
      </c>
      <c r="I265">
        <v>0</v>
      </c>
      <c r="J265">
        <v>0</v>
      </c>
      <c r="K265">
        <v>0</v>
      </c>
      <c r="L265">
        <v>1.4E-3</v>
      </c>
      <c r="M265">
        <v>0.2014</v>
      </c>
      <c r="N265">
        <v>102.38679999999999</v>
      </c>
      <c r="O265" t="s">
        <v>173</v>
      </c>
      <c r="P265" t="s">
        <v>49</v>
      </c>
    </row>
    <row r="266" spans="1:16">
      <c r="A266">
        <v>58</v>
      </c>
      <c r="B266">
        <v>0.74399999999999999</v>
      </c>
      <c r="C266">
        <v>0</v>
      </c>
      <c r="D266">
        <v>53.99</v>
      </c>
      <c r="E266">
        <v>1.0500000000000001E-2</v>
      </c>
      <c r="F266">
        <v>0</v>
      </c>
      <c r="G266">
        <v>0</v>
      </c>
      <c r="H266">
        <v>48.24</v>
      </c>
      <c r="I266">
        <v>1.77E-2</v>
      </c>
      <c r="J266">
        <v>2.35E-2</v>
      </c>
      <c r="K266">
        <v>1.9E-3</v>
      </c>
      <c r="L266">
        <v>1.6199999999999999E-2</v>
      </c>
      <c r="M266">
        <v>0.1799</v>
      </c>
      <c r="N266">
        <v>103.2236</v>
      </c>
      <c r="O266" t="s">
        <v>174</v>
      </c>
      <c r="P266" t="s">
        <v>38</v>
      </c>
    </row>
    <row r="267" spans="1:16">
      <c r="A267">
        <v>55</v>
      </c>
      <c r="B267">
        <v>6.1600000000000002E-2</v>
      </c>
      <c r="C267">
        <v>0</v>
      </c>
      <c r="D267">
        <v>54.69</v>
      </c>
      <c r="E267">
        <v>5.4000000000000003E-3</v>
      </c>
      <c r="F267">
        <v>0</v>
      </c>
      <c r="G267">
        <v>0</v>
      </c>
      <c r="H267">
        <v>48.13</v>
      </c>
      <c r="I267">
        <v>0</v>
      </c>
      <c r="J267">
        <v>0</v>
      </c>
      <c r="K267">
        <v>0</v>
      </c>
      <c r="L267">
        <v>2.3E-3</v>
      </c>
      <c r="M267">
        <v>0.1595</v>
      </c>
      <c r="N267">
        <v>103.0487</v>
      </c>
      <c r="O267" t="s">
        <v>174</v>
      </c>
      <c r="P267" t="s">
        <v>38</v>
      </c>
    </row>
    <row r="268" spans="1:16">
      <c r="A268">
        <v>56</v>
      </c>
      <c r="B268">
        <v>0.14580000000000001</v>
      </c>
      <c r="C268">
        <v>0</v>
      </c>
      <c r="D268">
        <v>54.61</v>
      </c>
      <c r="E268">
        <v>2.3E-2</v>
      </c>
      <c r="F268">
        <v>0</v>
      </c>
      <c r="G268">
        <v>0</v>
      </c>
      <c r="H268">
        <v>48.07</v>
      </c>
      <c r="I268">
        <v>0</v>
      </c>
      <c r="J268">
        <v>0</v>
      </c>
      <c r="K268">
        <v>0</v>
      </c>
      <c r="L268">
        <v>0</v>
      </c>
      <c r="M268">
        <v>0.1739</v>
      </c>
      <c r="N268">
        <v>103.0226</v>
      </c>
      <c r="O268" t="s">
        <v>174</v>
      </c>
      <c r="P268" t="s">
        <v>38</v>
      </c>
    </row>
    <row r="269" spans="1:16">
      <c r="A269">
        <v>54</v>
      </c>
      <c r="B269">
        <v>3.7100000000000001E-2</v>
      </c>
      <c r="C269">
        <v>0</v>
      </c>
      <c r="D269">
        <v>54.54</v>
      </c>
      <c r="E269">
        <v>5.0000000000000001E-3</v>
      </c>
      <c r="F269">
        <v>0</v>
      </c>
      <c r="G269">
        <v>0</v>
      </c>
      <c r="H269">
        <v>48.02</v>
      </c>
      <c r="I269">
        <v>3.5799999999999998E-2</v>
      </c>
      <c r="J269">
        <v>1.5100000000000001E-2</v>
      </c>
      <c r="K269">
        <v>0</v>
      </c>
      <c r="L269">
        <v>3.2199999999999999E-2</v>
      </c>
      <c r="M269">
        <v>0.1951</v>
      </c>
      <c r="N269">
        <v>102.8802</v>
      </c>
      <c r="O269" t="s">
        <v>174</v>
      </c>
      <c r="P269" t="s">
        <v>38</v>
      </c>
    </row>
    <row r="270" spans="1:16">
      <c r="A270">
        <v>59</v>
      </c>
      <c r="B270">
        <v>2.6100000000000002E-2</v>
      </c>
      <c r="C270">
        <v>0</v>
      </c>
      <c r="D270">
        <v>54.56</v>
      </c>
      <c r="E270">
        <v>4.4999999999999997E-3</v>
      </c>
      <c r="F270">
        <v>0</v>
      </c>
      <c r="G270">
        <v>0</v>
      </c>
      <c r="H270">
        <v>47.97</v>
      </c>
      <c r="I270">
        <v>0</v>
      </c>
      <c r="J270">
        <v>4.8999999999999998E-3</v>
      </c>
      <c r="K270">
        <v>0</v>
      </c>
      <c r="L270">
        <v>0</v>
      </c>
      <c r="M270">
        <v>0.16819999999999999</v>
      </c>
      <c r="N270">
        <v>102.7337</v>
      </c>
      <c r="O270" t="s">
        <v>174</v>
      </c>
      <c r="P270" t="s">
        <v>38</v>
      </c>
    </row>
    <row r="271" spans="1:16">
      <c r="A271">
        <v>72</v>
      </c>
      <c r="B271">
        <v>0.2001</v>
      </c>
      <c r="C271">
        <v>0</v>
      </c>
      <c r="D271">
        <v>54.29</v>
      </c>
      <c r="E271">
        <v>1.38E-2</v>
      </c>
      <c r="F271">
        <v>0</v>
      </c>
      <c r="G271">
        <v>0</v>
      </c>
      <c r="H271">
        <v>47.88</v>
      </c>
      <c r="I271">
        <v>0</v>
      </c>
      <c r="J271">
        <v>0</v>
      </c>
      <c r="K271">
        <v>0</v>
      </c>
      <c r="L271">
        <v>0</v>
      </c>
      <c r="M271">
        <v>0.16739999999999999</v>
      </c>
      <c r="N271">
        <v>102.55119999999999</v>
      </c>
      <c r="O271" t="s">
        <v>174</v>
      </c>
      <c r="P271" t="s">
        <v>38</v>
      </c>
    </row>
    <row r="272" spans="1:16">
      <c r="A272">
        <v>45</v>
      </c>
      <c r="B272">
        <v>3.6700000000000003E-2</v>
      </c>
      <c r="C272">
        <v>0</v>
      </c>
      <c r="D272">
        <v>54.74</v>
      </c>
      <c r="E272">
        <v>4.4000000000000003E-3</v>
      </c>
      <c r="F272">
        <v>2.5000000000000001E-3</v>
      </c>
      <c r="G272">
        <v>0</v>
      </c>
      <c r="H272">
        <v>47.81</v>
      </c>
      <c r="I272">
        <v>0</v>
      </c>
      <c r="J272">
        <v>6.6E-3</v>
      </c>
      <c r="K272">
        <v>0</v>
      </c>
      <c r="L272">
        <v>2.8E-3</v>
      </c>
      <c r="M272">
        <v>0.19309999999999999</v>
      </c>
      <c r="N272">
        <v>102.79600000000001</v>
      </c>
      <c r="O272" t="s">
        <v>174</v>
      </c>
      <c r="P272" t="s">
        <v>38</v>
      </c>
    </row>
    <row r="273" spans="1:16">
      <c r="A273">
        <v>70</v>
      </c>
      <c r="B273">
        <v>7.6999999999999999E-2</v>
      </c>
      <c r="C273">
        <v>0</v>
      </c>
      <c r="D273">
        <v>54.42</v>
      </c>
      <c r="E273">
        <v>4.7000000000000002E-3</v>
      </c>
      <c r="F273">
        <v>0</v>
      </c>
      <c r="G273">
        <v>0</v>
      </c>
      <c r="H273">
        <v>47.78</v>
      </c>
      <c r="I273">
        <v>0</v>
      </c>
      <c r="J273">
        <v>1.7600000000000001E-2</v>
      </c>
      <c r="K273">
        <v>0</v>
      </c>
      <c r="L273">
        <v>1.01E-2</v>
      </c>
      <c r="M273">
        <v>0.17710000000000001</v>
      </c>
      <c r="N273">
        <v>102.4864</v>
      </c>
      <c r="O273" t="s">
        <v>174</v>
      </c>
      <c r="P273" t="s">
        <v>38</v>
      </c>
    </row>
    <row r="274" spans="1:16">
      <c r="A274">
        <v>71</v>
      </c>
      <c r="B274">
        <v>0.1668</v>
      </c>
      <c r="C274">
        <v>0</v>
      </c>
      <c r="D274">
        <v>54.36</v>
      </c>
      <c r="E274">
        <v>1.7500000000000002E-2</v>
      </c>
      <c r="F274">
        <v>0</v>
      </c>
      <c r="G274">
        <v>0</v>
      </c>
      <c r="H274">
        <v>47.72</v>
      </c>
      <c r="I274">
        <v>0</v>
      </c>
      <c r="J274">
        <v>7.7000000000000002E-3</v>
      </c>
      <c r="K274">
        <v>5.4000000000000003E-3</v>
      </c>
      <c r="L274">
        <v>0</v>
      </c>
      <c r="M274">
        <v>0.21790000000000001</v>
      </c>
      <c r="N274">
        <v>102.4953</v>
      </c>
      <c r="O274" t="s">
        <v>174</v>
      </c>
      <c r="P274" t="s">
        <v>38</v>
      </c>
    </row>
    <row r="275" spans="1:16">
      <c r="A275">
        <v>73</v>
      </c>
      <c r="B275">
        <v>0.18329999999999999</v>
      </c>
      <c r="C275">
        <v>0</v>
      </c>
      <c r="D275">
        <v>54.25</v>
      </c>
      <c r="E275">
        <v>1.0500000000000001E-2</v>
      </c>
      <c r="F275">
        <v>0</v>
      </c>
      <c r="G275">
        <v>0</v>
      </c>
      <c r="H275">
        <v>47.69</v>
      </c>
      <c r="I275">
        <v>0</v>
      </c>
      <c r="J275">
        <v>1.7100000000000001E-2</v>
      </c>
      <c r="K275">
        <v>2.2000000000000001E-3</v>
      </c>
      <c r="L275">
        <v>0</v>
      </c>
      <c r="M275">
        <v>0.1867</v>
      </c>
      <c r="N275">
        <v>102.33969999999999</v>
      </c>
      <c r="O275" t="s">
        <v>174</v>
      </c>
      <c r="P275" t="s">
        <v>38</v>
      </c>
    </row>
    <row r="276" spans="1:16">
      <c r="A276">
        <v>51</v>
      </c>
      <c r="B276">
        <v>5.2400000000000002E-2</v>
      </c>
      <c r="C276">
        <v>0</v>
      </c>
      <c r="D276">
        <v>54.61</v>
      </c>
      <c r="E276">
        <v>4.7000000000000002E-3</v>
      </c>
      <c r="F276">
        <v>0</v>
      </c>
      <c r="G276">
        <v>0</v>
      </c>
      <c r="H276">
        <v>47.59</v>
      </c>
      <c r="I276">
        <v>0</v>
      </c>
      <c r="J276">
        <v>0</v>
      </c>
      <c r="K276">
        <v>0</v>
      </c>
      <c r="L276">
        <v>3.6799999999999999E-2</v>
      </c>
      <c r="M276">
        <v>0.1595</v>
      </c>
      <c r="N276">
        <v>102.4533</v>
      </c>
      <c r="O276" t="s">
        <v>174</v>
      </c>
      <c r="P276" t="s">
        <v>38</v>
      </c>
    </row>
    <row r="277" spans="1:16">
      <c r="A277">
        <v>44</v>
      </c>
      <c r="B277">
        <v>6.2700000000000006E-2</v>
      </c>
      <c r="C277">
        <v>0</v>
      </c>
      <c r="D277">
        <v>54.56</v>
      </c>
      <c r="E277">
        <v>0</v>
      </c>
      <c r="F277">
        <v>1.43E-2</v>
      </c>
      <c r="G277">
        <v>0</v>
      </c>
      <c r="H277">
        <v>47.53</v>
      </c>
      <c r="I277">
        <v>0</v>
      </c>
      <c r="J277">
        <v>1.3899999999999999E-2</v>
      </c>
      <c r="K277">
        <v>0</v>
      </c>
      <c r="L277">
        <v>2.7E-2</v>
      </c>
      <c r="M277">
        <v>0.18340000000000001</v>
      </c>
      <c r="N277">
        <v>102.3913</v>
      </c>
      <c r="O277" t="s">
        <v>174</v>
      </c>
      <c r="P277" t="s">
        <v>38</v>
      </c>
    </row>
    <row r="278" spans="1:16">
      <c r="A278">
        <v>50</v>
      </c>
      <c r="B278">
        <v>0.76129999999999998</v>
      </c>
      <c r="C278">
        <v>0</v>
      </c>
      <c r="D278">
        <v>54.07</v>
      </c>
      <c r="E278">
        <v>2.1399999999999999E-2</v>
      </c>
      <c r="F278">
        <v>0</v>
      </c>
      <c r="G278">
        <v>0</v>
      </c>
      <c r="H278">
        <v>47.5</v>
      </c>
      <c r="I278">
        <v>0</v>
      </c>
      <c r="J278">
        <v>1.55E-2</v>
      </c>
      <c r="K278">
        <v>0</v>
      </c>
      <c r="L278">
        <v>0</v>
      </c>
      <c r="M278">
        <v>0.16980000000000001</v>
      </c>
      <c r="N278">
        <v>102.53789999999999</v>
      </c>
      <c r="O278" t="s">
        <v>174</v>
      </c>
      <c r="P278" t="s">
        <v>38</v>
      </c>
    </row>
    <row r="279" spans="1:16">
      <c r="A279">
        <v>53</v>
      </c>
      <c r="B279">
        <v>0.27529999999999999</v>
      </c>
      <c r="C279">
        <v>0</v>
      </c>
      <c r="D279">
        <v>54.4</v>
      </c>
      <c r="E279">
        <v>1.35E-2</v>
      </c>
      <c r="F279">
        <v>0</v>
      </c>
      <c r="G279">
        <v>0</v>
      </c>
      <c r="H279">
        <v>47.42</v>
      </c>
      <c r="I279">
        <v>2.4500000000000001E-2</v>
      </c>
      <c r="J279">
        <v>1.9E-2</v>
      </c>
      <c r="K279">
        <v>0</v>
      </c>
      <c r="L279">
        <v>2.3699999999999999E-2</v>
      </c>
      <c r="M279">
        <v>0.14899999999999999</v>
      </c>
      <c r="N279">
        <v>102.3249</v>
      </c>
      <c r="O279" t="s">
        <v>174</v>
      </c>
      <c r="P279" t="s">
        <v>38</v>
      </c>
    </row>
    <row r="280" spans="1:16">
      <c r="A280">
        <v>57</v>
      </c>
      <c r="B280">
        <v>0.28839999999999999</v>
      </c>
      <c r="C280">
        <v>0</v>
      </c>
      <c r="D280">
        <v>54.19</v>
      </c>
      <c r="E280">
        <v>5.7999999999999996E-3</v>
      </c>
      <c r="F280">
        <v>0</v>
      </c>
      <c r="G280">
        <v>0</v>
      </c>
      <c r="H280">
        <v>47.31</v>
      </c>
      <c r="I280">
        <v>0.1197</v>
      </c>
      <c r="J280">
        <v>7.2400000000000006E-2</v>
      </c>
      <c r="K280">
        <v>1.1900000000000001E-2</v>
      </c>
      <c r="L280">
        <v>0.152</v>
      </c>
      <c r="M280">
        <v>0.20949999999999999</v>
      </c>
      <c r="N280">
        <v>102.3596</v>
      </c>
      <c r="O280" t="s">
        <v>174</v>
      </c>
      <c r="P280" t="s">
        <v>38</v>
      </c>
    </row>
    <row r="281" spans="1:16">
      <c r="A281">
        <v>200</v>
      </c>
      <c r="B281">
        <v>4.0399999999999998E-2</v>
      </c>
      <c r="C281">
        <v>0</v>
      </c>
      <c r="D281">
        <v>54.28</v>
      </c>
      <c r="E281">
        <v>0</v>
      </c>
      <c r="F281">
        <v>0</v>
      </c>
      <c r="G281">
        <v>0</v>
      </c>
      <c r="H281">
        <v>48.04</v>
      </c>
      <c r="I281">
        <v>0</v>
      </c>
      <c r="J281">
        <v>4.7500000000000001E-2</v>
      </c>
      <c r="K281">
        <v>0</v>
      </c>
      <c r="L281">
        <v>1.4E-3</v>
      </c>
      <c r="M281">
        <v>0.1406</v>
      </c>
      <c r="N281">
        <v>102.54989999999999</v>
      </c>
      <c r="O281" t="s">
        <v>175</v>
      </c>
      <c r="P281" t="s">
        <v>38</v>
      </c>
    </row>
    <row r="282" spans="1:16">
      <c r="A282">
        <v>109</v>
      </c>
      <c r="B282">
        <v>5.1000000000000004E-3</v>
      </c>
      <c r="C282">
        <v>0</v>
      </c>
      <c r="D282">
        <v>54.18</v>
      </c>
      <c r="E282">
        <v>1.8200000000000001E-2</v>
      </c>
      <c r="F282">
        <v>2.1399999999999999E-2</v>
      </c>
      <c r="G282">
        <v>0</v>
      </c>
      <c r="H282">
        <v>47.26</v>
      </c>
      <c r="I282">
        <v>0</v>
      </c>
      <c r="J282">
        <v>0</v>
      </c>
      <c r="K282">
        <v>0</v>
      </c>
      <c r="L282">
        <v>5.5599999999999997E-2</v>
      </c>
      <c r="M282">
        <v>0.15279999999999999</v>
      </c>
      <c r="N282">
        <v>101.693</v>
      </c>
      <c r="O282" t="s">
        <v>176</v>
      </c>
      <c r="P282" t="s">
        <v>53</v>
      </c>
    </row>
    <row r="283" spans="1:16">
      <c r="A283">
        <v>6</v>
      </c>
      <c r="B283">
        <v>0</v>
      </c>
      <c r="C283">
        <v>0</v>
      </c>
      <c r="D283">
        <v>54.3</v>
      </c>
      <c r="E283">
        <v>4.1000000000000003E-3</v>
      </c>
      <c r="F283">
        <v>7.7000000000000002E-3</v>
      </c>
      <c r="G283">
        <v>0</v>
      </c>
      <c r="H283">
        <v>47.8</v>
      </c>
      <c r="I283">
        <v>0</v>
      </c>
      <c r="J283">
        <v>5.1999999999999998E-3</v>
      </c>
      <c r="K283">
        <v>0</v>
      </c>
      <c r="L283">
        <v>4.5499999999999999E-2</v>
      </c>
      <c r="M283">
        <v>0.21490000000000001</v>
      </c>
      <c r="N283">
        <v>102.37730000000001</v>
      </c>
      <c r="O283" t="s">
        <v>177</v>
      </c>
      <c r="P283" t="s">
        <v>53</v>
      </c>
    </row>
    <row r="284" spans="1:16">
      <c r="A284">
        <v>56</v>
      </c>
      <c r="B284">
        <v>0</v>
      </c>
      <c r="C284">
        <v>0</v>
      </c>
      <c r="D284">
        <v>53.97</v>
      </c>
      <c r="E284">
        <v>0.02</v>
      </c>
      <c r="F284">
        <v>0</v>
      </c>
      <c r="G284">
        <v>0</v>
      </c>
      <c r="H284">
        <v>47.76</v>
      </c>
      <c r="I284">
        <v>5.4000000000000003E-3</v>
      </c>
      <c r="J284">
        <v>1.18E-2</v>
      </c>
      <c r="K284">
        <v>0</v>
      </c>
      <c r="L284">
        <v>6.8000000000000005E-2</v>
      </c>
      <c r="M284">
        <v>0.1731</v>
      </c>
      <c r="N284">
        <v>102.00830000000001</v>
      </c>
      <c r="O284" t="s">
        <v>178</v>
      </c>
      <c r="P284" t="s">
        <v>53</v>
      </c>
    </row>
    <row r="285" spans="1:16">
      <c r="A285">
        <v>57</v>
      </c>
      <c r="B285">
        <v>0</v>
      </c>
      <c r="C285">
        <v>0</v>
      </c>
      <c r="D285">
        <v>53.99</v>
      </c>
      <c r="E285">
        <v>1.32E-2</v>
      </c>
      <c r="F285">
        <v>0.01</v>
      </c>
      <c r="G285">
        <v>0</v>
      </c>
      <c r="H285">
        <v>47.59</v>
      </c>
      <c r="I285">
        <v>8.9999999999999993E-3</v>
      </c>
      <c r="J285">
        <v>3.8300000000000001E-2</v>
      </c>
      <c r="K285">
        <v>0</v>
      </c>
      <c r="L285">
        <v>8.0699999999999994E-2</v>
      </c>
      <c r="M285">
        <v>0.216</v>
      </c>
      <c r="N285">
        <v>101.9472</v>
      </c>
      <c r="O285" t="s">
        <v>178</v>
      </c>
      <c r="P285" t="s">
        <v>53</v>
      </c>
    </row>
    <row r="286" spans="1:16">
      <c r="A286">
        <v>58</v>
      </c>
      <c r="B286">
        <v>0</v>
      </c>
      <c r="C286">
        <v>0</v>
      </c>
      <c r="D286">
        <v>53.9</v>
      </c>
      <c r="E286">
        <v>4.0000000000000002E-4</v>
      </c>
      <c r="F286">
        <v>0</v>
      </c>
      <c r="G286">
        <v>0</v>
      </c>
      <c r="H286">
        <v>47.58</v>
      </c>
      <c r="I286">
        <v>0</v>
      </c>
      <c r="J286">
        <v>0</v>
      </c>
      <c r="K286">
        <v>0</v>
      </c>
      <c r="L286">
        <v>0</v>
      </c>
      <c r="M286">
        <v>0.187</v>
      </c>
      <c r="N286">
        <v>101.6674</v>
      </c>
      <c r="O286" t="s">
        <v>178</v>
      </c>
      <c r="P286" t="s">
        <v>53</v>
      </c>
    </row>
    <row r="287" spans="1:16">
      <c r="A287">
        <v>55</v>
      </c>
      <c r="B287">
        <v>0.1143</v>
      </c>
      <c r="C287">
        <v>0</v>
      </c>
      <c r="D287">
        <v>54.02</v>
      </c>
      <c r="E287">
        <v>8.9999999999999993E-3</v>
      </c>
      <c r="F287">
        <v>0</v>
      </c>
      <c r="G287">
        <v>0</v>
      </c>
      <c r="H287">
        <v>47.49</v>
      </c>
      <c r="I287">
        <v>0</v>
      </c>
      <c r="J287">
        <v>1.0699999999999999E-2</v>
      </c>
      <c r="K287">
        <v>0</v>
      </c>
      <c r="L287">
        <v>1.3299999999999999E-2</v>
      </c>
      <c r="M287">
        <v>0.18679999999999999</v>
      </c>
      <c r="N287">
        <v>101.84399999999999</v>
      </c>
      <c r="O287" t="s">
        <v>178</v>
      </c>
      <c r="P287" t="s">
        <v>53</v>
      </c>
    </row>
    <row r="288" spans="1:16">
      <c r="A288">
        <v>60</v>
      </c>
      <c r="B288">
        <v>1.6999999999999999E-3</v>
      </c>
      <c r="C288">
        <v>0</v>
      </c>
      <c r="D288">
        <v>54.02</v>
      </c>
      <c r="E288">
        <v>1.9400000000000001E-2</v>
      </c>
      <c r="F288">
        <v>1.7999999999999999E-2</v>
      </c>
      <c r="G288">
        <v>0</v>
      </c>
      <c r="H288">
        <v>47.38</v>
      </c>
      <c r="I288">
        <v>0</v>
      </c>
      <c r="J288">
        <v>0</v>
      </c>
      <c r="K288">
        <v>0</v>
      </c>
      <c r="L288">
        <v>0</v>
      </c>
      <c r="M288">
        <v>0.1991</v>
      </c>
      <c r="N288">
        <v>101.63809999999999</v>
      </c>
      <c r="O288" t="s">
        <v>178</v>
      </c>
      <c r="P288" t="s">
        <v>53</v>
      </c>
    </row>
    <row r="289" spans="1:16">
      <c r="A289">
        <v>110</v>
      </c>
      <c r="B289">
        <v>0</v>
      </c>
      <c r="C289">
        <v>0</v>
      </c>
      <c r="D289">
        <v>54.25</v>
      </c>
      <c r="E289">
        <v>5.9999999999999995E-4</v>
      </c>
      <c r="F289">
        <v>0</v>
      </c>
      <c r="G289">
        <v>0</v>
      </c>
      <c r="H289">
        <v>47.35</v>
      </c>
      <c r="I289">
        <v>0</v>
      </c>
      <c r="J289">
        <v>0</v>
      </c>
      <c r="K289">
        <v>0</v>
      </c>
      <c r="L289">
        <v>0</v>
      </c>
      <c r="M289">
        <v>0.1479</v>
      </c>
      <c r="N289">
        <v>101.74850000000001</v>
      </c>
      <c r="O289" t="s">
        <v>178</v>
      </c>
      <c r="P289" t="s">
        <v>53</v>
      </c>
    </row>
    <row r="290" spans="1:16">
      <c r="A290">
        <v>63</v>
      </c>
      <c r="B290">
        <v>0</v>
      </c>
      <c r="C290">
        <v>0</v>
      </c>
      <c r="D290">
        <v>54.16</v>
      </c>
      <c r="E290">
        <v>1.89E-2</v>
      </c>
      <c r="F290">
        <v>0</v>
      </c>
      <c r="G290">
        <v>0</v>
      </c>
      <c r="H290">
        <v>47.31</v>
      </c>
      <c r="I290">
        <v>0</v>
      </c>
      <c r="J290">
        <v>9.0999999999999998E-2</v>
      </c>
      <c r="K290">
        <v>0</v>
      </c>
      <c r="L290">
        <v>1.17E-2</v>
      </c>
      <c r="M290">
        <v>0.20230000000000001</v>
      </c>
      <c r="N290">
        <v>101.79389999999999</v>
      </c>
      <c r="O290" t="s">
        <v>178</v>
      </c>
      <c r="P290" t="s">
        <v>53</v>
      </c>
    </row>
    <row r="291" spans="1:16">
      <c r="A291">
        <v>62</v>
      </c>
      <c r="B291">
        <v>0</v>
      </c>
      <c r="C291">
        <v>0</v>
      </c>
      <c r="D291">
        <v>53.99</v>
      </c>
      <c r="E291">
        <v>7.3000000000000001E-3</v>
      </c>
      <c r="F291">
        <v>0</v>
      </c>
      <c r="G291">
        <v>0</v>
      </c>
      <c r="H291">
        <v>47.23</v>
      </c>
      <c r="I291">
        <v>3.5999999999999999E-3</v>
      </c>
      <c r="J291">
        <v>1E-3</v>
      </c>
      <c r="K291">
        <v>0</v>
      </c>
      <c r="L291">
        <v>6.7400000000000002E-2</v>
      </c>
      <c r="M291">
        <v>0.16800000000000001</v>
      </c>
      <c r="N291">
        <v>101.46720000000001</v>
      </c>
      <c r="O291" t="s">
        <v>178</v>
      </c>
      <c r="P291" t="s">
        <v>53</v>
      </c>
    </row>
    <row r="292" spans="1:16">
      <c r="A292">
        <v>61</v>
      </c>
      <c r="B292">
        <v>0</v>
      </c>
      <c r="C292">
        <v>0</v>
      </c>
      <c r="D292">
        <v>54.02</v>
      </c>
      <c r="E292">
        <v>1.24E-2</v>
      </c>
      <c r="F292">
        <v>0</v>
      </c>
      <c r="G292">
        <v>0</v>
      </c>
      <c r="H292">
        <v>47.2</v>
      </c>
      <c r="I292">
        <v>1.7500000000000002E-2</v>
      </c>
      <c r="J292">
        <v>3.1800000000000002E-2</v>
      </c>
      <c r="K292">
        <v>0</v>
      </c>
      <c r="L292">
        <v>0.13830000000000001</v>
      </c>
      <c r="M292">
        <v>0.23730000000000001</v>
      </c>
      <c r="N292">
        <v>101.6572</v>
      </c>
      <c r="O292" t="s">
        <v>178</v>
      </c>
      <c r="P292" t="s">
        <v>53</v>
      </c>
    </row>
    <row r="293" spans="1:16">
      <c r="A293">
        <v>59</v>
      </c>
      <c r="B293">
        <v>1.23</v>
      </c>
      <c r="C293">
        <v>0</v>
      </c>
      <c r="D293">
        <v>53.24</v>
      </c>
      <c r="E293">
        <v>7.1999999999999998E-3</v>
      </c>
      <c r="F293">
        <v>0</v>
      </c>
      <c r="G293">
        <v>0</v>
      </c>
      <c r="H293">
        <v>47.03</v>
      </c>
      <c r="I293">
        <v>0</v>
      </c>
      <c r="J293">
        <v>0</v>
      </c>
      <c r="K293">
        <v>0</v>
      </c>
      <c r="L293">
        <v>0</v>
      </c>
      <c r="M293">
        <v>0.20780000000000001</v>
      </c>
      <c r="N293">
        <v>101.715</v>
      </c>
      <c r="O293" t="s">
        <v>178</v>
      </c>
      <c r="P293" t="s">
        <v>53</v>
      </c>
    </row>
    <row r="294" spans="1:16">
      <c r="A294">
        <v>108</v>
      </c>
      <c r="B294">
        <v>0</v>
      </c>
      <c r="C294">
        <v>0</v>
      </c>
      <c r="D294">
        <v>54.06</v>
      </c>
      <c r="E294">
        <v>1.1299999999999999E-2</v>
      </c>
      <c r="F294">
        <v>1.38E-2</v>
      </c>
      <c r="G294">
        <v>0</v>
      </c>
      <c r="H294">
        <v>47.3</v>
      </c>
      <c r="I294">
        <v>0</v>
      </c>
      <c r="J294">
        <v>0</v>
      </c>
      <c r="K294">
        <v>0</v>
      </c>
      <c r="L294">
        <v>7.6499999999999999E-2</v>
      </c>
      <c r="M294">
        <v>0.1421</v>
      </c>
      <c r="N294">
        <v>101.6036</v>
      </c>
      <c r="O294" t="s">
        <v>179</v>
      </c>
      <c r="P294" t="s">
        <v>53</v>
      </c>
    </row>
    <row r="295" spans="1:16">
      <c r="A295">
        <v>26</v>
      </c>
      <c r="B295">
        <v>0.30630000000000002</v>
      </c>
      <c r="C295">
        <v>0</v>
      </c>
      <c r="D295">
        <v>54.29</v>
      </c>
      <c r="E295">
        <v>1.47E-2</v>
      </c>
      <c r="F295">
        <v>5.3E-3</v>
      </c>
      <c r="G295">
        <v>0</v>
      </c>
      <c r="H295">
        <v>48.18</v>
      </c>
      <c r="I295">
        <v>0</v>
      </c>
      <c r="J295">
        <v>0</v>
      </c>
      <c r="K295">
        <v>0</v>
      </c>
      <c r="L295">
        <v>7.9000000000000008E-3</v>
      </c>
      <c r="M295">
        <v>0.19939999999999999</v>
      </c>
      <c r="N295">
        <v>103.0035</v>
      </c>
      <c r="O295" t="s">
        <v>180</v>
      </c>
      <c r="P295" t="s">
        <v>71</v>
      </c>
    </row>
    <row r="296" spans="1:16">
      <c r="A296">
        <v>18</v>
      </c>
      <c r="B296">
        <v>0.52210000000000001</v>
      </c>
      <c r="C296">
        <v>0</v>
      </c>
      <c r="D296">
        <v>53.98</v>
      </c>
      <c r="E296">
        <v>2.2599999999999999E-2</v>
      </c>
      <c r="F296">
        <v>1.1999999999999999E-3</v>
      </c>
      <c r="G296">
        <v>0</v>
      </c>
      <c r="H296">
        <v>48.16</v>
      </c>
      <c r="I296">
        <v>0</v>
      </c>
      <c r="J296">
        <v>0</v>
      </c>
      <c r="K296">
        <v>0</v>
      </c>
      <c r="L296">
        <v>0</v>
      </c>
      <c r="M296">
        <v>0.19550000000000001</v>
      </c>
      <c r="N296">
        <v>102.8813</v>
      </c>
      <c r="O296" t="s">
        <v>180</v>
      </c>
      <c r="P296" t="s">
        <v>71</v>
      </c>
    </row>
    <row r="297" spans="1:16">
      <c r="A297">
        <v>27</v>
      </c>
      <c r="B297">
        <v>8.8000000000000005E-3</v>
      </c>
      <c r="C297">
        <v>0</v>
      </c>
      <c r="D297">
        <v>54.33</v>
      </c>
      <c r="E297">
        <v>1.3899999999999999E-2</v>
      </c>
      <c r="F297">
        <v>0</v>
      </c>
      <c r="G297">
        <v>0</v>
      </c>
      <c r="H297">
        <v>48.12</v>
      </c>
      <c r="I297">
        <v>0</v>
      </c>
      <c r="J297">
        <v>0</v>
      </c>
      <c r="K297">
        <v>0</v>
      </c>
      <c r="L297">
        <v>0</v>
      </c>
      <c r="M297">
        <v>0.20050000000000001</v>
      </c>
      <c r="N297">
        <v>102.67310000000001</v>
      </c>
      <c r="O297" t="s">
        <v>180</v>
      </c>
      <c r="P297" t="s">
        <v>71</v>
      </c>
    </row>
    <row r="298" spans="1:16">
      <c r="A298">
        <v>14</v>
      </c>
      <c r="B298">
        <v>0.10970000000000001</v>
      </c>
      <c r="C298">
        <v>0</v>
      </c>
      <c r="D298">
        <v>54.29</v>
      </c>
      <c r="E298">
        <v>2.4199999999999999E-2</v>
      </c>
      <c r="F298">
        <v>6.7000000000000002E-3</v>
      </c>
      <c r="G298">
        <v>0</v>
      </c>
      <c r="H298">
        <v>48</v>
      </c>
      <c r="I298">
        <v>0</v>
      </c>
      <c r="J298">
        <v>1.3299999999999999E-2</v>
      </c>
      <c r="K298">
        <v>0</v>
      </c>
      <c r="L298">
        <v>1.7600000000000001E-2</v>
      </c>
      <c r="M298">
        <v>0.20039999999999999</v>
      </c>
      <c r="N298">
        <v>102.6618</v>
      </c>
      <c r="O298" t="s">
        <v>180</v>
      </c>
      <c r="P298" t="s">
        <v>71</v>
      </c>
    </row>
    <row r="299" spans="1:16">
      <c r="A299">
        <v>28</v>
      </c>
      <c r="B299">
        <v>0.91490000000000005</v>
      </c>
      <c r="C299">
        <v>0</v>
      </c>
      <c r="D299">
        <v>53.79</v>
      </c>
      <c r="E299">
        <v>7.4000000000000003E-3</v>
      </c>
      <c r="F299">
        <v>6.8999999999999999E-3</v>
      </c>
      <c r="G299">
        <v>0</v>
      </c>
      <c r="H299">
        <v>47.93</v>
      </c>
      <c r="I299">
        <v>0</v>
      </c>
      <c r="J299">
        <v>0</v>
      </c>
      <c r="K299">
        <v>0</v>
      </c>
      <c r="L299">
        <v>0</v>
      </c>
      <c r="M299">
        <v>0.19189999999999999</v>
      </c>
      <c r="N299">
        <v>102.84099999999999</v>
      </c>
      <c r="O299" t="s">
        <v>180</v>
      </c>
      <c r="P299" t="s">
        <v>71</v>
      </c>
    </row>
    <row r="300" spans="1:16">
      <c r="A300">
        <v>21</v>
      </c>
      <c r="B300">
        <v>1.86</v>
      </c>
      <c r="C300">
        <v>0</v>
      </c>
      <c r="D300">
        <v>53.37</v>
      </c>
      <c r="E300">
        <v>0</v>
      </c>
      <c r="F300">
        <v>0</v>
      </c>
      <c r="G300">
        <v>0</v>
      </c>
      <c r="H300">
        <v>47.8</v>
      </c>
      <c r="I300">
        <v>0</v>
      </c>
      <c r="J300">
        <v>0</v>
      </c>
      <c r="K300">
        <v>0</v>
      </c>
      <c r="L300">
        <v>1.7000000000000001E-2</v>
      </c>
      <c r="M300">
        <v>0.19170000000000001</v>
      </c>
      <c r="N300">
        <v>103.23860000000001</v>
      </c>
      <c r="O300" t="s">
        <v>180</v>
      </c>
      <c r="P300" t="s">
        <v>71</v>
      </c>
    </row>
    <row r="301" spans="1:16">
      <c r="A301">
        <v>13</v>
      </c>
      <c r="B301">
        <v>0.74590000000000001</v>
      </c>
      <c r="C301">
        <v>0</v>
      </c>
      <c r="D301">
        <v>54.06</v>
      </c>
      <c r="E301">
        <v>1.6899999999999998E-2</v>
      </c>
      <c r="F301">
        <v>0</v>
      </c>
      <c r="G301">
        <v>0</v>
      </c>
      <c r="H301">
        <v>47.74</v>
      </c>
      <c r="I301">
        <v>0</v>
      </c>
      <c r="J301">
        <v>4.1000000000000003E-3</v>
      </c>
      <c r="K301">
        <v>0</v>
      </c>
      <c r="L301">
        <v>0</v>
      </c>
      <c r="M301">
        <v>0.1963</v>
      </c>
      <c r="N301">
        <v>102.76309999999999</v>
      </c>
      <c r="O301" t="s">
        <v>180</v>
      </c>
      <c r="P301" t="s">
        <v>71</v>
      </c>
    </row>
    <row r="302" spans="1:16">
      <c r="A302">
        <v>15</v>
      </c>
      <c r="B302">
        <v>0.624</v>
      </c>
      <c r="C302">
        <v>0</v>
      </c>
      <c r="D302">
        <v>54.18</v>
      </c>
      <c r="E302">
        <v>1.8200000000000001E-2</v>
      </c>
      <c r="F302">
        <v>0</v>
      </c>
      <c r="G302">
        <v>0</v>
      </c>
      <c r="H302">
        <v>47.71</v>
      </c>
      <c r="I302">
        <v>0</v>
      </c>
      <c r="J302">
        <v>5.1999999999999998E-3</v>
      </c>
      <c r="K302">
        <v>0</v>
      </c>
      <c r="L302">
        <v>9.7999999999999997E-3</v>
      </c>
      <c r="M302">
        <v>0.1658</v>
      </c>
      <c r="N302">
        <v>102.71299999999999</v>
      </c>
      <c r="O302" t="s">
        <v>180</v>
      </c>
      <c r="P302" t="s">
        <v>71</v>
      </c>
    </row>
    <row r="303" spans="1:16">
      <c r="A303">
        <v>46</v>
      </c>
      <c r="B303">
        <v>5.4999999999999997E-3</v>
      </c>
      <c r="C303">
        <v>0</v>
      </c>
      <c r="D303">
        <v>54.62</v>
      </c>
      <c r="E303">
        <v>9.4999999999999998E-3</v>
      </c>
      <c r="F303">
        <v>0</v>
      </c>
      <c r="G303">
        <v>0</v>
      </c>
      <c r="H303">
        <v>48.91</v>
      </c>
      <c r="I303">
        <v>0</v>
      </c>
      <c r="J303">
        <v>2.53E-2</v>
      </c>
      <c r="K303">
        <v>0</v>
      </c>
      <c r="L303">
        <v>2E-3</v>
      </c>
      <c r="M303">
        <v>0.12590000000000001</v>
      </c>
      <c r="N303">
        <v>103.6981</v>
      </c>
      <c r="O303" t="s">
        <v>181</v>
      </c>
      <c r="P303" t="s">
        <v>44</v>
      </c>
    </row>
    <row r="304" spans="1:16">
      <c r="A304">
        <v>40</v>
      </c>
      <c r="B304">
        <v>3.3E-3</v>
      </c>
      <c r="C304">
        <v>0</v>
      </c>
      <c r="D304">
        <v>54.66</v>
      </c>
      <c r="E304">
        <v>8.5000000000000006E-3</v>
      </c>
      <c r="F304">
        <v>0</v>
      </c>
      <c r="G304">
        <v>0</v>
      </c>
      <c r="H304">
        <v>48.68</v>
      </c>
      <c r="I304">
        <v>0</v>
      </c>
      <c r="J304">
        <v>8.0000000000000002E-3</v>
      </c>
      <c r="K304">
        <v>0</v>
      </c>
      <c r="L304">
        <v>0</v>
      </c>
      <c r="M304">
        <v>0.14649999999999999</v>
      </c>
      <c r="N304">
        <v>103.50620000000001</v>
      </c>
      <c r="O304" t="s">
        <v>181</v>
      </c>
      <c r="P304" t="s">
        <v>44</v>
      </c>
    </row>
    <row r="305" spans="1:16">
      <c r="A305">
        <v>48</v>
      </c>
      <c r="B305">
        <v>2.0000000000000001E-4</v>
      </c>
      <c r="C305">
        <v>0</v>
      </c>
      <c r="D305">
        <v>54.97</v>
      </c>
      <c r="E305">
        <v>8.3999999999999995E-3</v>
      </c>
      <c r="F305">
        <v>4.0000000000000001E-3</v>
      </c>
      <c r="G305">
        <v>0</v>
      </c>
      <c r="H305">
        <v>48.65</v>
      </c>
      <c r="I305">
        <v>0</v>
      </c>
      <c r="J305">
        <v>1.55E-2</v>
      </c>
      <c r="K305">
        <v>0</v>
      </c>
      <c r="L305">
        <v>5.1999999999999998E-3</v>
      </c>
      <c r="M305">
        <v>0.1721</v>
      </c>
      <c r="N305">
        <v>103.8253</v>
      </c>
      <c r="O305" t="s">
        <v>181</v>
      </c>
      <c r="P305" t="s">
        <v>44</v>
      </c>
    </row>
    <row r="306" spans="1:16">
      <c r="A306">
        <v>47</v>
      </c>
      <c r="B306">
        <v>1E-4</v>
      </c>
      <c r="C306">
        <v>0</v>
      </c>
      <c r="D306">
        <v>54.71</v>
      </c>
      <c r="E306">
        <v>8.3999999999999995E-3</v>
      </c>
      <c r="F306">
        <v>0</v>
      </c>
      <c r="G306">
        <v>0</v>
      </c>
      <c r="H306">
        <v>48.65</v>
      </c>
      <c r="I306">
        <v>0</v>
      </c>
      <c r="J306">
        <v>1.11E-2</v>
      </c>
      <c r="K306">
        <v>0</v>
      </c>
      <c r="L306">
        <v>0</v>
      </c>
      <c r="M306">
        <v>0.17460000000000001</v>
      </c>
      <c r="N306">
        <v>103.55410000000001</v>
      </c>
      <c r="O306" t="s">
        <v>181</v>
      </c>
      <c r="P306" t="s">
        <v>44</v>
      </c>
    </row>
    <row r="307" spans="1:16">
      <c r="A307">
        <v>41</v>
      </c>
      <c r="B307">
        <v>0</v>
      </c>
      <c r="C307">
        <v>0</v>
      </c>
      <c r="D307">
        <v>54.84</v>
      </c>
      <c r="E307">
        <v>1.2800000000000001E-2</v>
      </c>
      <c r="F307">
        <v>0</v>
      </c>
      <c r="G307">
        <v>0</v>
      </c>
      <c r="H307">
        <v>48.62</v>
      </c>
      <c r="I307">
        <v>0</v>
      </c>
      <c r="J307">
        <v>1.1900000000000001E-2</v>
      </c>
      <c r="K307">
        <v>0</v>
      </c>
      <c r="L307">
        <v>0</v>
      </c>
      <c r="M307">
        <v>0.14119999999999999</v>
      </c>
      <c r="N307">
        <v>103.6258</v>
      </c>
      <c r="O307" t="s">
        <v>181</v>
      </c>
      <c r="P307" t="s">
        <v>44</v>
      </c>
    </row>
    <row r="308" spans="1:16">
      <c r="A308">
        <v>39</v>
      </c>
      <c r="B308">
        <v>8.5000000000000006E-3</v>
      </c>
      <c r="C308">
        <v>0</v>
      </c>
      <c r="D308">
        <v>54.74</v>
      </c>
      <c r="E308">
        <v>2.8999999999999998E-3</v>
      </c>
      <c r="F308">
        <v>0</v>
      </c>
      <c r="G308">
        <v>0</v>
      </c>
      <c r="H308">
        <v>48.55</v>
      </c>
      <c r="I308">
        <v>0</v>
      </c>
      <c r="J308">
        <v>1.03E-2</v>
      </c>
      <c r="K308">
        <v>0</v>
      </c>
      <c r="L308">
        <v>8.0999999999999996E-3</v>
      </c>
      <c r="M308">
        <v>0.1492</v>
      </c>
      <c r="N308">
        <v>103.4689</v>
      </c>
      <c r="O308" t="s">
        <v>181</v>
      </c>
      <c r="P308" t="s">
        <v>44</v>
      </c>
    </row>
    <row r="309" spans="1:16">
      <c r="A309">
        <v>85</v>
      </c>
      <c r="B309">
        <v>4.3E-3</v>
      </c>
      <c r="C309">
        <v>0</v>
      </c>
      <c r="D309">
        <v>54.99</v>
      </c>
      <c r="E309">
        <v>7.6E-3</v>
      </c>
      <c r="F309">
        <v>1.5800000000000002E-2</v>
      </c>
      <c r="G309">
        <v>0</v>
      </c>
      <c r="H309">
        <v>48.78</v>
      </c>
      <c r="I309">
        <v>0</v>
      </c>
      <c r="J309">
        <v>2.18E-2</v>
      </c>
      <c r="K309">
        <v>0</v>
      </c>
      <c r="L309">
        <v>2.24E-2</v>
      </c>
      <c r="M309">
        <v>0.13900000000000001</v>
      </c>
      <c r="N309">
        <v>103.9808</v>
      </c>
      <c r="O309" t="s">
        <v>182</v>
      </c>
      <c r="P309" t="s">
        <v>44</v>
      </c>
    </row>
    <row r="310" spans="1:16">
      <c r="A310">
        <v>79</v>
      </c>
      <c r="B310">
        <v>1.8E-3</v>
      </c>
      <c r="C310">
        <v>0</v>
      </c>
      <c r="D310">
        <v>54.66</v>
      </c>
      <c r="E310">
        <v>1.43E-2</v>
      </c>
      <c r="F310">
        <v>1.18E-2</v>
      </c>
      <c r="G310">
        <v>0</v>
      </c>
      <c r="H310">
        <v>48.52</v>
      </c>
      <c r="I310">
        <v>0</v>
      </c>
      <c r="J310">
        <v>3.3999999999999998E-3</v>
      </c>
      <c r="K310">
        <v>0</v>
      </c>
      <c r="L310">
        <v>0</v>
      </c>
      <c r="M310">
        <v>0.14319999999999999</v>
      </c>
      <c r="N310">
        <v>103.3545</v>
      </c>
      <c r="O310" t="s">
        <v>182</v>
      </c>
      <c r="P310" t="s">
        <v>44</v>
      </c>
    </row>
    <row r="311" spans="1:16">
      <c r="A311">
        <v>86</v>
      </c>
      <c r="B311">
        <v>1.1299999999999999E-2</v>
      </c>
      <c r="C311">
        <v>0</v>
      </c>
      <c r="D311">
        <v>54.82</v>
      </c>
      <c r="E311">
        <v>2.1499999999999998E-2</v>
      </c>
      <c r="F311">
        <v>0</v>
      </c>
      <c r="G311">
        <v>0</v>
      </c>
      <c r="H311">
        <v>48.46</v>
      </c>
      <c r="I311">
        <v>0</v>
      </c>
      <c r="J311">
        <v>1.5800000000000002E-2</v>
      </c>
      <c r="K311">
        <v>0</v>
      </c>
      <c r="L311">
        <v>7.4999999999999997E-3</v>
      </c>
      <c r="M311">
        <v>0.1477</v>
      </c>
      <c r="N311">
        <v>103.4837</v>
      </c>
      <c r="O311" t="s">
        <v>182</v>
      </c>
      <c r="P311" t="s">
        <v>44</v>
      </c>
    </row>
    <row r="312" spans="1:16">
      <c r="A312">
        <v>110</v>
      </c>
      <c r="B312">
        <v>0</v>
      </c>
      <c r="C312">
        <v>0</v>
      </c>
      <c r="D312">
        <v>54.88</v>
      </c>
      <c r="E312">
        <v>7.1999999999999998E-3</v>
      </c>
      <c r="F312">
        <v>0</v>
      </c>
      <c r="G312">
        <v>0</v>
      </c>
      <c r="H312">
        <v>48.39</v>
      </c>
      <c r="I312">
        <v>0</v>
      </c>
      <c r="J312">
        <v>2.3999999999999998E-3</v>
      </c>
      <c r="K312">
        <v>0</v>
      </c>
      <c r="L312">
        <v>0</v>
      </c>
      <c r="M312">
        <v>0.1527</v>
      </c>
      <c r="N312">
        <v>103.4323</v>
      </c>
      <c r="O312" t="s">
        <v>182</v>
      </c>
      <c r="P312" t="s">
        <v>44</v>
      </c>
    </row>
    <row r="313" spans="1:16">
      <c r="A313">
        <v>119</v>
      </c>
      <c r="B313">
        <v>0.17699999999999999</v>
      </c>
      <c r="C313">
        <v>0</v>
      </c>
      <c r="D313">
        <v>54.68</v>
      </c>
      <c r="E313">
        <v>7.0000000000000001E-3</v>
      </c>
      <c r="F313">
        <v>6.1000000000000004E-3</v>
      </c>
      <c r="G313">
        <v>0</v>
      </c>
      <c r="H313">
        <v>48.18</v>
      </c>
      <c r="I313">
        <v>0</v>
      </c>
      <c r="J313">
        <v>4.3E-3</v>
      </c>
      <c r="K313">
        <v>0</v>
      </c>
      <c r="L313">
        <v>0</v>
      </c>
      <c r="M313">
        <v>0.14099999999999999</v>
      </c>
      <c r="N313">
        <v>103.1953</v>
      </c>
      <c r="O313" t="s">
        <v>182</v>
      </c>
      <c r="P313" t="s">
        <v>44</v>
      </c>
    </row>
    <row r="314" spans="1:16">
      <c r="A314">
        <v>112</v>
      </c>
      <c r="B314">
        <v>0</v>
      </c>
      <c r="C314">
        <v>0</v>
      </c>
      <c r="D314">
        <v>54.56</v>
      </c>
      <c r="E314">
        <v>2.29E-2</v>
      </c>
      <c r="F314">
        <v>0</v>
      </c>
      <c r="G314">
        <v>0</v>
      </c>
      <c r="H314">
        <v>48.17</v>
      </c>
      <c r="I314">
        <v>0</v>
      </c>
      <c r="J314">
        <v>3.2000000000000001E-2</v>
      </c>
      <c r="K314">
        <v>0</v>
      </c>
      <c r="L314">
        <v>1.0200000000000001E-2</v>
      </c>
      <c r="M314">
        <v>0.1565</v>
      </c>
      <c r="N314">
        <v>102.9515</v>
      </c>
      <c r="O314" t="s">
        <v>182</v>
      </c>
      <c r="P314" t="s">
        <v>44</v>
      </c>
    </row>
    <row r="315" spans="1:16">
      <c r="A315">
        <v>113</v>
      </c>
      <c r="B315">
        <v>0</v>
      </c>
      <c r="C315">
        <v>0</v>
      </c>
      <c r="D315">
        <v>54.77</v>
      </c>
      <c r="E315">
        <v>1.9400000000000001E-2</v>
      </c>
      <c r="F315">
        <v>0</v>
      </c>
      <c r="G315">
        <v>0</v>
      </c>
      <c r="H315">
        <v>48.08</v>
      </c>
      <c r="I315">
        <v>0</v>
      </c>
      <c r="J315">
        <v>1.4500000000000001E-2</v>
      </c>
      <c r="K315">
        <v>0</v>
      </c>
      <c r="L315">
        <v>0</v>
      </c>
      <c r="M315">
        <v>0.16619999999999999</v>
      </c>
      <c r="N315">
        <v>103.05</v>
      </c>
      <c r="O315" t="s">
        <v>182</v>
      </c>
      <c r="P315" t="s">
        <v>44</v>
      </c>
    </row>
    <row r="316" spans="1:16">
      <c r="A316">
        <v>111</v>
      </c>
      <c r="B316">
        <v>0.1739</v>
      </c>
      <c r="C316">
        <v>0</v>
      </c>
      <c r="D316">
        <v>54.65</v>
      </c>
      <c r="E316">
        <v>2.0799999999999999E-2</v>
      </c>
      <c r="F316">
        <v>1.6999999999999999E-3</v>
      </c>
      <c r="G316">
        <v>1.5E-3</v>
      </c>
      <c r="H316">
        <v>48.07</v>
      </c>
      <c r="I316">
        <v>0</v>
      </c>
      <c r="J316">
        <v>8.6999999999999994E-3</v>
      </c>
      <c r="K316">
        <v>0</v>
      </c>
      <c r="L316">
        <v>1.0699999999999999E-2</v>
      </c>
      <c r="M316">
        <v>0.1426</v>
      </c>
      <c r="N316">
        <v>103.07980000000001</v>
      </c>
      <c r="O316" t="s">
        <v>182</v>
      </c>
      <c r="P316" t="s">
        <v>44</v>
      </c>
    </row>
    <row r="317" spans="1:16">
      <c r="A317">
        <v>22</v>
      </c>
      <c r="B317">
        <v>3.8100000000000002E-2</v>
      </c>
      <c r="C317">
        <v>0</v>
      </c>
      <c r="D317">
        <v>54.58</v>
      </c>
      <c r="E317">
        <v>1.3899999999999999E-2</v>
      </c>
      <c r="F317">
        <v>1.3299999999999999E-2</v>
      </c>
      <c r="G317">
        <v>0</v>
      </c>
      <c r="H317">
        <v>48.58</v>
      </c>
      <c r="I317">
        <v>1.17E-2</v>
      </c>
      <c r="J317">
        <v>1.9099999999999999E-2</v>
      </c>
      <c r="K317">
        <v>0</v>
      </c>
      <c r="L317">
        <v>1.9E-2</v>
      </c>
      <c r="M317">
        <v>0.15820000000000001</v>
      </c>
      <c r="N317">
        <v>103.4333</v>
      </c>
      <c r="O317" t="s">
        <v>183</v>
      </c>
      <c r="P317" t="s">
        <v>44</v>
      </c>
    </row>
    <row r="318" spans="1:16">
      <c r="A318">
        <v>20</v>
      </c>
      <c r="B318">
        <v>0</v>
      </c>
      <c r="C318">
        <v>0</v>
      </c>
      <c r="D318">
        <v>54.49</v>
      </c>
      <c r="E318">
        <v>1.03E-2</v>
      </c>
      <c r="F318">
        <v>0</v>
      </c>
      <c r="G318">
        <v>0</v>
      </c>
      <c r="H318">
        <v>48.31</v>
      </c>
      <c r="I318">
        <v>0</v>
      </c>
      <c r="J318">
        <v>0</v>
      </c>
      <c r="K318">
        <v>0</v>
      </c>
      <c r="L318">
        <v>0</v>
      </c>
      <c r="M318">
        <v>0.16289999999999999</v>
      </c>
      <c r="N318">
        <v>102.97320000000001</v>
      </c>
      <c r="O318" t="s">
        <v>183</v>
      </c>
      <c r="P318" t="s">
        <v>44</v>
      </c>
    </row>
    <row r="319" spans="1:16">
      <c r="A319">
        <v>21</v>
      </c>
      <c r="B319">
        <v>8.9999999999999993E-3</v>
      </c>
      <c r="C319">
        <v>0</v>
      </c>
      <c r="D319">
        <v>54.77</v>
      </c>
      <c r="E319">
        <v>6.1999999999999998E-3</v>
      </c>
      <c r="F319">
        <v>0</v>
      </c>
      <c r="G319">
        <v>0</v>
      </c>
      <c r="H319">
        <v>48.24</v>
      </c>
      <c r="I319">
        <v>0</v>
      </c>
      <c r="J319">
        <v>0</v>
      </c>
      <c r="K319">
        <v>0</v>
      </c>
      <c r="L319">
        <v>0</v>
      </c>
      <c r="M319">
        <v>0.14069999999999999</v>
      </c>
      <c r="N319">
        <v>103.1658</v>
      </c>
      <c r="O319" t="s">
        <v>183</v>
      </c>
      <c r="P319" t="s">
        <v>44</v>
      </c>
    </row>
    <row r="320" spans="1:16">
      <c r="A320">
        <v>42</v>
      </c>
      <c r="B320">
        <v>0.318</v>
      </c>
      <c r="C320">
        <v>0</v>
      </c>
      <c r="D320">
        <v>53.98</v>
      </c>
      <c r="E320">
        <v>1.5E-3</v>
      </c>
      <c r="F320">
        <v>0</v>
      </c>
      <c r="G320">
        <v>0</v>
      </c>
      <c r="H320">
        <v>52.16</v>
      </c>
      <c r="I320">
        <v>0</v>
      </c>
      <c r="J320">
        <v>0.17</v>
      </c>
      <c r="K320">
        <v>0</v>
      </c>
      <c r="L320">
        <v>0</v>
      </c>
      <c r="M320">
        <v>0.21629999999999999</v>
      </c>
      <c r="N320">
        <v>106.84569999999999</v>
      </c>
      <c r="O320" t="s">
        <v>184</v>
      </c>
      <c r="P320" t="s">
        <v>185</v>
      </c>
    </row>
    <row r="321" spans="1:16">
      <c r="A321">
        <v>57</v>
      </c>
      <c r="B321">
        <v>1.52</v>
      </c>
      <c r="C321">
        <v>0</v>
      </c>
      <c r="D321">
        <v>52.34</v>
      </c>
      <c r="E321">
        <v>3.7199999999999997E-2</v>
      </c>
      <c r="F321">
        <v>0.21440000000000001</v>
      </c>
      <c r="G321">
        <v>0</v>
      </c>
      <c r="H321">
        <v>51.32</v>
      </c>
      <c r="I321">
        <v>0</v>
      </c>
      <c r="J321">
        <v>2.3800000000000002E-2</v>
      </c>
      <c r="K321">
        <v>0</v>
      </c>
      <c r="L321">
        <v>0</v>
      </c>
      <c r="M321">
        <v>0.17369999999999999</v>
      </c>
      <c r="N321">
        <v>105.62909999999999</v>
      </c>
      <c r="O321" t="s">
        <v>184</v>
      </c>
      <c r="P321" t="s">
        <v>185</v>
      </c>
    </row>
    <row r="322" spans="1:16">
      <c r="A322">
        <v>56</v>
      </c>
      <c r="B322">
        <v>1.8</v>
      </c>
      <c r="C322">
        <v>0</v>
      </c>
      <c r="D322">
        <v>51.89</v>
      </c>
      <c r="E322">
        <v>1.21E-2</v>
      </c>
      <c r="F322">
        <v>0.249</v>
      </c>
      <c r="G322">
        <v>0</v>
      </c>
      <c r="H322">
        <v>50.96</v>
      </c>
      <c r="I322">
        <v>1E-3</v>
      </c>
      <c r="J322">
        <v>1.09E-2</v>
      </c>
      <c r="K322">
        <v>0</v>
      </c>
      <c r="L322">
        <v>0</v>
      </c>
      <c r="M322">
        <v>0.1724</v>
      </c>
      <c r="N322">
        <v>105.0954</v>
      </c>
      <c r="O322" t="s">
        <v>184</v>
      </c>
      <c r="P322" t="s">
        <v>185</v>
      </c>
    </row>
    <row r="323" spans="1:16">
      <c r="A323">
        <v>58</v>
      </c>
      <c r="B323">
        <v>2.95</v>
      </c>
      <c r="C323">
        <v>0</v>
      </c>
      <c r="D323">
        <v>51.64</v>
      </c>
      <c r="E323">
        <v>1.23E-2</v>
      </c>
      <c r="F323">
        <v>0.25119999999999998</v>
      </c>
      <c r="G323">
        <v>0</v>
      </c>
      <c r="H323">
        <v>50.53</v>
      </c>
      <c r="I323">
        <v>0</v>
      </c>
      <c r="J323">
        <v>3.7199999999999997E-2</v>
      </c>
      <c r="K323">
        <v>0</v>
      </c>
      <c r="L323">
        <v>0</v>
      </c>
      <c r="M323">
        <v>0.18440000000000001</v>
      </c>
      <c r="N323">
        <v>105.605</v>
      </c>
      <c r="O323" t="s">
        <v>184</v>
      </c>
      <c r="P323" t="s">
        <v>185</v>
      </c>
    </row>
    <row r="324" spans="1:16">
      <c r="A324">
        <v>54</v>
      </c>
      <c r="B324">
        <v>0.1603</v>
      </c>
      <c r="C324">
        <v>0</v>
      </c>
      <c r="D324">
        <v>54.05</v>
      </c>
      <c r="E324">
        <v>2.9999999999999997E-4</v>
      </c>
      <c r="F324">
        <v>2.5000000000000001E-3</v>
      </c>
      <c r="G324">
        <v>0</v>
      </c>
      <c r="H324">
        <v>47.95</v>
      </c>
      <c r="I324">
        <v>1.1000000000000001E-3</v>
      </c>
      <c r="J324">
        <v>3.0999999999999999E-3</v>
      </c>
      <c r="K324">
        <v>0</v>
      </c>
      <c r="L324">
        <v>0</v>
      </c>
      <c r="M324">
        <v>0.17269999999999999</v>
      </c>
      <c r="N324">
        <v>102.3399</v>
      </c>
      <c r="O324" t="s">
        <v>186</v>
      </c>
      <c r="P324" t="s">
        <v>187</v>
      </c>
    </row>
    <row r="325" spans="1:16">
      <c r="A325">
        <v>36</v>
      </c>
      <c r="B325">
        <v>4.3E-3</v>
      </c>
      <c r="C325">
        <v>0</v>
      </c>
      <c r="D325">
        <v>54.12</v>
      </c>
      <c r="E325">
        <v>1.1999999999999999E-3</v>
      </c>
      <c r="F325">
        <v>8.0000000000000004E-4</v>
      </c>
      <c r="G325">
        <v>0</v>
      </c>
      <c r="H325">
        <v>47.99</v>
      </c>
      <c r="I325">
        <v>2.9999999999999997E-4</v>
      </c>
      <c r="J325">
        <v>0</v>
      </c>
      <c r="K325">
        <v>0</v>
      </c>
      <c r="L325">
        <v>0.85309999999999997</v>
      </c>
      <c r="M325">
        <v>0.17430000000000001</v>
      </c>
      <c r="N325">
        <v>103.14400000000001</v>
      </c>
      <c r="O325" t="s">
        <v>188</v>
      </c>
      <c r="P325" t="s">
        <v>189</v>
      </c>
    </row>
    <row r="326" spans="1:16">
      <c r="A326">
        <v>37</v>
      </c>
      <c r="B326">
        <v>0.1232</v>
      </c>
      <c r="C326">
        <v>0</v>
      </c>
      <c r="D326">
        <v>51.93</v>
      </c>
      <c r="E326">
        <v>1.9E-3</v>
      </c>
      <c r="F326">
        <v>0</v>
      </c>
      <c r="G326">
        <v>0</v>
      </c>
      <c r="H326">
        <v>47.87</v>
      </c>
      <c r="I326">
        <v>0</v>
      </c>
      <c r="J326">
        <v>0</v>
      </c>
      <c r="K326">
        <v>0</v>
      </c>
      <c r="L326">
        <v>0.29409999999999997</v>
      </c>
      <c r="M326">
        <v>0.18920000000000001</v>
      </c>
      <c r="N326">
        <v>100.4083</v>
      </c>
      <c r="O326" t="s">
        <v>188</v>
      </c>
      <c r="P326" t="s">
        <v>189</v>
      </c>
    </row>
    <row r="327" spans="1:16">
      <c r="A327">
        <v>38</v>
      </c>
      <c r="B327">
        <v>1.4500000000000001E-2</v>
      </c>
      <c r="C327">
        <v>0</v>
      </c>
      <c r="D327">
        <v>53.31</v>
      </c>
      <c r="E327">
        <v>4.7000000000000002E-3</v>
      </c>
      <c r="F327">
        <v>3.0999999999999999E-3</v>
      </c>
      <c r="G327">
        <v>1.6000000000000001E-3</v>
      </c>
      <c r="H327">
        <v>47.14</v>
      </c>
      <c r="I327">
        <v>0</v>
      </c>
      <c r="J327">
        <v>0</v>
      </c>
      <c r="K327">
        <v>0</v>
      </c>
      <c r="L327">
        <v>0.84930000000000005</v>
      </c>
      <c r="M327">
        <v>0.20150000000000001</v>
      </c>
      <c r="N327">
        <v>101.52460000000001</v>
      </c>
      <c r="O327" t="s">
        <v>188</v>
      </c>
      <c r="P327" t="s">
        <v>189</v>
      </c>
    </row>
    <row r="328" spans="1:16">
      <c r="A328">
        <v>39</v>
      </c>
      <c r="B328">
        <v>1.0800000000000001E-2</v>
      </c>
      <c r="C328">
        <v>0</v>
      </c>
      <c r="D328">
        <v>53.68</v>
      </c>
      <c r="E328">
        <v>1.1999999999999999E-3</v>
      </c>
      <c r="F328">
        <v>0</v>
      </c>
      <c r="G328">
        <v>0</v>
      </c>
      <c r="H328">
        <v>48.36</v>
      </c>
      <c r="I328">
        <v>0</v>
      </c>
      <c r="J328">
        <v>0</v>
      </c>
      <c r="K328">
        <v>0</v>
      </c>
      <c r="L328">
        <v>0.33150000000000002</v>
      </c>
      <c r="M328">
        <v>0.1741</v>
      </c>
      <c r="N328">
        <v>102.5575</v>
      </c>
      <c r="O328" t="s">
        <v>188</v>
      </c>
      <c r="P328" t="s">
        <v>189</v>
      </c>
    </row>
    <row r="329" spans="1:16">
      <c r="A329">
        <v>40</v>
      </c>
      <c r="B329">
        <v>2.8999999999999998E-3</v>
      </c>
      <c r="C329">
        <v>0</v>
      </c>
      <c r="D329">
        <v>54.01</v>
      </c>
      <c r="E329">
        <v>1.23E-2</v>
      </c>
      <c r="F329">
        <v>0</v>
      </c>
      <c r="G329">
        <v>0</v>
      </c>
      <c r="H329">
        <v>48.03</v>
      </c>
      <c r="I329">
        <v>0</v>
      </c>
      <c r="J329">
        <v>0</v>
      </c>
      <c r="K329">
        <v>0</v>
      </c>
      <c r="L329">
        <v>0.24279999999999999</v>
      </c>
      <c r="M329">
        <v>0.19489999999999999</v>
      </c>
      <c r="N329">
        <v>102.4928</v>
      </c>
      <c r="O329" t="s">
        <v>188</v>
      </c>
      <c r="P329" t="s">
        <v>189</v>
      </c>
    </row>
    <row r="330" spans="1:16">
      <c r="A330" s="27">
        <v>86</v>
      </c>
      <c r="B330" s="27">
        <v>0.51529999999999998</v>
      </c>
      <c r="C330" s="27">
        <v>0</v>
      </c>
      <c r="D330" s="27">
        <v>55.83</v>
      </c>
      <c r="E330" s="27">
        <v>2.35E-2</v>
      </c>
      <c r="F330" s="27">
        <v>1.43E-2</v>
      </c>
      <c r="G330" s="27">
        <v>0</v>
      </c>
      <c r="H330" s="27">
        <v>47.22</v>
      </c>
      <c r="I330" s="27">
        <v>0</v>
      </c>
      <c r="J330" s="27">
        <v>0</v>
      </c>
      <c r="K330" s="27">
        <v>0</v>
      </c>
      <c r="L330" s="27">
        <v>0</v>
      </c>
      <c r="M330" s="27">
        <v>0.21429999999999999</v>
      </c>
      <c r="N330" s="27">
        <v>103.81740000000001</v>
      </c>
      <c r="O330" s="27" t="s">
        <v>190</v>
      </c>
      <c r="P330" t="s">
        <v>191</v>
      </c>
    </row>
    <row r="331" spans="1:16">
      <c r="A331" s="27">
        <v>87</v>
      </c>
      <c r="B331" s="27">
        <v>8.8000000000000005E-3</v>
      </c>
      <c r="C331" s="27">
        <v>0</v>
      </c>
      <c r="D331" s="27">
        <v>56.12</v>
      </c>
      <c r="E331" s="27">
        <v>1.23E-2</v>
      </c>
      <c r="F331" s="27">
        <v>0</v>
      </c>
      <c r="G331" s="27">
        <v>0</v>
      </c>
      <c r="H331" s="27">
        <v>47.24</v>
      </c>
      <c r="I331" s="27">
        <v>0</v>
      </c>
      <c r="J331" s="27">
        <v>2.3099999999999999E-2</v>
      </c>
      <c r="K331" s="27">
        <v>0</v>
      </c>
      <c r="L331" s="27">
        <v>0</v>
      </c>
      <c r="M331" s="27">
        <v>0.16239999999999999</v>
      </c>
      <c r="N331" s="27">
        <v>103.56659999999999</v>
      </c>
      <c r="O331" s="27" t="s">
        <v>190</v>
      </c>
      <c r="P331" t="s">
        <v>191</v>
      </c>
    </row>
    <row r="332" spans="1:16">
      <c r="A332" s="27">
        <v>88</v>
      </c>
      <c r="B332" s="27">
        <v>1.14E-2</v>
      </c>
      <c r="C332" s="27">
        <v>0</v>
      </c>
      <c r="D332" s="27">
        <v>55.7</v>
      </c>
      <c r="E332" s="27">
        <v>5.4000000000000003E-3</v>
      </c>
      <c r="F332" s="27">
        <v>1.9E-3</v>
      </c>
      <c r="G332" s="27">
        <v>0</v>
      </c>
      <c r="H332" s="27">
        <v>46.73</v>
      </c>
      <c r="I332" s="27">
        <v>0</v>
      </c>
      <c r="J332" s="27">
        <v>9.7000000000000003E-3</v>
      </c>
      <c r="K332" s="27">
        <v>0</v>
      </c>
      <c r="L332" s="27">
        <v>9.9000000000000008E-3</v>
      </c>
      <c r="M332" s="27">
        <v>0.22539999999999999</v>
      </c>
      <c r="N332" s="27">
        <v>102.6936</v>
      </c>
      <c r="O332" s="27" t="s">
        <v>190</v>
      </c>
      <c r="P332" t="s">
        <v>191</v>
      </c>
    </row>
    <row r="333" spans="1:16">
      <c r="A333" s="27">
        <v>89</v>
      </c>
      <c r="B333" s="27">
        <v>4.9500000000000002E-2</v>
      </c>
      <c r="C333" s="27">
        <v>0</v>
      </c>
      <c r="D333" s="27">
        <v>55.93</v>
      </c>
      <c r="E333" s="27">
        <v>7.1000000000000004E-3</v>
      </c>
      <c r="F333" s="27">
        <v>1.15E-2</v>
      </c>
      <c r="G333" s="27">
        <v>0</v>
      </c>
      <c r="H333" s="27">
        <v>47.34</v>
      </c>
      <c r="I333" s="27">
        <v>0</v>
      </c>
      <c r="J333" s="27">
        <v>1.46E-2</v>
      </c>
      <c r="K333" s="27">
        <v>0</v>
      </c>
      <c r="L333" s="27">
        <v>0</v>
      </c>
      <c r="M333" s="27">
        <v>0.214</v>
      </c>
      <c r="N333" s="27">
        <v>103.5667</v>
      </c>
      <c r="O333" s="27" t="s">
        <v>190</v>
      </c>
      <c r="P333" t="s">
        <v>191</v>
      </c>
    </row>
    <row r="334" spans="1:16">
      <c r="A334" s="27">
        <v>91</v>
      </c>
      <c r="B334" s="27">
        <v>0.53559999999999997</v>
      </c>
      <c r="C334" s="27">
        <v>0</v>
      </c>
      <c r="D334" s="27">
        <v>55.72</v>
      </c>
      <c r="E334" s="27">
        <v>1.4200000000000001E-2</v>
      </c>
      <c r="F334" s="27">
        <v>2.5000000000000001E-3</v>
      </c>
      <c r="G334" s="27">
        <v>0</v>
      </c>
      <c r="H334" s="27">
        <v>46.96</v>
      </c>
      <c r="I334" s="27">
        <v>0</v>
      </c>
      <c r="J334" s="27">
        <v>2.9999999999999997E-4</v>
      </c>
      <c r="K334" s="27">
        <v>0</v>
      </c>
      <c r="L334" s="27">
        <v>2.0400000000000001E-2</v>
      </c>
      <c r="M334" s="27">
        <v>0.16450000000000001</v>
      </c>
      <c r="N334" s="27">
        <v>103.4174</v>
      </c>
      <c r="O334" s="27" t="s">
        <v>190</v>
      </c>
      <c r="P334" t="s">
        <v>191</v>
      </c>
    </row>
    <row r="335" spans="1:16">
      <c r="A335" s="27">
        <v>92</v>
      </c>
      <c r="B335" s="27">
        <v>8.9999999999999993E-3</v>
      </c>
      <c r="C335" s="27">
        <v>0</v>
      </c>
      <c r="D335" s="27">
        <v>56.1</v>
      </c>
      <c r="E335" s="27">
        <v>1.3599999999999999E-2</v>
      </c>
      <c r="F335" s="27">
        <v>1.2999999999999999E-2</v>
      </c>
      <c r="G335" s="27">
        <v>0</v>
      </c>
      <c r="H335" s="27">
        <v>47.14</v>
      </c>
      <c r="I335" s="27">
        <v>4.0000000000000002E-4</v>
      </c>
      <c r="J335" s="27">
        <v>0</v>
      </c>
      <c r="K335" s="27">
        <v>0</v>
      </c>
      <c r="L335" s="27">
        <v>1.2699999999999999E-2</v>
      </c>
      <c r="M335" s="27">
        <v>0.19789999999999999</v>
      </c>
      <c r="N335" s="27">
        <v>103.48650000000001</v>
      </c>
      <c r="O335" s="27" t="s">
        <v>192</v>
      </c>
      <c r="P335" t="s">
        <v>191</v>
      </c>
    </row>
    <row r="336" spans="1:16">
      <c r="A336" s="27">
        <v>93</v>
      </c>
      <c r="B336" s="27">
        <v>5.1999999999999998E-3</v>
      </c>
      <c r="C336" s="27">
        <v>0</v>
      </c>
      <c r="D336" s="27">
        <v>55.86</v>
      </c>
      <c r="E336" s="27">
        <v>1.4500000000000001E-2</v>
      </c>
      <c r="F336" s="27">
        <v>0</v>
      </c>
      <c r="G336" s="27">
        <v>0</v>
      </c>
      <c r="H336" s="27">
        <v>47.15</v>
      </c>
      <c r="I336" s="27">
        <v>5.0000000000000001E-4</v>
      </c>
      <c r="J336" s="27">
        <v>5.4000000000000003E-3</v>
      </c>
      <c r="K336" s="27">
        <v>0</v>
      </c>
      <c r="L336" s="27">
        <v>7.7000000000000002E-3</v>
      </c>
      <c r="M336" s="27">
        <v>0.2853</v>
      </c>
      <c r="N336" s="27">
        <v>103.32859999999999</v>
      </c>
      <c r="O336" s="27" t="s">
        <v>192</v>
      </c>
      <c r="P336" t="s">
        <v>191</v>
      </c>
    </row>
    <row r="337" spans="1:16">
      <c r="A337" s="27">
        <v>94</v>
      </c>
      <c r="B337" s="27">
        <v>4.7600000000000003E-2</v>
      </c>
      <c r="C337" s="27">
        <v>0</v>
      </c>
      <c r="D337" s="27">
        <v>55.92</v>
      </c>
      <c r="E337" s="27">
        <v>9.2999999999999992E-3</v>
      </c>
      <c r="F337" s="27">
        <v>0</v>
      </c>
      <c r="G337" s="27">
        <v>0</v>
      </c>
      <c r="H337" s="27">
        <v>46.46</v>
      </c>
      <c r="I337" s="27">
        <v>2.8E-3</v>
      </c>
      <c r="J337" s="27">
        <v>0</v>
      </c>
      <c r="K337" s="27">
        <v>0</v>
      </c>
      <c r="L337" s="27">
        <v>8.0000000000000002E-3</v>
      </c>
      <c r="M337" s="27">
        <v>0.1973</v>
      </c>
      <c r="N337" s="27">
        <v>102.645</v>
      </c>
      <c r="O337" s="27" t="s">
        <v>192</v>
      </c>
      <c r="P337" t="s">
        <v>191</v>
      </c>
    </row>
    <row r="338" spans="1:16">
      <c r="A338">
        <v>51</v>
      </c>
      <c r="B338">
        <v>0.4012</v>
      </c>
      <c r="C338">
        <v>0</v>
      </c>
      <c r="D338">
        <v>53.26</v>
      </c>
      <c r="E338">
        <v>1.23E-2</v>
      </c>
      <c r="F338">
        <v>8.9999999999999998E-4</v>
      </c>
      <c r="G338">
        <v>0</v>
      </c>
      <c r="H338">
        <v>50.65</v>
      </c>
      <c r="I338">
        <v>0</v>
      </c>
      <c r="J338">
        <v>0</v>
      </c>
      <c r="K338">
        <v>0</v>
      </c>
      <c r="L338">
        <v>0.13370000000000001</v>
      </c>
      <c r="M338">
        <v>0.1706</v>
      </c>
      <c r="N338">
        <v>104.62860000000001</v>
      </c>
      <c r="O338" t="s">
        <v>193</v>
      </c>
      <c r="P338" t="s">
        <v>166</v>
      </c>
    </row>
    <row r="339" spans="1:16">
      <c r="A339">
        <v>48</v>
      </c>
      <c r="B339">
        <v>0.43869999999999998</v>
      </c>
      <c r="C339">
        <v>0</v>
      </c>
      <c r="D339">
        <v>54.24</v>
      </c>
      <c r="E339">
        <v>8.0999999999999996E-3</v>
      </c>
      <c r="F339">
        <v>4.87E-2</v>
      </c>
      <c r="G339">
        <v>0</v>
      </c>
      <c r="H339">
        <v>50.19</v>
      </c>
      <c r="I339">
        <v>0</v>
      </c>
      <c r="J339">
        <v>1.6999999999999999E-3</v>
      </c>
      <c r="K339">
        <v>0</v>
      </c>
      <c r="L339">
        <v>0</v>
      </c>
      <c r="M339">
        <v>0.1739</v>
      </c>
      <c r="N339">
        <v>105.101</v>
      </c>
      <c r="O339" t="s">
        <v>193</v>
      </c>
      <c r="P339" t="s">
        <v>166</v>
      </c>
    </row>
    <row r="340" spans="1:16">
      <c r="A340">
        <v>47</v>
      </c>
      <c r="B340">
        <v>0.25829999999999997</v>
      </c>
      <c r="C340">
        <v>0</v>
      </c>
      <c r="D340">
        <v>54.63</v>
      </c>
      <c r="E340">
        <v>8.8000000000000005E-3</v>
      </c>
      <c r="F340">
        <v>0</v>
      </c>
      <c r="G340">
        <v>0</v>
      </c>
      <c r="H340">
        <v>50.72</v>
      </c>
      <c r="I340">
        <v>4.0000000000000001E-3</v>
      </c>
      <c r="J340">
        <v>0</v>
      </c>
      <c r="K340">
        <v>0</v>
      </c>
      <c r="L340">
        <v>0</v>
      </c>
      <c r="M340">
        <v>0.17150000000000001</v>
      </c>
      <c r="N340">
        <v>105.7925</v>
      </c>
      <c r="O340" t="s">
        <v>193</v>
      </c>
      <c r="P340" t="s">
        <v>166</v>
      </c>
    </row>
    <row r="341" spans="1:16">
      <c r="A341">
        <v>49</v>
      </c>
      <c r="B341">
        <v>0.40600000000000003</v>
      </c>
      <c r="C341">
        <v>0</v>
      </c>
      <c r="D341">
        <v>54.3</v>
      </c>
      <c r="E341">
        <v>0</v>
      </c>
      <c r="F341">
        <v>5.2400000000000002E-2</v>
      </c>
      <c r="G341">
        <v>0</v>
      </c>
      <c r="H341">
        <v>50.63</v>
      </c>
      <c r="I341">
        <v>0</v>
      </c>
      <c r="J341">
        <v>0</v>
      </c>
      <c r="K341">
        <v>0</v>
      </c>
      <c r="L341">
        <v>0</v>
      </c>
      <c r="M341">
        <v>0.20499999999999999</v>
      </c>
      <c r="N341">
        <v>105.5933</v>
      </c>
      <c r="O341" t="s">
        <v>193</v>
      </c>
      <c r="P341" t="s">
        <v>166</v>
      </c>
    </row>
    <row r="342" spans="1:16">
      <c r="A342">
        <v>7</v>
      </c>
      <c r="B342">
        <v>0.17080000000000001</v>
      </c>
      <c r="C342">
        <v>0</v>
      </c>
      <c r="D342">
        <v>54.39</v>
      </c>
      <c r="E342">
        <v>9.9000000000000008E-3</v>
      </c>
      <c r="F342">
        <v>2.0299999999999999E-2</v>
      </c>
      <c r="G342">
        <v>0</v>
      </c>
      <c r="H342">
        <v>47.08</v>
      </c>
      <c r="I342">
        <v>0</v>
      </c>
      <c r="J342">
        <v>0</v>
      </c>
      <c r="K342">
        <v>0</v>
      </c>
      <c r="L342">
        <v>1.6999999999999999E-3</v>
      </c>
      <c r="M342">
        <v>0.15540000000000001</v>
      </c>
      <c r="N342">
        <v>101.82810000000001</v>
      </c>
      <c r="O342" t="s">
        <v>194</v>
      </c>
      <c r="P342" t="s">
        <v>46</v>
      </c>
    </row>
    <row r="343" spans="1:16">
      <c r="A343">
        <v>24</v>
      </c>
      <c r="B343">
        <v>0.79459999999999997</v>
      </c>
      <c r="C343">
        <v>0</v>
      </c>
      <c r="D343">
        <v>54.18</v>
      </c>
      <c r="E343">
        <v>6.6E-3</v>
      </c>
      <c r="F343">
        <v>0</v>
      </c>
      <c r="G343">
        <v>0</v>
      </c>
      <c r="H343">
        <v>47.02</v>
      </c>
      <c r="I343">
        <v>0</v>
      </c>
      <c r="J343">
        <v>0</v>
      </c>
      <c r="K343">
        <v>0</v>
      </c>
      <c r="L343">
        <v>1.0699999999999999E-2</v>
      </c>
      <c r="M343">
        <v>0.19489999999999999</v>
      </c>
      <c r="N343">
        <v>102.2067</v>
      </c>
      <c r="O343" t="s">
        <v>195</v>
      </c>
      <c r="P343" t="s">
        <v>46</v>
      </c>
    </row>
    <row r="344" spans="1:16">
      <c r="A344">
        <v>13</v>
      </c>
      <c r="B344">
        <v>0.68700000000000006</v>
      </c>
      <c r="C344">
        <v>0</v>
      </c>
      <c r="D344">
        <v>54.37</v>
      </c>
      <c r="E344">
        <v>2.0799999999999999E-2</v>
      </c>
      <c r="F344">
        <v>0</v>
      </c>
      <c r="G344">
        <v>0</v>
      </c>
      <c r="H344">
        <v>46.99</v>
      </c>
      <c r="I344">
        <v>0</v>
      </c>
      <c r="J344">
        <v>2.07E-2</v>
      </c>
      <c r="K344">
        <v>0</v>
      </c>
      <c r="L344">
        <v>2.4500000000000001E-2</v>
      </c>
      <c r="M344">
        <v>0.1694</v>
      </c>
      <c r="N344">
        <v>102.28230000000001</v>
      </c>
      <c r="O344" t="s">
        <v>195</v>
      </c>
      <c r="P344" t="s">
        <v>46</v>
      </c>
    </row>
    <row r="345" spans="1:16">
      <c r="A345">
        <v>6</v>
      </c>
      <c r="B345">
        <v>1.09E-2</v>
      </c>
      <c r="C345">
        <v>0</v>
      </c>
      <c r="D345">
        <v>54.63</v>
      </c>
      <c r="E345">
        <v>1.4500000000000001E-2</v>
      </c>
      <c r="F345">
        <v>0</v>
      </c>
      <c r="G345">
        <v>0</v>
      </c>
      <c r="H345">
        <v>46.99</v>
      </c>
      <c r="I345">
        <v>0</v>
      </c>
      <c r="J345">
        <v>1.5E-3</v>
      </c>
      <c r="K345">
        <v>0</v>
      </c>
      <c r="L345">
        <v>0</v>
      </c>
      <c r="M345">
        <v>0.1552</v>
      </c>
      <c r="N345">
        <v>101.80200000000001</v>
      </c>
      <c r="O345" t="s">
        <v>194</v>
      </c>
      <c r="P345" t="s">
        <v>46</v>
      </c>
    </row>
    <row r="346" spans="1:16">
      <c r="A346">
        <v>11</v>
      </c>
      <c r="B346">
        <v>0.88939999999999997</v>
      </c>
      <c r="C346">
        <v>0</v>
      </c>
      <c r="D346">
        <v>53.96</v>
      </c>
      <c r="E346">
        <v>1.46E-2</v>
      </c>
      <c r="F346">
        <v>1.3100000000000001E-2</v>
      </c>
      <c r="G346">
        <v>0</v>
      </c>
      <c r="H346">
        <v>46.84</v>
      </c>
      <c r="I346">
        <v>0</v>
      </c>
      <c r="J346">
        <v>1.8100000000000002E-2</v>
      </c>
      <c r="K346">
        <v>0</v>
      </c>
      <c r="L346">
        <v>0</v>
      </c>
      <c r="M346">
        <v>0.15179999999999999</v>
      </c>
      <c r="N346">
        <v>101.8869</v>
      </c>
      <c r="O346" t="s">
        <v>195</v>
      </c>
      <c r="P346" t="s">
        <v>46</v>
      </c>
    </row>
    <row r="347" spans="1:16">
      <c r="A347">
        <v>12</v>
      </c>
      <c r="B347">
        <v>1.8E-3</v>
      </c>
      <c r="C347">
        <v>0</v>
      </c>
      <c r="D347">
        <v>54.37</v>
      </c>
      <c r="E347">
        <v>7.9000000000000008E-3</v>
      </c>
      <c r="F347">
        <v>0</v>
      </c>
      <c r="G347">
        <v>0</v>
      </c>
      <c r="H347">
        <v>46.78</v>
      </c>
      <c r="I347">
        <v>0</v>
      </c>
      <c r="J347">
        <v>1.2699999999999999E-2</v>
      </c>
      <c r="K347">
        <v>0</v>
      </c>
      <c r="L347">
        <v>1.4E-2</v>
      </c>
      <c r="M347">
        <v>0.21310000000000001</v>
      </c>
      <c r="N347">
        <v>101.3994</v>
      </c>
      <c r="O347" t="s">
        <v>195</v>
      </c>
      <c r="P347" t="s">
        <v>46</v>
      </c>
    </row>
    <row r="348" spans="1:16">
      <c r="A348">
        <v>38</v>
      </c>
      <c r="B348">
        <v>9.1999999999999998E-3</v>
      </c>
      <c r="C348">
        <v>0</v>
      </c>
      <c r="D348">
        <v>54.84</v>
      </c>
      <c r="E348">
        <v>5.1000000000000004E-3</v>
      </c>
      <c r="F348">
        <v>3.8999999999999998E-3</v>
      </c>
      <c r="G348">
        <v>0</v>
      </c>
      <c r="H348">
        <v>46.76</v>
      </c>
      <c r="I348">
        <v>0</v>
      </c>
      <c r="J348">
        <v>0</v>
      </c>
      <c r="K348">
        <v>0</v>
      </c>
      <c r="L348">
        <v>0</v>
      </c>
      <c r="M348">
        <v>0.15040000000000001</v>
      </c>
      <c r="N348">
        <v>101.7685</v>
      </c>
      <c r="O348" t="s">
        <v>196</v>
      </c>
      <c r="P348" t="s">
        <v>123</v>
      </c>
    </row>
    <row r="349" spans="1:16">
      <c r="A349">
        <v>39</v>
      </c>
      <c r="B349">
        <v>4.6399999999999997E-2</v>
      </c>
      <c r="C349">
        <v>0</v>
      </c>
      <c r="D349">
        <v>55.09</v>
      </c>
      <c r="E349">
        <v>2.3400000000000001E-2</v>
      </c>
      <c r="F349">
        <v>0</v>
      </c>
      <c r="G349">
        <v>0</v>
      </c>
      <c r="H349">
        <v>46.71</v>
      </c>
      <c r="I349">
        <v>0</v>
      </c>
      <c r="J349">
        <v>0</v>
      </c>
      <c r="K349">
        <v>0</v>
      </c>
      <c r="L349">
        <v>2.9999999999999997E-4</v>
      </c>
      <c r="M349">
        <v>0.14990000000000001</v>
      </c>
      <c r="N349">
        <v>102.01990000000001</v>
      </c>
      <c r="O349" t="s">
        <v>196</v>
      </c>
      <c r="P349" t="s">
        <v>123</v>
      </c>
    </row>
    <row r="350" spans="1:16">
      <c r="A350">
        <v>4</v>
      </c>
      <c r="B350">
        <v>0.8528</v>
      </c>
      <c r="C350">
        <v>0</v>
      </c>
      <c r="D350">
        <v>53.82</v>
      </c>
      <c r="E350">
        <v>9.1000000000000004E-3</v>
      </c>
      <c r="F350">
        <v>0</v>
      </c>
      <c r="G350">
        <v>0</v>
      </c>
      <c r="H350">
        <v>46.61</v>
      </c>
      <c r="I350">
        <v>0</v>
      </c>
      <c r="J350">
        <v>0</v>
      </c>
      <c r="K350">
        <v>0</v>
      </c>
      <c r="L350">
        <v>1.24E-2</v>
      </c>
      <c r="M350">
        <v>0.15049999999999999</v>
      </c>
      <c r="N350">
        <v>101.4547</v>
      </c>
      <c r="O350" t="s">
        <v>194</v>
      </c>
      <c r="P350" t="s">
        <v>46</v>
      </c>
    </row>
    <row r="351" spans="1:16">
      <c r="A351">
        <v>49</v>
      </c>
      <c r="B351">
        <v>2.7000000000000001E-3</v>
      </c>
      <c r="C351">
        <v>0</v>
      </c>
      <c r="D351">
        <v>54.96</v>
      </c>
      <c r="E351">
        <v>1.1599999999999999E-2</v>
      </c>
      <c r="F351">
        <v>0</v>
      </c>
      <c r="G351">
        <v>0</v>
      </c>
      <c r="H351">
        <v>46.51</v>
      </c>
      <c r="I351">
        <v>0</v>
      </c>
      <c r="J351">
        <v>0</v>
      </c>
      <c r="K351">
        <v>3.0999999999999999E-3</v>
      </c>
      <c r="L351">
        <v>0.1031</v>
      </c>
      <c r="M351">
        <v>0.16850000000000001</v>
      </c>
      <c r="N351">
        <v>101.7589</v>
      </c>
      <c r="O351" t="s">
        <v>196</v>
      </c>
      <c r="P351" t="s">
        <v>123</v>
      </c>
    </row>
    <row r="352" spans="1:16">
      <c r="A352">
        <v>5</v>
      </c>
      <c r="B352">
        <v>1.05</v>
      </c>
      <c r="C352">
        <v>0</v>
      </c>
      <c r="D352">
        <v>53.93</v>
      </c>
      <c r="E352">
        <v>1.21E-2</v>
      </c>
      <c r="F352">
        <v>0</v>
      </c>
      <c r="G352">
        <v>0</v>
      </c>
      <c r="H352">
        <v>46.5</v>
      </c>
      <c r="I352">
        <v>0</v>
      </c>
      <c r="J352">
        <v>0</v>
      </c>
      <c r="K352">
        <v>0</v>
      </c>
      <c r="L352">
        <v>2.07E-2</v>
      </c>
      <c r="M352">
        <v>0.14599999999999999</v>
      </c>
      <c r="N352">
        <v>101.6587</v>
      </c>
      <c r="O352" t="s">
        <v>194</v>
      </c>
      <c r="P352" t="s">
        <v>46</v>
      </c>
    </row>
    <row r="353" spans="1:16">
      <c r="A353">
        <v>23</v>
      </c>
      <c r="B353">
        <v>1.25</v>
      </c>
      <c r="C353">
        <v>0</v>
      </c>
      <c r="D353">
        <v>53.81</v>
      </c>
      <c r="E353">
        <v>7.9000000000000008E-3</v>
      </c>
      <c r="F353">
        <v>7.9000000000000008E-3</v>
      </c>
      <c r="G353">
        <v>0</v>
      </c>
      <c r="H353">
        <v>46.44</v>
      </c>
      <c r="I353">
        <v>0</v>
      </c>
      <c r="J353">
        <v>2.8799999999999999E-2</v>
      </c>
      <c r="K353">
        <v>0</v>
      </c>
      <c r="L353">
        <v>6.9999999999999999E-4</v>
      </c>
      <c r="M353">
        <v>0.1464</v>
      </c>
      <c r="N353">
        <v>101.6917</v>
      </c>
      <c r="O353" t="s">
        <v>195</v>
      </c>
      <c r="P353" t="s">
        <v>46</v>
      </c>
    </row>
    <row r="354" spans="1:16">
      <c r="A354">
        <v>40</v>
      </c>
      <c r="B354">
        <v>0.13339999999999999</v>
      </c>
      <c r="C354">
        <v>0</v>
      </c>
      <c r="D354">
        <v>55.22</v>
      </c>
      <c r="E354">
        <v>9.4000000000000004E-3</v>
      </c>
      <c r="F354">
        <v>0</v>
      </c>
      <c r="G354">
        <v>0</v>
      </c>
      <c r="H354">
        <v>45.64</v>
      </c>
      <c r="I354">
        <v>0</v>
      </c>
      <c r="J354">
        <v>3.3E-3</v>
      </c>
      <c r="K354">
        <v>0</v>
      </c>
      <c r="L354">
        <v>1.17E-2</v>
      </c>
      <c r="M354">
        <v>0.18</v>
      </c>
      <c r="N354">
        <v>101.1978</v>
      </c>
      <c r="O354" t="s">
        <v>196</v>
      </c>
      <c r="P354" t="s">
        <v>123</v>
      </c>
    </row>
  </sheetData>
  <phoneticPr fontId="1"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7696-924A-4030-A90E-1E30D143FE48}">
  <dimension ref="A1:Q31"/>
  <sheetViews>
    <sheetView workbookViewId="0">
      <selection activeCell="P2" sqref="P2"/>
    </sheetView>
  </sheetViews>
  <sheetFormatPr defaultRowHeight="12.75"/>
  <sheetData>
    <row r="1" spans="1:16">
      <c r="A1" t="s">
        <v>0</v>
      </c>
      <c r="B1" t="s">
        <v>1</v>
      </c>
      <c r="C1" t="s">
        <v>2</v>
      </c>
      <c r="D1" t="s">
        <v>3</v>
      </c>
      <c r="E1" t="s">
        <v>4</v>
      </c>
      <c r="F1" t="s">
        <v>5</v>
      </c>
      <c r="G1" t="s">
        <v>6</v>
      </c>
      <c r="H1" t="s">
        <v>7</v>
      </c>
      <c r="I1" t="s">
        <v>8</v>
      </c>
      <c r="J1" t="s">
        <v>9</v>
      </c>
      <c r="K1" t="s">
        <v>10</v>
      </c>
      <c r="L1" t="s">
        <v>11</v>
      </c>
      <c r="M1" t="s">
        <v>12</v>
      </c>
      <c r="N1" t="s">
        <v>13</v>
      </c>
      <c r="O1" t="s">
        <v>47</v>
      </c>
      <c r="P1" t="s">
        <v>15</v>
      </c>
    </row>
    <row r="2" spans="1:16">
      <c r="A2">
        <v>37</v>
      </c>
      <c r="B2">
        <v>2.0400000000000001E-2</v>
      </c>
      <c r="C2">
        <v>0</v>
      </c>
      <c r="D2">
        <v>39.44</v>
      </c>
      <c r="E2">
        <v>1.2999999999999999E-2</v>
      </c>
      <c r="F2">
        <v>6.7000000000000002E-3</v>
      </c>
      <c r="G2">
        <v>0</v>
      </c>
      <c r="H2">
        <v>63.09</v>
      </c>
      <c r="I2">
        <v>0</v>
      </c>
      <c r="J2">
        <v>2.81E-2</v>
      </c>
      <c r="K2">
        <v>0</v>
      </c>
      <c r="L2">
        <v>6.7000000000000002E-3</v>
      </c>
      <c r="M2">
        <v>0.12720000000000001</v>
      </c>
      <c r="N2">
        <v>102.732</v>
      </c>
      <c r="O2" t="s">
        <v>197</v>
      </c>
      <c r="P2" t="s">
        <v>44</v>
      </c>
    </row>
    <row r="3" spans="1:16">
      <c r="A3">
        <v>38</v>
      </c>
      <c r="B3">
        <v>2.4E-2</v>
      </c>
      <c r="C3">
        <v>0</v>
      </c>
      <c r="D3">
        <v>39.61</v>
      </c>
      <c r="E3">
        <v>1.2999999999999999E-2</v>
      </c>
      <c r="F3">
        <v>0</v>
      </c>
      <c r="G3">
        <v>0</v>
      </c>
      <c r="H3">
        <v>62.58</v>
      </c>
      <c r="I3">
        <v>0</v>
      </c>
      <c r="J3">
        <v>0</v>
      </c>
      <c r="K3">
        <v>0</v>
      </c>
      <c r="L3">
        <v>2.6499999999999999E-2</v>
      </c>
      <c r="M3">
        <v>0.1444</v>
      </c>
      <c r="N3">
        <v>102.39790000000001</v>
      </c>
      <c r="O3" t="s">
        <v>197</v>
      </c>
      <c r="P3" t="s">
        <v>44</v>
      </c>
    </row>
    <row r="4" spans="1:16">
      <c r="A4">
        <v>29</v>
      </c>
      <c r="B4">
        <v>3.7199999999999997E-2</v>
      </c>
      <c r="C4">
        <v>0</v>
      </c>
      <c r="D4">
        <v>40.22</v>
      </c>
      <c r="E4">
        <v>7.1999999999999998E-3</v>
      </c>
      <c r="F4">
        <v>8.3000000000000001E-3</v>
      </c>
      <c r="G4">
        <v>0</v>
      </c>
      <c r="H4">
        <v>61.93</v>
      </c>
      <c r="I4">
        <v>0</v>
      </c>
      <c r="J4">
        <v>2.3699999999999999E-2</v>
      </c>
      <c r="K4">
        <v>0</v>
      </c>
      <c r="L4">
        <v>0</v>
      </c>
      <c r="M4">
        <v>0.13830000000000001</v>
      </c>
      <c r="N4">
        <v>102.3646</v>
      </c>
      <c r="O4" t="s">
        <v>181</v>
      </c>
      <c r="P4" t="s">
        <v>44</v>
      </c>
    </row>
    <row r="5" spans="1:16">
      <c r="A5">
        <v>91</v>
      </c>
      <c r="B5">
        <v>1.1900000000000001E-2</v>
      </c>
      <c r="C5">
        <v>0</v>
      </c>
      <c r="D5">
        <v>40.5</v>
      </c>
      <c r="E5">
        <v>1.11E-2</v>
      </c>
      <c r="F5">
        <v>0</v>
      </c>
      <c r="G5">
        <v>0</v>
      </c>
      <c r="H5">
        <v>61.79</v>
      </c>
      <c r="I5">
        <v>0</v>
      </c>
      <c r="J5">
        <v>9.7999999999999997E-3</v>
      </c>
      <c r="K5">
        <v>0</v>
      </c>
      <c r="L5">
        <v>0</v>
      </c>
      <c r="M5">
        <v>0.1731</v>
      </c>
      <c r="N5">
        <v>102.49590000000001</v>
      </c>
      <c r="O5" t="s">
        <v>198</v>
      </c>
      <c r="P5" t="s">
        <v>60</v>
      </c>
    </row>
    <row r="6" spans="1:16">
      <c r="A6">
        <v>50</v>
      </c>
      <c r="B6">
        <v>2.1899999999999999E-2</v>
      </c>
      <c r="C6">
        <v>0</v>
      </c>
      <c r="D6">
        <v>40.61</v>
      </c>
      <c r="E6">
        <v>1.4999999999999999E-2</v>
      </c>
      <c r="F6">
        <v>4.5999999999999999E-3</v>
      </c>
      <c r="G6">
        <v>0</v>
      </c>
      <c r="H6">
        <v>61.6</v>
      </c>
      <c r="I6">
        <v>0</v>
      </c>
      <c r="J6">
        <v>0</v>
      </c>
      <c r="K6">
        <v>0</v>
      </c>
      <c r="L6">
        <v>1.43E-2</v>
      </c>
      <c r="M6">
        <v>0.1472</v>
      </c>
      <c r="N6">
        <v>102.41289999999999</v>
      </c>
      <c r="O6" t="s">
        <v>199</v>
      </c>
      <c r="P6" t="s">
        <v>60</v>
      </c>
    </row>
    <row r="7" spans="1:16">
      <c r="A7">
        <v>48</v>
      </c>
      <c r="B7">
        <v>1.2699999999999999E-2</v>
      </c>
      <c r="C7">
        <v>0</v>
      </c>
      <c r="D7">
        <v>40.659999999999997</v>
      </c>
      <c r="E7">
        <v>1.8800000000000001E-2</v>
      </c>
      <c r="F7">
        <v>0</v>
      </c>
      <c r="G7">
        <v>0</v>
      </c>
      <c r="H7">
        <v>61.59</v>
      </c>
      <c r="I7">
        <v>0</v>
      </c>
      <c r="J7">
        <v>0</v>
      </c>
      <c r="K7">
        <v>0</v>
      </c>
      <c r="L7">
        <v>1.4E-3</v>
      </c>
      <c r="M7">
        <v>0.14810000000000001</v>
      </c>
      <c r="N7">
        <v>102.43089999999999</v>
      </c>
      <c r="O7" t="s">
        <v>199</v>
      </c>
      <c r="P7" t="s">
        <v>60</v>
      </c>
    </row>
    <row r="8" spans="1:16">
      <c r="A8">
        <v>40</v>
      </c>
      <c r="B8">
        <v>7.6E-3</v>
      </c>
      <c r="C8">
        <v>0</v>
      </c>
      <c r="D8">
        <v>40.35</v>
      </c>
      <c r="E8">
        <v>5.7999999999999996E-3</v>
      </c>
      <c r="F8">
        <v>0</v>
      </c>
      <c r="G8">
        <v>0</v>
      </c>
      <c r="H8">
        <v>61.57</v>
      </c>
      <c r="I8">
        <v>0</v>
      </c>
      <c r="J8">
        <v>1.3299999999999999E-2</v>
      </c>
      <c r="K8">
        <v>0</v>
      </c>
      <c r="L8">
        <v>0</v>
      </c>
      <c r="M8">
        <v>0.1663</v>
      </c>
      <c r="N8">
        <v>102.1129</v>
      </c>
      <c r="O8" t="s">
        <v>168</v>
      </c>
      <c r="P8" t="s">
        <v>60</v>
      </c>
    </row>
    <row r="9" spans="1:16">
      <c r="A9">
        <v>92</v>
      </c>
      <c r="B9">
        <v>7.9000000000000008E-3</v>
      </c>
      <c r="C9">
        <v>0</v>
      </c>
      <c r="D9">
        <v>40.44</v>
      </c>
      <c r="E9">
        <v>1.83E-2</v>
      </c>
      <c r="F9">
        <v>0</v>
      </c>
      <c r="G9">
        <v>0</v>
      </c>
      <c r="H9">
        <v>61.55</v>
      </c>
      <c r="I9">
        <v>0</v>
      </c>
      <c r="J9">
        <v>2.01E-2</v>
      </c>
      <c r="K9">
        <v>0</v>
      </c>
      <c r="L9">
        <v>1.2E-2</v>
      </c>
      <c r="M9">
        <v>0.1389</v>
      </c>
      <c r="N9">
        <v>102.1871</v>
      </c>
      <c r="O9" t="s">
        <v>198</v>
      </c>
      <c r="P9" t="s">
        <v>60</v>
      </c>
    </row>
    <row r="10" spans="1:16">
      <c r="A10">
        <v>47</v>
      </c>
      <c r="B10">
        <v>1.4999999999999999E-2</v>
      </c>
      <c r="C10">
        <v>0</v>
      </c>
      <c r="D10">
        <v>40.450000000000003</v>
      </c>
      <c r="E10">
        <v>3.3999999999999998E-3</v>
      </c>
      <c r="F10">
        <v>0</v>
      </c>
      <c r="G10">
        <v>0</v>
      </c>
      <c r="H10">
        <v>61.44</v>
      </c>
      <c r="I10">
        <v>0</v>
      </c>
      <c r="J10">
        <v>1.0500000000000001E-2</v>
      </c>
      <c r="K10">
        <v>0</v>
      </c>
      <c r="L10">
        <v>1.34E-2</v>
      </c>
      <c r="M10">
        <v>0.1658</v>
      </c>
      <c r="N10">
        <v>102.098</v>
      </c>
      <c r="O10" t="s">
        <v>199</v>
      </c>
      <c r="P10" t="s">
        <v>60</v>
      </c>
    </row>
    <row r="11" spans="1:16">
      <c r="A11">
        <v>39</v>
      </c>
      <c r="B11">
        <v>1.21E-2</v>
      </c>
      <c r="C11">
        <v>0</v>
      </c>
      <c r="D11">
        <v>40.57</v>
      </c>
      <c r="E11">
        <v>2.1899999999999999E-2</v>
      </c>
      <c r="F11">
        <v>6.1999999999999998E-3</v>
      </c>
      <c r="G11">
        <v>0</v>
      </c>
      <c r="H11">
        <v>61.43</v>
      </c>
      <c r="I11">
        <v>0</v>
      </c>
      <c r="J11">
        <v>6.1999999999999998E-3</v>
      </c>
      <c r="K11">
        <v>0</v>
      </c>
      <c r="L11">
        <v>0</v>
      </c>
      <c r="M11">
        <v>0.1598</v>
      </c>
      <c r="N11">
        <v>102.20610000000001</v>
      </c>
      <c r="O11" t="s">
        <v>168</v>
      </c>
      <c r="P11" t="s">
        <v>60</v>
      </c>
    </row>
    <row r="12" spans="1:16">
      <c r="A12">
        <v>49</v>
      </c>
      <c r="B12">
        <v>4.5999999999999999E-3</v>
      </c>
      <c r="C12">
        <v>0</v>
      </c>
      <c r="D12">
        <v>40.39</v>
      </c>
      <c r="E12">
        <v>2.9600000000000001E-2</v>
      </c>
      <c r="F12">
        <v>0</v>
      </c>
      <c r="G12">
        <v>0</v>
      </c>
      <c r="H12">
        <v>61.43</v>
      </c>
      <c r="I12">
        <v>1.1999999999999999E-3</v>
      </c>
      <c r="J12">
        <v>0</v>
      </c>
      <c r="K12">
        <v>0</v>
      </c>
      <c r="L12">
        <v>2.0000000000000001E-4</v>
      </c>
      <c r="M12">
        <v>0.15440000000000001</v>
      </c>
      <c r="N12">
        <v>102.0099</v>
      </c>
      <c r="O12" t="s">
        <v>199</v>
      </c>
      <c r="P12" t="s">
        <v>60</v>
      </c>
    </row>
    <row r="13" spans="1:16">
      <c r="A13">
        <v>75</v>
      </c>
      <c r="B13">
        <v>2.5000000000000001E-3</v>
      </c>
      <c r="C13">
        <v>0</v>
      </c>
      <c r="D13">
        <v>40.36</v>
      </c>
      <c r="E13">
        <v>7.1000000000000004E-3</v>
      </c>
      <c r="F13">
        <v>0</v>
      </c>
      <c r="G13">
        <v>0</v>
      </c>
      <c r="H13">
        <v>61.29</v>
      </c>
      <c r="I13">
        <v>0</v>
      </c>
      <c r="J13">
        <v>0</v>
      </c>
      <c r="K13">
        <v>0</v>
      </c>
      <c r="L13">
        <v>0</v>
      </c>
      <c r="M13">
        <v>0.1681</v>
      </c>
      <c r="N13">
        <v>101.8276</v>
      </c>
      <c r="O13" t="s">
        <v>198</v>
      </c>
      <c r="P13" t="s">
        <v>60</v>
      </c>
    </row>
    <row r="14" spans="1:16">
      <c r="A14">
        <v>41</v>
      </c>
      <c r="B14">
        <v>2.3E-3</v>
      </c>
      <c r="C14">
        <v>0</v>
      </c>
      <c r="D14">
        <v>40.4</v>
      </c>
      <c r="E14">
        <v>1.4200000000000001E-2</v>
      </c>
      <c r="F14">
        <v>1.11E-2</v>
      </c>
      <c r="G14">
        <v>0</v>
      </c>
      <c r="H14">
        <v>61.28</v>
      </c>
      <c r="I14">
        <v>0</v>
      </c>
      <c r="J14">
        <v>0</v>
      </c>
      <c r="K14">
        <v>0</v>
      </c>
      <c r="L14">
        <v>1.8700000000000001E-2</v>
      </c>
      <c r="M14">
        <v>0.14369999999999999</v>
      </c>
      <c r="N14">
        <v>101.8699</v>
      </c>
      <c r="O14" t="s">
        <v>168</v>
      </c>
      <c r="P14" t="s">
        <v>60</v>
      </c>
    </row>
    <row r="15" spans="1:16">
      <c r="A15">
        <v>77</v>
      </c>
      <c r="B15">
        <v>1.2E-2</v>
      </c>
      <c r="C15">
        <v>0</v>
      </c>
      <c r="D15">
        <v>40.409999999999997</v>
      </c>
      <c r="E15">
        <v>2.1100000000000001E-2</v>
      </c>
      <c r="F15">
        <v>0</v>
      </c>
      <c r="G15">
        <v>0</v>
      </c>
      <c r="H15">
        <v>61.26</v>
      </c>
      <c r="I15">
        <v>0</v>
      </c>
      <c r="J15">
        <v>3.3E-3</v>
      </c>
      <c r="K15">
        <v>0</v>
      </c>
      <c r="L15">
        <v>0</v>
      </c>
      <c r="M15">
        <v>0.16039999999999999</v>
      </c>
      <c r="N15">
        <v>101.86669999999999</v>
      </c>
      <c r="O15" t="s">
        <v>198</v>
      </c>
      <c r="P15" t="s">
        <v>60</v>
      </c>
    </row>
    <row r="16" spans="1:16">
      <c r="A16">
        <v>78</v>
      </c>
      <c r="B16">
        <v>1.54E-2</v>
      </c>
      <c r="C16">
        <v>0</v>
      </c>
      <c r="D16">
        <v>40.57</v>
      </c>
      <c r="E16">
        <v>6.6E-3</v>
      </c>
      <c r="F16">
        <v>0</v>
      </c>
      <c r="G16">
        <v>0</v>
      </c>
      <c r="H16">
        <v>61.18</v>
      </c>
      <c r="I16">
        <v>0</v>
      </c>
      <c r="J16">
        <v>6.8999999999999999E-3</v>
      </c>
      <c r="K16">
        <v>0</v>
      </c>
      <c r="L16">
        <v>0</v>
      </c>
      <c r="M16">
        <v>0.15590000000000001</v>
      </c>
      <c r="N16">
        <v>101.93470000000001</v>
      </c>
      <c r="O16" t="s">
        <v>198</v>
      </c>
      <c r="P16" t="s">
        <v>60</v>
      </c>
    </row>
    <row r="17" spans="1:17">
      <c r="A17">
        <v>90</v>
      </c>
      <c r="B17">
        <v>1.9099999999999999E-2</v>
      </c>
      <c r="C17">
        <v>0</v>
      </c>
      <c r="D17">
        <v>40.380000000000003</v>
      </c>
      <c r="E17">
        <v>1.55E-2</v>
      </c>
      <c r="F17">
        <v>0</v>
      </c>
      <c r="G17">
        <v>0</v>
      </c>
      <c r="H17">
        <v>61.14</v>
      </c>
      <c r="I17">
        <v>0</v>
      </c>
      <c r="J17">
        <v>4.5999999999999999E-3</v>
      </c>
      <c r="K17">
        <v>0</v>
      </c>
      <c r="L17">
        <v>0</v>
      </c>
      <c r="M17">
        <v>0.17030000000000001</v>
      </c>
      <c r="N17">
        <v>101.7294</v>
      </c>
      <c r="O17" t="s">
        <v>198</v>
      </c>
      <c r="P17" t="s">
        <v>60</v>
      </c>
    </row>
    <row r="18" spans="1:17">
      <c r="A18">
        <v>76</v>
      </c>
      <c r="B18">
        <v>1.41E-2</v>
      </c>
      <c r="C18">
        <v>0</v>
      </c>
      <c r="D18">
        <v>40.43</v>
      </c>
      <c r="E18">
        <v>2.5999999999999999E-3</v>
      </c>
      <c r="F18">
        <v>0</v>
      </c>
      <c r="G18">
        <v>0</v>
      </c>
      <c r="H18">
        <v>61.09</v>
      </c>
      <c r="I18">
        <v>0</v>
      </c>
      <c r="J18">
        <v>2.4E-2</v>
      </c>
      <c r="K18">
        <v>0</v>
      </c>
      <c r="L18">
        <v>0</v>
      </c>
      <c r="M18">
        <v>0.15559999999999999</v>
      </c>
      <c r="N18">
        <v>101.7162</v>
      </c>
      <c r="O18" t="s">
        <v>198</v>
      </c>
      <c r="P18" t="s">
        <v>60</v>
      </c>
    </row>
    <row r="19" spans="1:17">
      <c r="A19">
        <v>89</v>
      </c>
      <c r="B19">
        <v>1.3599999999999999E-2</v>
      </c>
      <c r="C19">
        <v>0</v>
      </c>
      <c r="D19">
        <v>40.39</v>
      </c>
      <c r="E19">
        <v>1.9800000000000002E-2</v>
      </c>
      <c r="F19">
        <v>2.7000000000000001E-3</v>
      </c>
      <c r="G19">
        <v>0</v>
      </c>
      <c r="H19">
        <v>61.01</v>
      </c>
      <c r="I19">
        <v>0</v>
      </c>
      <c r="J19">
        <v>1.3599999999999999E-2</v>
      </c>
      <c r="K19">
        <v>0</v>
      </c>
      <c r="L19">
        <v>3.8300000000000001E-2</v>
      </c>
      <c r="M19">
        <v>0.16070000000000001</v>
      </c>
      <c r="N19">
        <v>101.6486</v>
      </c>
      <c r="O19" t="s">
        <v>198</v>
      </c>
      <c r="P19" t="s">
        <v>60</v>
      </c>
    </row>
    <row r="20" spans="1:17">
      <c r="A20">
        <v>80</v>
      </c>
      <c r="B20">
        <v>1.95E-2</v>
      </c>
      <c r="C20">
        <v>0</v>
      </c>
      <c r="D20">
        <v>40.520000000000003</v>
      </c>
      <c r="E20">
        <v>4.4999999999999997E-3</v>
      </c>
      <c r="F20">
        <v>0</v>
      </c>
      <c r="G20">
        <v>0</v>
      </c>
      <c r="H20">
        <v>60.85</v>
      </c>
      <c r="I20">
        <v>0</v>
      </c>
      <c r="J20">
        <v>0</v>
      </c>
      <c r="K20">
        <v>0</v>
      </c>
      <c r="L20">
        <v>0</v>
      </c>
      <c r="M20">
        <v>0.15179999999999999</v>
      </c>
      <c r="N20">
        <v>101.5457</v>
      </c>
      <c r="O20" t="s">
        <v>198</v>
      </c>
      <c r="P20" t="s">
        <v>60</v>
      </c>
    </row>
    <row r="21" spans="1:17">
      <c r="A21">
        <v>74</v>
      </c>
      <c r="B21">
        <v>1.5900000000000001E-2</v>
      </c>
      <c r="C21">
        <v>0</v>
      </c>
      <c r="D21">
        <v>40.43</v>
      </c>
      <c r="E21">
        <v>2.1499999999999998E-2</v>
      </c>
      <c r="F21">
        <v>1.4E-3</v>
      </c>
      <c r="G21">
        <v>0</v>
      </c>
      <c r="H21">
        <v>60.69</v>
      </c>
      <c r="I21">
        <v>0</v>
      </c>
      <c r="J21">
        <v>4.3299999999999998E-2</v>
      </c>
      <c r="K21">
        <v>0</v>
      </c>
      <c r="L21">
        <v>1.23E-2</v>
      </c>
      <c r="M21">
        <v>0.14369999999999999</v>
      </c>
      <c r="N21">
        <v>101.358</v>
      </c>
      <c r="O21" t="s">
        <v>198</v>
      </c>
      <c r="P21" t="s">
        <v>60</v>
      </c>
    </row>
    <row r="22" spans="1:17">
      <c r="A22">
        <v>24</v>
      </c>
      <c r="B22">
        <v>1.2800000000000001E-2</v>
      </c>
      <c r="C22">
        <v>0</v>
      </c>
      <c r="D22">
        <v>40.229999999999997</v>
      </c>
      <c r="E22">
        <v>8.8000000000000005E-3</v>
      </c>
      <c r="F22">
        <v>0</v>
      </c>
      <c r="G22">
        <v>0</v>
      </c>
      <c r="H22">
        <v>59.29</v>
      </c>
      <c r="I22">
        <v>0</v>
      </c>
      <c r="J22">
        <v>4.7000000000000002E-3</v>
      </c>
      <c r="K22">
        <v>0</v>
      </c>
      <c r="L22">
        <v>2.6599999999999999E-2</v>
      </c>
      <c r="M22">
        <v>0.18</v>
      </c>
      <c r="N22">
        <v>99.753</v>
      </c>
      <c r="O22" t="s">
        <v>100</v>
      </c>
      <c r="P22" t="s">
        <v>60</v>
      </c>
    </row>
    <row r="23" spans="1:17">
      <c r="A23">
        <v>25</v>
      </c>
      <c r="B23">
        <v>1.3100000000000001E-2</v>
      </c>
      <c r="C23">
        <v>0</v>
      </c>
      <c r="D23">
        <v>40.36</v>
      </c>
      <c r="E23">
        <v>2E-3</v>
      </c>
      <c r="F23">
        <v>0</v>
      </c>
      <c r="G23">
        <v>0</v>
      </c>
      <c r="H23">
        <v>59.22</v>
      </c>
      <c r="I23">
        <v>0</v>
      </c>
      <c r="J23">
        <v>7.9000000000000008E-3</v>
      </c>
      <c r="K23">
        <v>0</v>
      </c>
      <c r="L23">
        <v>0</v>
      </c>
      <c r="M23">
        <v>0.17599999999999999</v>
      </c>
      <c r="N23">
        <v>99.7791</v>
      </c>
      <c r="O23" t="s">
        <v>100</v>
      </c>
      <c r="P23" t="s">
        <v>60</v>
      </c>
    </row>
    <row r="24" spans="1:17">
      <c r="A24" s="27">
        <v>95</v>
      </c>
      <c r="B24" s="27">
        <v>3.2800000000000003E-2</v>
      </c>
      <c r="C24" s="27">
        <v>0</v>
      </c>
      <c r="D24" s="27">
        <v>41.3</v>
      </c>
      <c r="E24" s="27">
        <v>1.6299999999999999E-2</v>
      </c>
      <c r="F24" s="27">
        <v>0</v>
      </c>
      <c r="G24" s="27">
        <v>0</v>
      </c>
      <c r="H24" s="27">
        <v>59.18</v>
      </c>
      <c r="I24" s="27">
        <v>6.9999999999999999E-4</v>
      </c>
      <c r="J24" s="27">
        <v>3.0000000000000001E-3</v>
      </c>
      <c r="K24" s="27">
        <v>0</v>
      </c>
      <c r="L24" s="27">
        <v>0</v>
      </c>
      <c r="M24" s="27">
        <v>0.1328</v>
      </c>
      <c r="N24" s="27">
        <v>100.66549999999999</v>
      </c>
      <c r="O24" s="27" t="s">
        <v>200</v>
      </c>
      <c r="P24" t="s">
        <v>191</v>
      </c>
      <c r="Q24">
        <f>H24+L24</f>
        <v>59.18</v>
      </c>
    </row>
    <row r="25" spans="1:17">
      <c r="A25" s="27">
        <v>96</v>
      </c>
      <c r="B25" s="27">
        <v>1.4E-2</v>
      </c>
      <c r="C25" s="27">
        <v>0</v>
      </c>
      <c r="D25" s="27">
        <v>41.54</v>
      </c>
      <c r="E25" s="27">
        <v>7.1999999999999998E-3</v>
      </c>
      <c r="F25" s="27">
        <v>0</v>
      </c>
      <c r="G25" s="27">
        <v>0</v>
      </c>
      <c r="H25" s="27">
        <v>58.44</v>
      </c>
      <c r="I25" s="27">
        <v>1.9E-3</v>
      </c>
      <c r="J25" s="27">
        <v>5.1999999999999998E-3</v>
      </c>
      <c r="K25" s="27">
        <v>0</v>
      </c>
      <c r="L25" s="27">
        <v>0</v>
      </c>
      <c r="M25" s="27">
        <v>0.1217</v>
      </c>
      <c r="N25" s="27">
        <v>100.12990000000001</v>
      </c>
      <c r="O25" s="27" t="s">
        <v>200</v>
      </c>
      <c r="P25" t="s">
        <v>191</v>
      </c>
      <c r="Q25">
        <f>H25+L25</f>
        <v>58.44</v>
      </c>
    </row>
    <row r="26" spans="1:17">
      <c r="A26" s="27"/>
      <c r="B26" s="27"/>
      <c r="C26" s="27"/>
      <c r="D26" s="27"/>
      <c r="E26" s="27"/>
      <c r="F26" s="27"/>
      <c r="G26" s="27"/>
      <c r="H26" s="27"/>
      <c r="I26" s="27"/>
      <c r="J26" s="27"/>
      <c r="K26" s="27"/>
      <c r="L26" s="27"/>
      <c r="M26" s="27"/>
      <c r="N26" s="27"/>
      <c r="O26" s="27"/>
    </row>
    <row r="27" spans="1:17">
      <c r="A27" s="27"/>
      <c r="B27" s="27"/>
      <c r="C27" s="27"/>
      <c r="D27" s="27"/>
      <c r="E27" s="27"/>
      <c r="F27" s="27"/>
      <c r="G27" s="27"/>
      <c r="H27" s="27"/>
      <c r="I27" s="27"/>
      <c r="J27" s="27"/>
      <c r="K27" s="27"/>
      <c r="L27" s="27"/>
      <c r="M27" s="27"/>
      <c r="N27" s="27"/>
      <c r="O27" s="27"/>
    </row>
    <row r="28" spans="1:17">
      <c r="A28" s="27"/>
      <c r="B28" s="27"/>
      <c r="C28" s="27"/>
      <c r="D28" s="27"/>
      <c r="E28" s="27"/>
      <c r="F28" s="27"/>
      <c r="G28" s="27"/>
      <c r="H28" s="27"/>
      <c r="I28" s="27"/>
      <c r="J28" s="27"/>
      <c r="K28" s="27"/>
      <c r="L28" s="27"/>
      <c r="M28" s="27"/>
      <c r="N28" s="27"/>
      <c r="O28" s="27"/>
    </row>
    <row r="29" spans="1:17">
      <c r="A29" s="27"/>
      <c r="B29" s="27"/>
      <c r="C29" s="27"/>
      <c r="D29" s="27"/>
      <c r="E29" s="27"/>
      <c r="F29" s="27"/>
      <c r="G29" s="27"/>
      <c r="H29" s="27"/>
      <c r="I29" s="27"/>
      <c r="J29" s="27"/>
      <c r="K29" s="27"/>
      <c r="L29" s="27"/>
      <c r="M29" s="27"/>
      <c r="N29" s="27"/>
      <c r="O29" s="27"/>
    </row>
    <row r="30" spans="1:17">
      <c r="A30" s="27"/>
      <c r="B30" s="27"/>
      <c r="C30" s="27"/>
      <c r="D30" s="27"/>
      <c r="E30" s="27"/>
      <c r="F30" s="27"/>
      <c r="G30" s="27"/>
      <c r="H30" s="27"/>
      <c r="I30" s="27"/>
      <c r="J30" s="27"/>
      <c r="K30" s="27"/>
      <c r="L30" s="27"/>
      <c r="M30" s="27"/>
      <c r="N30" s="27"/>
      <c r="O30" s="27"/>
    </row>
    <row r="31" spans="1:17">
      <c r="A31" s="27"/>
      <c r="B31" s="27"/>
      <c r="C31" s="27"/>
      <c r="D31" s="27"/>
      <c r="E31" s="27"/>
      <c r="F31" s="27"/>
      <c r="G31" s="27"/>
      <c r="H31" s="27"/>
      <c r="I31" s="27"/>
      <c r="J31" s="27"/>
      <c r="K31" s="27"/>
      <c r="L31" s="27"/>
      <c r="M31" s="27"/>
      <c r="N31" s="27"/>
      <c r="O31" s="27"/>
    </row>
  </sheetData>
  <phoneticPr fontId="1" type="noConversion"/>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1929D-BF7D-44A7-A8C8-55ED8BDE8F10}">
  <dimension ref="A1:X1161"/>
  <sheetViews>
    <sheetView topLeftCell="I1" workbookViewId="0">
      <pane ySplit="510" activePane="bottomLeft"/>
      <selection pane="bottomLeft" activeCell="P2" sqref="P2"/>
      <selection activeCell="P1" sqref="P1:P65536"/>
    </sheetView>
  </sheetViews>
  <sheetFormatPr defaultRowHeight="12.75"/>
  <cols>
    <col min="15" max="16" width="25.42578125" customWidth="1"/>
    <col min="18" max="18" width="15.140625" customWidth="1"/>
  </cols>
  <sheetData>
    <row r="1" spans="1:24">
      <c r="A1" t="s">
        <v>0</v>
      </c>
      <c r="B1" t="s">
        <v>1</v>
      </c>
      <c r="C1" t="s">
        <v>2</v>
      </c>
      <c r="D1" t="s">
        <v>3</v>
      </c>
      <c r="E1" t="s">
        <v>4</v>
      </c>
      <c r="F1" t="s">
        <v>5</v>
      </c>
      <c r="G1" t="s">
        <v>6</v>
      </c>
      <c r="H1" t="s">
        <v>7</v>
      </c>
      <c r="I1" t="s">
        <v>8</v>
      </c>
      <c r="J1" t="s">
        <v>9</v>
      </c>
      <c r="K1" t="s">
        <v>10</v>
      </c>
      <c r="L1" t="s">
        <v>11</v>
      </c>
      <c r="M1" t="s">
        <v>12</v>
      </c>
      <c r="N1" t="s">
        <v>13</v>
      </c>
      <c r="O1" t="s">
        <v>47</v>
      </c>
      <c r="P1" t="s">
        <v>15</v>
      </c>
      <c r="Q1" t="s">
        <v>201</v>
      </c>
      <c r="S1" t="s">
        <v>202</v>
      </c>
      <c r="T1" t="s">
        <v>203</v>
      </c>
      <c r="U1" t="s">
        <v>204</v>
      </c>
      <c r="V1" t="s">
        <v>205</v>
      </c>
      <c r="W1" t="s">
        <v>206</v>
      </c>
      <c r="X1" t="s">
        <v>207</v>
      </c>
    </row>
    <row r="2" spans="1:24">
      <c r="A2">
        <v>1</v>
      </c>
      <c r="B2">
        <v>0</v>
      </c>
      <c r="C2">
        <v>0</v>
      </c>
      <c r="D2">
        <v>35.700000000000003</v>
      </c>
      <c r="E2">
        <v>1.5599999999999999E-2</v>
      </c>
      <c r="F2">
        <v>0</v>
      </c>
      <c r="G2">
        <v>0</v>
      </c>
      <c r="H2">
        <v>31.82</v>
      </c>
      <c r="I2">
        <v>6.0699999999999997E-2</v>
      </c>
      <c r="J2">
        <v>35.299999999999997</v>
      </c>
      <c r="K2">
        <v>0</v>
      </c>
      <c r="L2">
        <v>5.5800000000000002E-2</v>
      </c>
      <c r="M2">
        <v>0.13639999999999999</v>
      </c>
      <c r="N2">
        <v>103.08839999999999</v>
      </c>
      <c r="O2" t="s">
        <v>208</v>
      </c>
      <c r="P2" t="s">
        <v>131</v>
      </c>
      <c r="Q2">
        <f>I2-(K2*Standards!$I$15)</f>
        <v>6.0699999999999997E-2</v>
      </c>
      <c r="R2" t="s">
        <v>131</v>
      </c>
      <c r="S2">
        <f>COUNT(Q2:Q64)</f>
        <v>63</v>
      </c>
      <c r="T2">
        <f>MAX(L2:L64)</f>
        <v>0.59240000000000004</v>
      </c>
      <c r="U2">
        <f>AVERAGE(L2:L64)</f>
        <v>6.2628571428571408E-2</v>
      </c>
      <c r="V2">
        <f>10000*MAX(Q2:Q64)</f>
        <v>1519</v>
      </c>
      <c r="W2">
        <f>10000*AVERAGE(Q2:Q64)</f>
        <v>602.07936507936518</v>
      </c>
      <c r="X2">
        <f>10000*STDEV(Q2:Q64)</f>
        <v>376.84746214963758</v>
      </c>
    </row>
    <row r="3" spans="1:24">
      <c r="A3">
        <v>12</v>
      </c>
      <c r="B3">
        <v>0</v>
      </c>
      <c r="C3">
        <v>0</v>
      </c>
      <c r="D3">
        <v>35.479999999999997</v>
      </c>
      <c r="E3">
        <v>4.4900000000000002E-2</v>
      </c>
      <c r="F3">
        <v>0</v>
      </c>
      <c r="G3">
        <v>0</v>
      </c>
      <c r="H3">
        <v>31.38</v>
      </c>
      <c r="I3">
        <v>0.10249999999999999</v>
      </c>
      <c r="J3">
        <v>35.24</v>
      </c>
      <c r="K3">
        <v>0</v>
      </c>
      <c r="L3">
        <v>2.0299999999999999E-2</v>
      </c>
      <c r="M3">
        <v>0.1399</v>
      </c>
      <c r="N3">
        <v>102.4076</v>
      </c>
      <c r="O3" t="s">
        <v>208</v>
      </c>
      <c r="P3" t="s">
        <v>131</v>
      </c>
      <c r="Q3">
        <f>I3-(K3*Standards!$I$15)</f>
        <v>0.10249999999999999</v>
      </c>
    </row>
    <row r="4" spans="1:24">
      <c r="A4">
        <v>23</v>
      </c>
      <c r="B4">
        <v>2.0000000000000001E-4</v>
      </c>
      <c r="C4">
        <v>0</v>
      </c>
      <c r="D4">
        <v>35.29</v>
      </c>
      <c r="E4">
        <v>5.2999999999999999E-2</v>
      </c>
      <c r="F4">
        <v>0</v>
      </c>
      <c r="G4">
        <v>0</v>
      </c>
      <c r="H4">
        <v>31.44</v>
      </c>
      <c r="I4">
        <v>8.7400000000000005E-2</v>
      </c>
      <c r="J4">
        <v>35.19</v>
      </c>
      <c r="K4">
        <v>0</v>
      </c>
      <c r="L4">
        <v>3.9699999999999999E-2</v>
      </c>
      <c r="M4">
        <v>0.1133</v>
      </c>
      <c r="N4">
        <v>102.2136</v>
      </c>
      <c r="O4" t="s">
        <v>208</v>
      </c>
      <c r="P4" t="s">
        <v>131</v>
      </c>
      <c r="Q4">
        <f>I4-(K4*Standards!$I$15)</f>
        <v>8.7400000000000005E-2</v>
      </c>
    </row>
    <row r="5" spans="1:24">
      <c r="A5">
        <v>27</v>
      </c>
      <c r="B5">
        <v>0</v>
      </c>
      <c r="C5">
        <v>0</v>
      </c>
      <c r="D5">
        <v>35.4</v>
      </c>
      <c r="E5">
        <v>3.78E-2</v>
      </c>
      <c r="F5">
        <v>0</v>
      </c>
      <c r="G5">
        <v>0</v>
      </c>
      <c r="H5">
        <v>31.36</v>
      </c>
      <c r="I5">
        <v>0.1119</v>
      </c>
      <c r="J5">
        <v>35.119999999999997</v>
      </c>
      <c r="K5">
        <v>0</v>
      </c>
      <c r="L5">
        <v>5.7200000000000001E-2</v>
      </c>
      <c r="M5">
        <v>0.13519999999999999</v>
      </c>
      <c r="N5">
        <v>102.2221</v>
      </c>
      <c r="O5" t="s">
        <v>208</v>
      </c>
      <c r="P5" t="s">
        <v>131</v>
      </c>
      <c r="Q5">
        <f>I5-(K5*Standards!$I$15)</f>
        <v>0.1119</v>
      </c>
    </row>
    <row r="6" spans="1:24">
      <c r="A6">
        <v>39</v>
      </c>
      <c r="B6">
        <v>0</v>
      </c>
      <c r="C6">
        <v>0</v>
      </c>
      <c r="D6">
        <v>35.53</v>
      </c>
      <c r="E6">
        <v>3.95E-2</v>
      </c>
      <c r="F6">
        <v>0</v>
      </c>
      <c r="G6">
        <v>0</v>
      </c>
      <c r="H6">
        <v>31.47</v>
      </c>
      <c r="I6">
        <v>9.5799999999999996E-2</v>
      </c>
      <c r="J6">
        <v>35.1</v>
      </c>
      <c r="K6">
        <v>0</v>
      </c>
      <c r="L6">
        <v>4.1700000000000001E-2</v>
      </c>
      <c r="M6">
        <v>0.14000000000000001</v>
      </c>
      <c r="N6">
        <v>102.4169</v>
      </c>
      <c r="O6" t="s">
        <v>208</v>
      </c>
      <c r="P6" t="s">
        <v>131</v>
      </c>
      <c r="Q6">
        <f>I6-(K6*Standards!$I$15)</f>
        <v>9.5799999999999996E-2</v>
      </c>
    </row>
    <row r="7" spans="1:24">
      <c r="A7">
        <v>20</v>
      </c>
      <c r="B7">
        <v>0</v>
      </c>
      <c r="C7">
        <v>0</v>
      </c>
      <c r="D7">
        <v>35.130000000000003</v>
      </c>
      <c r="E7">
        <v>3.6200000000000003E-2</v>
      </c>
      <c r="F7">
        <v>0</v>
      </c>
      <c r="G7">
        <v>0</v>
      </c>
      <c r="H7">
        <v>31.2</v>
      </c>
      <c r="I7">
        <v>9.9500000000000005E-2</v>
      </c>
      <c r="J7">
        <v>35.090000000000003</v>
      </c>
      <c r="K7">
        <v>0</v>
      </c>
      <c r="L7">
        <v>4.9099999999999998E-2</v>
      </c>
      <c r="M7">
        <v>0.1464</v>
      </c>
      <c r="N7">
        <v>101.7512</v>
      </c>
      <c r="O7" t="s">
        <v>208</v>
      </c>
      <c r="P7" t="s">
        <v>131</v>
      </c>
      <c r="Q7">
        <f>I7-(K7*Standards!$I$15)</f>
        <v>9.9500000000000005E-2</v>
      </c>
    </row>
    <row r="8" spans="1:24">
      <c r="A8">
        <v>3</v>
      </c>
      <c r="B8">
        <v>0</v>
      </c>
      <c r="C8">
        <v>0</v>
      </c>
      <c r="D8">
        <v>35.74</v>
      </c>
      <c r="E8">
        <v>2.4299999999999999E-2</v>
      </c>
      <c r="F8">
        <v>0</v>
      </c>
      <c r="G8">
        <v>0</v>
      </c>
      <c r="H8">
        <v>31.48</v>
      </c>
      <c r="I8">
        <v>7.1199999999999999E-2</v>
      </c>
      <c r="J8">
        <v>35.090000000000003</v>
      </c>
      <c r="K8">
        <v>0</v>
      </c>
      <c r="L8">
        <v>2.5399999999999999E-2</v>
      </c>
      <c r="M8">
        <v>0.13439999999999999</v>
      </c>
      <c r="N8">
        <v>102.5652</v>
      </c>
      <c r="O8" t="s">
        <v>208</v>
      </c>
      <c r="P8" t="s">
        <v>131</v>
      </c>
      <c r="Q8">
        <f>I8-(K8*Standards!$I$15)</f>
        <v>7.1199999999999999E-2</v>
      </c>
    </row>
    <row r="9" spans="1:24">
      <c r="A9">
        <v>26</v>
      </c>
      <c r="B9">
        <v>0</v>
      </c>
      <c r="C9">
        <v>0</v>
      </c>
      <c r="D9">
        <v>35.4</v>
      </c>
      <c r="E9">
        <v>5.1499999999999997E-2</v>
      </c>
      <c r="F9">
        <v>0</v>
      </c>
      <c r="G9">
        <v>0</v>
      </c>
      <c r="H9">
        <v>31.36</v>
      </c>
      <c r="I9">
        <v>9.64E-2</v>
      </c>
      <c r="J9">
        <v>35.07</v>
      </c>
      <c r="K9">
        <v>0</v>
      </c>
      <c r="L9">
        <v>4.3999999999999997E-2</v>
      </c>
      <c r="M9">
        <v>0.1593</v>
      </c>
      <c r="N9">
        <v>102.1811</v>
      </c>
      <c r="O9" t="s">
        <v>208</v>
      </c>
      <c r="P9" t="s">
        <v>131</v>
      </c>
      <c r="Q9">
        <f>I9-(K9*Standards!$I$15)</f>
        <v>9.64E-2</v>
      </c>
    </row>
    <row r="10" spans="1:24">
      <c r="A10">
        <v>24</v>
      </c>
      <c r="B10">
        <v>0</v>
      </c>
      <c r="C10">
        <v>0</v>
      </c>
      <c r="D10">
        <v>35.5</v>
      </c>
      <c r="E10">
        <v>2.35E-2</v>
      </c>
      <c r="F10">
        <v>0</v>
      </c>
      <c r="G10">
        <v>0</v>
      </c>
      <c r="H10">
        <v>31.37</v>
      </c>
      <c r="I10">
        <v>6.5000000000000002E-2</v>
      </c>
      <c r="J10">
        <v>35.07</v>
      </c>
      <c r="K10">
        <v>0</v>
      </c>
      <c r="L10">
        <v>1.6299999999999999E-2</v>
      </c>
      <c r="M10">
        <v>0.12959999999999999</v>
      </c>
      <c r="N10">
        <v>102.1743</v>
      </c>
      <c r="O10" t="s">
        <v>208</v>
      </c>
      <c r="P10" t="s">
        <v>131</v>
      </c>
      <c r="Q10">
        <f>I10-(K10*Standards!$I$15)</f>
        <v>6.5000000000000002E-2</v>
      </c>
    </row>
    <row r="11" spans="1:24">
      <c r="A11">
        <v>46</v>
      </c>
      <c r="B11">
        <v>0</v>
      </c>
      <c r="C11">
        <v>0</v>
      </c>
      <c r="D11">
        <v>35.44</v>
      </c>
      <c r="E11">
        <v>3.4700000000000002E-2</v>
      </c>
      <c r="F11">
        <v>0</v>
      </c>
      <c r="G11">
        <v>0</v>
      </c>
      <c r="H11">
        <v>31.2</v>
      </c>
      <c r="I11">
        <v>9.9099999999999994E-2</v>
      </c>
      <c r="J11">
        <v>35.06</v>
      </c>
      <c r="K11">
        <v>0</v>
      </c>
      <c r="L11">
        <v>5.5300000000000002E-2</v>
      </c>
      <c r="M11">
        <v>0.12089999999999999</v>
      </c>
      <c r="N11">
        <v>102.0099</v>
      </c>
      <c r="O11" t="s">
        <v>208</v>
      </c>
      <c r="P11" t="s">
        <v>131</v>
      </c>
      <c r="Q11">
        <f>I11-(K11*Standards!$I$15)</f>
        <v>9.9099999999999994E-2</v>
      </c>
    </row>
    <row r="12" spans="1:24">
      <c r="A12">
        <v>28</v>
      </c>
      <c r="B12">
        <v>0</v>
      </c>
      <c r="C12">
        <v>0</v>
      </c>
      <c r="D12">
        <v>35.47</v>
      </c>
      <c r="E12">
        <v>4.48E-2</v>
      </c>
      <c r="F12">
        <v>0</v>
      </c>
      <c r="G12">
        <v>0</v>
      </c>
      <c r="H12">
        <v>31.39</v>
      </c>
      <c r="I12">
        <v>0.1048</v>
      </c>
      <c r="J12">
        <v>35.06</v>
      </c>
      <c r="K12">
        <v>0</v>
      </c>
      <c r="L12">
        <v>2.35E-2</v>
      </c>
      <c r="M12">
        <v>0.14879999999999999</v>
      </c>
      <c r="N12">
        <v>102.2418</v>
      </c>
      <c r="O12" t="s">
        <v>208</v>
      </c>
      <c r="P12" t="s">
        <v>131</v>
      </c>
      <c r="Q12">
        <f>I12-(K12*Standards!$I$15)</f>
        <v>0.1048</v>
      </c>
    </row>
    <row r="13" spans="1:24">
      <c r="A13">
        <v>41</v>
      </c>
      <c r="B13">
        <v>0</v>
      </c>
      <c r="C13">
        <v>0</v>
      </c>
      <c r="D13">
        <v>35.590000000000003</v>
      </c>
      <c r="E13">
        <v>2.8799999999999999E-2</v>
      </c>
      <c r="F13">
        <v>0</v>
      </c>
      <c r="G13">
        <v>0</v>
      </c>
      <c r="H13">
        <v>31.24</v>
      </c>
      <c r="I13">
        <v>9.2999999999999999E-2</v>
      </c>
      <c r="J13">
        <v>35.049999999999997</v>
      </c>
      <c r="K13">
        <v>0</v>
      </c>
      <c r="L13">
        <v>4.8300000000000003E-2</v>
      </c>
      <c r="M13">
        <v>0.1229</v>
      </c>
      <c r="N13">
        <v>102.173</v>
      </c>
      <c r="O13" t="s">
        <v>208</v>
      </c>
      <c r="P13" t="s">
        <v>131</v>
      </c>
      <c r="Q13">
        <f>I13-(K13*Standards!$I$15)</f>
        <v>9.2999999999999999E-2</v>
      </c>
    </row>
    <row r="14" spans="1:24">
      <c r="A14">
        <v>22</v>
      </c>
      <c r="B14">
        <v>1.0200000000000001E-2</v>
      </c>
      <c r="C14">
        <v>0</v>
      </c>
      <c r="D14">
        <v>35.46</v>
      </c>
      <c r="E14">
        <v>6.7799999999999999E-2</v>
      </c>
      <c r="F14">
        <v>0</v>
      </c>
      <c r="G14">
        <v>0</v>
      </c>
      <c r="H14">
        <v>31.23</v>
      </c>
      <c r="I14">
        <v>9.2100000000000001E-2</v>
      </c>
      <c r="J14">
        <v>35.049999999999997</v>
      </c>
      <c r="K14">
        <v>0</v>
      </c>
      <c r="L14">
        <v>2.87E-2</v>
      </c>
      <c r="M14">
        <v>0.14080000000000001</v>
      </c>
      <c r="N14">
        <v>102.0795</v>
      </c>
      <c r="O14" t="s">
        <v>208</v>
      </c>
      <c r="P14" t="s">
        <v>131</v>
      </c>
      <c r="Q14">
        <f>I14-(K14*Standards!$I$15)</f>
        <v>9.2100000000000001E-2</v>
      </c>
    </row>
    <row r="15" spans="1:24">
      <c r="A15">
        <v>42</v>
      </c>
      <c r="B15">
        <v>0</v>
      </c>
      <c r="C15">
        <v>0</v>
      </c>
      <c r="D15">
        <v>35.56</v>
      </c>
      <c r="E15">
        <v>1.4999999999999999E-2</v>
      </c>
      <c r="F15">
        <v>0</v>
      </c>
      <c r="G15">
        <v>0</v>
      </c>
      <c r="H15">
        <v>31.58</v>
      </c>
      <c r="I15">
        <v>5.2699999999999997E-2</v>
      </c>
      <c r="J15">
        <v>35.04</v>
      </c>
      <c r="K15">
        <v>0</v>
      </c>
      <c r="L15">
        <v>4.8399999999999999E-2</v>
      </c>
      <c r="M15">
        <v>0.15440000000000001</v>
      </c>
      <c r="N15">
        <v>102.4504</v>
      </c>
      <c r="O15" t="s">
        <v>208</v>
      </c>
      <c r="P15" t="s">
        <v>131</v>
      </c>
      <c r="Q15">
        <f>I15-(K15*Standards!$I$15)</f>
        <v>5.2699999999999997E-2</v>
      </c>
    </row>
    <row r="16" spans="1:24">
      <c r="A16">
        <v>37</v>
      </c>
      <c r="B16">
        <v>0</v>
      </c>
      <c r="C16">
        <v>0</v>
      </c>
      <c r="D16">
        <v>35.659999999999997</v>
      </c>
      <c r="E16">
        <v>2.9000000000000001E-2</v>
      </c>
      <c r="F16">
        <v>0</v>
      </c>
      <c r="G16">
        <v>0</v>
      </c>
      <c r="H16">
        <v>31.32</v>
      </c>
      <c r="I16">
        <v>9.6699999999999994E-2</v>
      </c>
      <c r="J16">
        <v>35.03</v>
      </c>
      <c r="K16">
        <v>0</v>
      </c>
      <c r="L16">
        <v>2.3400000000000001E-2</v>
      </c>
      <c r="M16">
        <v>0.14779999999999999</v>
      </c>
      <c r="N16">
        <v>102.3068</v>
      </c>
      <c r="O16" t="s">
        <v>208</v>
      </c>
      <c r="P16" t="s">
        <v>131</v>
      </c>
      <c r="Q16">
        <f>I16-(K16*Standards!$I$15)</f>
        <v>9.6699999999999994E-2</v>
      </c>
    </row>
    <row r="17" spans="1:17">
      <c r="A17">
        <v>5</v>
      </c>
      <c r="B17">
        <v>0</v>
      </c>
      <c r="C17">
        <v>0</v>
      </c>
      <c r="D17">
        <v>35.08</v>
      </c>
      <c r="E17">
        <v>2.4400000000000002E-2</v>
      </c>
      <c r="F17">
        <v>0</v>
      </c>
      <c r="G17">
        <v>0</v>
      </c>
      <c r="H17">
        <v>31.01</v>
      </c>
      <c r="I17">
        <v>6.6699999999999995E-2</v>
      </c>
      <c r="J17">
        <v>35.020000000000003</v>
      </c>
      <c r="K17">
        <v>0</v>
      </c>
      <c r="L17">
        <v>4.6899999999999997E-2</v>
      </c>
      <c r="M17">
        <v>0.15329999999999999</v>
      </c>
      <c r="N17">
        <v>101.40130000000001</v>
      </c>
      <c r="O17" t="s">
        <v>208</v>
      </c>
      <c r="P17" t="s">
        <v>131</v>
      </c>
      <c r="Q17">
        <f>I17-(K17*Standards!$I$15)</f>
        <v>6.6699999999999995E-2</v>
      </c>
    </row>
    <row r="18" spans="1:17">
      <c r="A18">
        <v>36</v>
      </c>
      <c r="B18">
        <v>0</v>
      </c>
      <c r="C18">
        <v>0</v>
      </c>
      <c r="D18">
        <v>35.46</v>
      </c>
      <c r="E18">
        <v>4.3299999999999998E-2</v>
      </c>
      <c r="F18">
        <v>0</v>
      </c>
      <c r="G18">
        <v>0</v>
      </c>
      <c r="H18">
        <v>31.24</v>
      </c>
      <c r="I18">
        <v>0.1082</v>
      </c>
      <c r="J18">
        <v>35.01</v>
      </c>
      <c r="K18">
        <v>0</v>
      </c>
      <c r="L18">
        <v>5.0200000000000002E-2</v>
      </c>
      <c r="M18">
        <v>0.15509999999999999</v>
      </c>
      <c r="N18">
        <v>102.0667</v>
      </c>
      <c r="O18" t="s">
        <v>208</v>
      </c>
      <c r="P18" t="s">
        <v>131</v>
      </c>
      <c r="Q18">
        <f>I18-(K18*Standards!$I$15)</f>
        <v>0.1082</v>
      </c>
    </row>
    <row r="19" spans="1:17">
      <c r="A19">
        <v>38</v>
      </c>
      <c r="B19">
        <v>0</v>
      </c>
      <c r="C19">
        <v>0</v>
      </c>
      <c r="D19">
        <v>35.69</v>
      </c>
      <c r="E19">
        <v>2.46E-2</v>
      </c>
      <c r="F19">
        <v>0</v>
      </c>
      <c r="G19">
        <v>0</v>
      </c>
      <c r="H19">
        <v>31.76</v>
      </c>
      <c r="I19">
        <v>0</v>
      </c>
      <c r="J19">
        <v>35.01</v>
      </c>
      <c r="K19">
        <v>0</v>
      </c>
      <c r="L19">
        <v>4.19E-2</v>
      </c>
      <c r="M19">
        <v>0.14099999999999999</v>
      </c>
      <c r="N19">
        <v>102.6674</v>
      </c>
      <c r="O19" t="s">
        <v>208</v>
      </c>
      <c r="P19" t="s">
        <v>131</v>
      </c>
      <c r="Q19">
        <f>I19-(K19*Standards!$I$15)</f>
        <v>0</v>
      </c>
    </row>
    <row r="20" spans="1:17">
      <c r="A20">
        <v>43</v>
      </c>
      <c r="B20">
        <v>0</v>
      </c>
      <c r="C20">
        <v>0</v>
      </c>
      <c r="D20">
        <v>35.46</v>
      </c>
      <c r="E20">
        <v>3.6799999999999999E-2</v>
      </c>
      <c r="F20">
        <v>4.1000000000000003E-3</v>
      </c>
      <c r="G20">
        <v>0</v>
      </c>
      <c r="H20">
        <v>31.45</v>
      </c>
      <c r="I20">
        <v>1.2800000000000001E-2</v>
      </c>
      <c r="J20">
        <v>34.979999999999997</v>
      </c>
      <c r="K20">
        <v>0</v>
      </c>
      <c r="L20">
        <v>4.5999999999999999E-2</v>
      </c>
      <c r="M20">
        <v>0.1646</v>
      </c>
      <c r="N20">
        <v>102.1542</v>
      </c>
      <c r="O20" t="s">
        <v>208</v>
      </c>
      <c r="P20" t="s">
        <v>131</v>
      </c>
      <c r="Q20">
        <f>I20-(K20*Standards!$I$15)</f>
        <v>1.2800000000000001E-2</v>
      </c>
    </row>
    <row r="21" spans="1:17">
      <c r="A21">
        <v>4</v>
      </c>
      <c r="B21">
        <v>3.7000000000000002E-3</v>
      </c>
      <c r="C21">
        <v>0</v>
      </c>
      <c r="D21">
        <v>35.29</v>
      </c>
      <c r="E21">
        <v>3.2000000000000001E-2</v>
      </c>
      <c r="F21">
        <v>1E-4</v>
      </c>
      <c r="G21">
        <v>0</v>
      </c>
      <c r="H21">
        <v>31.39</v>
      </c>
      <c r="I21">
        <v>7.4399999999999994E-2</v>
      </c>
      <c r="J21">
        <v>34.97</v>
      </c>
      <c r="K21">
        <v>0</v>
      </c>
      <c r="L21">
        <v>5.0500000000000003E-2</v>
      </c>
      <c r="M21">
        <v>0.13289999999999999</v>
      </c>
      <c r="N21">
        <v>101.9436</v>
      </c>
      <c r="O21" t="s">
        <v>208</v>
      </c>
      <c r="P21" t="s">
        <v>131</v>
      </c>
      <c r="Q21">
        <f>I21-(K21*Standards!$I$15)</f>
        <v>7.4399999999999994E-2</v>
      </c>
    </row>
    <row r="22" spans="1:17">
      <c r="A22">
        <v>29</v>
      </c>
      <c r="B22">
        <v>0</v>
      </c>
      <c r="C22">
        <v>0</v>
      </c>
      <c r="D22">
        <v>35.68</v>
      </c>
      <c r="E22">
        <v>3.0099999999999998E-2</v>
      </c>
      <c r="F22">
        <v>0</v>
      </c>
      <c r="G22">
        <v>0</v>
      </c>
      <c r="H22">
        <v>31.62</v>
      </c>
      <c r="I22">
        <v>0.10929999999999999</v>
      </c>
      <c r="J22">
        <v>34.950000000000003</v>
      </c>
      <c r="K22">
        <v>0</v>
      </c>
      <c r="L22">
        <v>4.7699999999999999E-2</v>
      </c>
      <c r="M22">
        <v>0.14580000000000001</v>
      </c>
      <c r="N22">
        <v>102.58280000000001</v>
      </c>
      <c r="O22" t="s">
        <v>208</v>
      </c>
      <c r="P22" t="s">
        <v>131</v>
      </c>
      <c r="Q22">
        <f>I22-(K22*Standards!$I$15)</f>
        <v>0.10929999999999999</v>
      </c>
    </row>
    <row r="23" spans="1:17">
      <c r="A23">
        <v>10</v>
      </c>
      <c r="B23">
        <v>0</v>
      </c>
      <c r="C23">
        <v>0</v>
      </c>
      <c r="D23">
        <v>35.43</v>
      </c>
      <c r="E23">
        <v>4.1000000000000002E-2</v>
      </c>
      <c r="F23">
        <v>0</v>
      </c>
      <c r="G23">
        <v>0</v>
      </c>
      <c r="H23">
        <v>31.27</v>
      </c>
      <c r="I23">
        <v>8.1299999999999997E-2</v>
      </c>
      <c r="J23">
        <v>34.950000000000003</v>
      </c>
      <c r="K23">
        <v>0</v>
      </c>
      <c r="L23">
        <v>4.3799999999999999E-2</v>
      </c>
      <c r="M23">
        <v>0.16020000000000001</v>
      </c>
      <c r="N23">
        <v>101.97620000000001</v>
      </c>
      <c r="O23" t="s">
        <v>208</v>
      </c>
      <c r="P23" t="s">
        <v>131</v>
      </c>
      <c r="Q23">
        <f>I23-(K23*Standards!$I$15)</f>
        <v>8.1299999999999997E-2</v>
      </c>
    </row>
    <row r="24" spans="1:17">
      <c r="A24">
        <v>2</v>
      </c>
      <c r="B24">
        <v>0</v>
      </c>
      <c r="C24">
        <v>0</v>
      </c>
      <c r="D24">
        <v>35.69</v>
      </c>
      <c r="E24">
        <v>4.58E-2</v>
      </c>
      <c r="F24">
        <v>0</v>
      </c>
      <c r="G24">
        <v>0</v>
      </c>
      <c r="H24">
        <v>31.77</v>
      </c>
      <c r="I24">
        <v>8.0100000000000005E-2</v>
      </c>
      <c r="J24">
        <v>34.93</v>
      </c>
      <c r="K24">
        <v>0</v>
      </c>
      <c r="L24">
        <v>5.4699999999999999E-2</v>
      </c>
      <c r="M24">
        <v>0.15540000000000001</v>
      </c>
      <c r="N24">
        <v>102.726</v>
      </c>
      <c r="O24" t="s">
        <v>208</v>
      </c>
      <c r="P24" t="s">
        <v>131</v>
      </c>
      <c r="Q24">
        <f>I24-(K24*Standards!$I$15)</f>
        <v>8.0100000000000005E-2</v>
      </c>
    </row>
    <row r="25" spans="1:17">
      <c r="A25">
        <v>25</v>
      </c>
      <c r="B25">
        <v>4.0000000000000002E-4</v>
      </c>
      <c r="C25">
        <v>0</v>
      </c>
      <c r="D25">
        <v>35.31</v>
      </c>
      <c r="E25">
        <v>3.6400000000000002E-2</v>
      </c>
      <c r="F25">
        <v>0</v>
      </c>
      <c r="G25">
        <v>0</v>
      </c>
      <c r="H25">
        <v>31.41</v>
      </c>
      <c r="I25">
        <v>0.15190000000000001</v>
      </c>
      <c r="J25">
        <v>34.9</v>
      </c>
      <c r="K25">
        <v>0</v>
      </c>
      <c r="L25">
        <v>0.13389999999999999</v>
      </c>
      <c r="M25">
        <v>0.13009999999999999</v>
      </c>
      <c r="N25">
        <v>102.0727</v>
      </c>
      <c r="O25" t="s">
        <v>208</v>
      </c>
      <c r="P25" t="s">
        <v>131</v>
      </c>
      <c r="Q25">
        <f>I25-(K25*Standards!$I$15)</f>
        <v>0.15190000000000001</v>
      </c>
    </row>
    <row r="26" spans="1:17">
      <c r="A26">
        <v>49</v>
      </c>
      <c r="B26">
        <v>0</v>
      </c>
      <c r="C26">
        <v>0</v>
      </c>
      <c r="D26">
        <v>35.4</v>
      </c>
      <c r="E26">
        <v>4.4999999999999998E-2</v>
      </c>
      <c r="F26">
        <v>0</v>
      </c>
      <c r="G26">
        <v>0</v>
      </c>
      <c r="H26">
        <v>31.32</v>
      </c>
      <c r="I26">
        <v>9.0200000000000002E-2</v>
      </c>
      <c r="J26">
        <v>34.89</v>
      </c>
      <c r="K26">
        <v>0</v>
      </c>
      <c r="L26">
        <v>6.8699999999999997E-2</v>
      </c>
      <c r="M26">
        <v>0.15190000000000001</v>
      </c>
      <c r="N26">
        <v>101.9658</v>
      </c>
      <c r="O26" t="s">
        <v>208</v>
      </c>
      <c r="P26" t="s">
        <v>131</v>
      </c>
      <c r="Q26">
        <f>I26-(K26*Standards!$I$15)</f>
        <v>9.0200000000000002E-2</v>
      </c>
    </row>
    <row r="27" spans="1:17">
      <c r="A27">
        <v>34</v>
      </c>
      <c r="B27">
        <v>0</v>
      </c>
      <c r="C27">
        <v>0</v>
      </c>
      <c r="D27">
        <v>35.75</v>
      </c>
      <c r="E27">
        <v>3.1699999999999999E-2</v>
      </c>
      <c r="F27">
        <v>0</v>
      </c>
      <c r="G27">
        <v>0</v>
      </c>
      <c r="H27">
        <v>31.49</v>
      </c>
      <c r="I27">
        <v>8.77E-2</v>
      </c>
      <c r="J27">
        <v>34.880000000000003</v>
      </c>
      <c r="K27">
        <v>0</v>
      </c>
      <c r="L27">
        <v>7.2599999999999998E-2</v>
      </c>
      <c r="M27">
        <v>0.1328</v>
      </c>
      <c r="N27">
        <v>102.4447</v>
      </c>
      <c r="O27" t="s">
        <v>208</v>
      </c>
      <c r="P27" t="s">
        <v>131</v>
      </c>
      <c r="Q27">
        <f>I27-(K27*Standards!$I$15)</f>
        <v>8.77E-2</v>
      </c>
    </row>
    <row r="28" spans="1:17">
      <c r="A28">
        <v>13</v>
      </c>
      <c r="B28">
        <v>1.6999999999999999E-3</v>
      </c>
      <c r="C28">
        <v>0</v>
      </c>
      <c r="D28">
        <v>35.39</v>
      </c>
      <c r="E28">
        <v>5.2400000000000002E-2</v>
      </c>
      <c r="F28">
        <v>0</v>
      </c>
      <c r="G28">
        <v>0</v>
      </c>
      <c r="H28">
        <v>31.59</v>
      </c>
      <c r="I28">
        <v>0.1032</v>
      </c>
      <c r="J28">
        <v>34.869999999999997</v>
      </c>
      <c r="K28">
        <v>0</v>
      </c>
      <c r="L28">
        <v>7.0000000000000007E-2</v>
      </c>
      <c r="M28">
        <v>0.1217</v>
      </c>
      <c r="N28">
        <v>102.199</v>
      </c>
      <c r="O28" t="s">
        <v>208</v>
      </c>
      <c r="P28" t="s">
        <v>131</v>
      </c>
      <c r="Q28">
        <f>I28-(K28*Standards!$I$15)</f>
        <v>0.1032</v>
      </c>
    </row>
    <row r="29" spans="1:17">
      <c r="A29">
        <v>14</v>
      </c>
      <c r="B29">
        <v>4.0000000000000001E-3</v>
      </c>
      <c r="C29">
        <v>0</v>
      </c>
      <c r="D29">
        <v>35.4</v>
      </c>
      <c r="E29">
        <v>2.6499999999999999E-2</v>
      </c>
      <c r="F29">
        <v>0</v>
      </c>
      <c r="G29">
        <v>0</v>
      </c>
      <c r="H29">
        <v>31.39</v>
      </c>
      <c r="I29">
        <v>0.1056</v>
      </c>
      <c r="J29">
        <v>34.869999999999997</v>
      </c>
      <c r="K29">
        <v>0</v>
      </c>
      <c r="L29">
        <v>5.3199999999999997E-2</v>
      </c>
      <c r="M29">
        <v>0.13750000000000001</v>
      </c>
      <c r="N29">
        <v>101.9867</v>
      </c>
      <c r="O29" t="s">
        <v>208</v>
      </c>
      <c r="P29" t="s">
        <v>131</v>
      </c>
      <c r="Q29">
        <f>I29-(K29*Standards!$I$15)</f>
        <v>0.1056</v>
      </c>
    </row>
    <row r="30" spans="1:17">
      <c r="A30">
        <v>9</v>
      </c>
      <c r="B30">
        <v>0</v>
      </c>
      <c r="C30">
        <v>0</v>
      </c>
      <c r="D30">
        <v>35.21</v>
      </c>
      <c r="E30">
        <v>5.2200000000000003E-2</v>
      </c>
      <c r="F30">
        <v>0</v>
      </c>
      <c r="G30">
        <v>0</v>
      </c>
      <c r="H30">
        <v>31.55</v>
      </c>
      <c r="I30">
        <v>8.5099999999999995E-2</v>
      </c>
      <c r="J30">
        <v>34.840000000000003</v>
      </c>
      <c r="K30">
        <v>0</v>
      </c>
      <c r="L30">
        <v>3.6799999999999999E-2</v>
      </c>
      <c r="M30">
        <v>0.13689999999999999</v>
      </c>
      <c r="N30">
        <v>101.9109</v>
      </c>
      <c r="O30" t="s">
        <v>208</v>
      </c>
      <c r="P30" t="s">
        <v>131</v>
      </c>
      <c r="Q30">
        <f>I30-(K30*Standards!$I$15)</f>
        <v>8.5099999999999995E-2</v>
      </c>
    </row>
    <row r="31" spans="1:17">
      <c r="A31">
        <v>45</v>
      </c>
      <c r="B31">
        <v>0</v>
      </c>
      <c r="C31">
        <v>0</v>
      </c>
      <c r="D31">
        <v>35.380000000000003</v>
      </c>
      <c r="E31">
        <v>3.9899999999999998E-2</v>
      </c>
      <c r="F31">
        <v>0</v>
      </c>
      <c r="G31">
        <v>0</v>
      </c>
      <c r="H31">
        <v>31.32</v>
      </c>
      <c r="I31">
        <v>9.8500000000000004E-2</v>
      </c>
      <c r="J31">
        <v>34.83</v>
      </c>
      <c r="K31">
        <v>0</v>
      </c>
      <c r="L31">
        <v>0.1148</v>
      </c>
      <c r="M31">
        <v>0.13639999999999999</v>
      </c>
      <c r="N31">
        <v>101.9195</v>
      </c>
      <c r="O31" t="s">
        <v>208</v>
      </c>
      <c r="P31" t="s">
        <v>131</v>
      </c>
      <c r="Q31">
        <f>I31-(K31*Standards!$I$15)</f>
        <v>9.8500000000000004E-2</v>
      </c>
    </row>
    <row r="32" spans="1:17">
      <c r="A32">
        <v>35</v>
      </c>
      <c r="B32">
        <v>0</v>
      </c>
      <c r="C32">
        <v>0</v>
      </c>
      <c r="D32">
        <v>35.33</v>
      </c>
      <c r="E32">
        <v>3.9600000000000003E-2</v>
      </c>
      <c r="F32">
        <v>0</v>
      </c>
      <c r="G32">
        <v>0</v>
      </c>
      <c r="H32">
        <v>31.48</v>
      </c>
      <c r="I32">
        <v>0.1021</v>
      </c>
      <c r="J32">
        <v>34.81</v>
      </c>
      <c r="K32">
        <v>0</v>
      </c>
      <c r="L32">
        <v>2.58E-2</v>
      </c>
      <c r="M32">
        <v>0.1474</v>
      </c>
      <c r="N32">
        <v>101.9349</v>
      </c>
      <c r="O32" t="s">
        <v>208</v>
      </c>
      <c r="P32" t="s">
        <v>131</v>
      </c>
      <c r="Q32">
        <f>I32-(K32*Standards!$I$15)</f>
        <v>0.1021</v>
      </c>
    </row>
    <row r="33" spans="1:17">
      <c r="A33">
        <v>33</v>
      </c>
      <c r="B33">
        <v>0</v>
      </c>
      <c r="C33">
        <v>0</v>
      </c>
      <c r="D33">
        <v>35.44</v>
      </c>
      <c r="E33">
        <v>3.1899999999999998E-2</v>
      </c>
      <c r="F33">
        <v>0</v>
      </c>
      <c r="G33">
        <v>0</v>
      </c>
      <c r="H33">
        <v>31.55</v>
      </c>
      <c r="I33">
        <v>0.1095</v>
      </c>
      <c r="J33">
        <v>34.75</v>
      </c>
      <c r="K33">
        <v>0</v>
      </c>
      <c r="L33">
        <v>8.8700000000000001E-2</v>
      </c>
      <c r="M33">
        <v>0.1225</v>
      </c>
      <c r="N33">
        <v>102.0925</v>
      </c>
      <c r="O33" t="s">
        <v>208</v>
      </c>
      <c r="P33" t="s">
        <v>131</v>
      </c>
      <c r="Q33">
        <f>I33-(K33*Standards!$I$15)</f>
        <v>0.1095</v>
      </c>
    </row>
    <row r="34" spans="1:17">
      <c r="A34">
        <v>21</v>
      </c>
      <c r="B34">
        <v>0</v>
      </c>
      <c r="C34">
        <v>0</v>
      </c>
      <c r="D34">
        <v>35.26</v>
      </c>
      <c r="E34">
        <v>3.4500000000000003E-2</v>
      </c>
      <c r="F34">
        <v>1.4999999999999999E-2</v>
      </c>
      <c r="G34">
        <v>0</v>
      </c>
      <c r="H34">
        <v>31.02</v>
      </c>
      <c r="I34">
        <v>6.9599999999999995E-2</v>
      </c>
      <c r="J34">
        <v>34.74</v>
      </c>
      <c r="K34">
        <v>0</v>
      </c>
      <c r="L34">
        <v>4.0500000000000001E-2</v>
      </c>
      <c r="M34">
        <v>0.14219999999999999</v>
      </c>
      <c r="N34">
        <v>101.32170000000001</v>
      </c>
      <c r="O34" t="s">
        <v>208</v>
      </c>
      <c r="P34" t="s">
        <v>131</v>
      </c>
      <c r="Q34">
        <f>I34-(K34*Standards!$I$15)</f>
        <v>6.9599999999999995E-2</v>
      </c>
    </row>
    <row r="35" spans="1:17">
      <c r="A35">
        <v>44</v>
      </c>
      <c r="B35">
        <v>0</v>
      </c>
      <c r="C35">
        <v>0</v>
      </c>
      <c r="D35">
        <v>35.29</v>
      </c>
      <c r="E35">
        <v>4.99E-2</v>
      </c>
      <c r="F35">
        <v>0</v>
      </c>
      <c r="G35">
        <v>0</v>
      </c>
      <c r="H35">
        <v>31.09</v>
      </c>
      <c r="I35">
        <v>0.1246</v>
      </c>
      <c r="J35">
        <v>34.68</v>
      </c>
      <c r="K35">
        <v>0</v>
      </c>
      <c r="L35">
        <v>0.59240000000000004</v>
      </c>
      <c r="M35">
        <v>0.15890000000000001</v>
      </c>
      <c r="N35">
        <v>101.98569999999999</v>
      </c>
      <c r="O35" t="s">
        <v>208</v>
      </c>
      <c r="P35" t="s">
        <v>131</v>
      </c>
      <c r="Q35">
        <f>I35-(K35*Standards!$I$15)</f>
        <v>0.1246</v>
      </c>
    </row>
    <row r="36" spans="1:17">
      <c r="A36">
        <v>51</v>
      </c>
      <c r="B36">
        <v>2.5000000000000001E-3</v>
      </c>
      <c r="C36">
        <v>0</v>
      </c>
      <c r="D36">
        <v>35.22</v>
      </c>
      <c r="E36">
        <v>3.2000000000000001E-2</v>
      </c>
      <c r="F36">
        <v>0</v>
      </c>
      <c r="G36">
        <v>0</v>
      </c>
      <c r="H36">
        <v>30.95</v>
      </c>
      <c r="I36">
        <v>9.4200000000000006E-2</v>
      </c>
      <c r="J36">
        <v>34.65</v>
      </c>
      <c r="K36">
        <v>0</v>
      </c>
      <c r="L36">
        <v>0.29820000000000002</v>
      </c>
      <c r="M36">
        <v>0.1215</v>
      </c>
      <c r="N36">
        <v>101.3683</v>
      </c>
      <c r="O36" t="s">
        <v>209</v>
      </c>
      <c r="P36" t="s">
        <v>131</v>
      </c>
      <c r="Q36">
        <f>I36-(K36*Standards!$I$15)</f>
        <v>9.4200000000000006E-2</v>
      </c>
    </row>
    <row r="37" spans="1:17">
      <c r="A37">
        <v>34</v>
      </c>
      <c r="B37">
        <v>0</v>
      </c>
      <c r="C37">
        <v>0</v>
      </c>
      <c r="D37">
        <v>35.450000000000003</v>
      </c>
      <c r="E37">
        <v>1.0699999999999999E-2</v>
      </c>
      <c r="F37">
        <v>0</v>
      </c>
      <c r="G37">
        <v>0</v>
      </c>
      <c r="H37">
        <v>30.69</v>
      </c>
      <c r="I37">
        <v>3.1199999999999999E-2</v>
      </c>
      <c r="J37">
        <v>34.229999999999997</v>
      </c>
      <c r="K37">
        <v>0</v>
      </c>
      <c r="L37">
        <v>4.9200000000000001E-2</v>
      </c>
      <c r="M37">
        <v>0.1285</v>
      </c>
      <c r="N37">
        <v>100.5895</v>
      </c>
      <c r="O37" t="s">
        <v>132</v>
      </c>
      <c r="P37" t="s">
        <v>131</v>
      </c>
      <c r="Q37">
        <f>I37-(K37*Standards!$I$15)</f>
        <v>3.1199999999999999E-2</v>
      </c>
    </row>
    <row r="38" spans="1:17">
      <c r="A38">
        <v>43</v>
      </c>
      <c r="B38">
        <v>0</v>
      </c>
      <c r="C38">
        <v>0</v>
      </c>
      <c r="D38">
        <v>35.270000000000003</v>
      </c>
      <c r="E38">
        <v>1.7999999999999999E-2</v>
      </c>
      <c r="F38">
        <v>0</v>
      </c>
      <c r="G38">
        <v>0</v>
      </c>
      <c r="H38">
        <v>30.53</v>
      </c>
      <c r="I38">
        <v>3.1E-2</v>
      </c>
      <c r="J38">
        <v>34.22</v>
      </c>
      <c r="K38">
        <v>0</v>
      </c>
      <c r="L38">
        <v>4.8599999999999997E-2</v>
      </c>
      <c r="M38">
        <v>0.1108</v>
      </c>
      <c r="N38">
        <v>100.2283</v>
      </c>
      <c r="O38" t="s">
        <v>132</v>
      </c>
      <c r="P38" t="s">
        <v>131</v>
      </c>
      <c r="Q38">
        <f>I38-(K38*Standards!$I$15)</f>
        <v>3.1E-2</v>
      </c>
    </row>
    <row r="39" spans="1:17">
      <c r="A39">
        <v>30</v>
      </c>
      <c r="B39">
        <v>5.5999999999999999E-3</v>
      </c>
      <c r="C39">
        <v>0</v>
      </c>
      <c r="D39">
        <v>35.409999999999997</v>
      </c>
      <c r="E39">
        <v>4.3799999999999999E-2</v>
      </c>
      <c r="F39">
        <v>0</v>
      </c>
      <c r="G39">
        <v>0</v>
      </c>
      <c r="H39">
        <v>30.56</v>
      </c>
      <c r="I39">
        <v>2.9399999999999999E-2</v>
      </c>
      <c r="J39">
        <v>34.04</v>
      </c>
      <c r="K39">
        <v>0</v>
      </c>
      <c r="L39">
        <v>4.3499999999999997E-2</v>
      </c>
      <c r="M39">
        <v>0.15279999999999999</v>
      </c>
      <c r="N39">
        <v>100.2851</v>
      </c>
      <c r="O39" t="s">
        <v>132</v>
      </c>
      <c r="P39" t="s">
        <v>131</v>
      </c>
      <c r="Q39">
        <f>I39-(K39*Standards!$I$15)</f>
        <v>2.9399999999999999E-2</v>
      </c>
    </row>
    <row r="40" spans="1:17">
      <c r="A40">
        <v>31</v>
      </c>
      <c r="B40">
        <v>0</v>
      </c>
      <c r="C40">
        <v>0</v>
      </c>
      <c r="D40">
        <v>35.42</v>
      </c>
      <c r="E40">
        <v>1.5800000000000002E-2</v>
      </c>
      <c r="F40">
        <v>0</v>
      </c>
      <c r="G40">
        <v>0</v>
      </c>
      <c r="H40">
        <v>30.58</v>
      </c>
      <c r="I40">
        <v>2.8899999999999999E-2</v>
      </c>
      <c r="J40">
        <v>34.18</v>
      </c>
      <c r="K40">
        <v>0</v>
      </c>
      <c r="L40">
        <v>2.4899999999999999E-2</v>
      </c>
      <c r="M40">
        <v>0.1404</v>
      </c>
      <c r="N40">
        <v>100.39</v>
      </c>
      <c r="O40" t="s">
        <v>132</v>
      </c>
      <c r="P40" t="s">
        <v>131</v>
      </c>
      <c r="Q40">
        <f>I40-(K40*Standards!$I$15)</f>
        <v>2.8899999999999999E-2</v>
      </c>
    </row>
    <row r="41" spans="1:17">
      <c r="A41">
        <v>46</v>
      </c>
      <c r="B41">
        <v>0</v>
      </c>
      <c r="C41">
        <v>0</v>
      </c>
      <c r="D41">
        <v>35.380000000000003</v>
      </c>
      <c r="E41">
        <v>2.3E-2</v>
      </c>
      <c r="F41">
        <v>0</v>
      </c>
      <c r="G41">
        <v>0</v>
      </c>
      <c r="H41">
        <v>30.7</v>
      </c>
      <c r="I41">
        <v>2.8199999999999999E-2</v>
      </c>
      <c r="J41">
        <v>34.39</v>
      </c>
      <c r="K41">
        <v>0</v>
      </c>
      <c r="L41">
        <v>6.9199999999999998E-2</v>
      </c>
      <c r="M41">
        <v>0.1115</v>
      </c>
      <c r="N41">
        <v>100.70180000000001</v>
      </c>
      <c r="O41" t="s">
        <v>132</v>
      </c>
      <c r="P41" t="s">
        <v>131</v>
      </c>
      <c r="Q41">
        <f>I41-(K41*Standards!$I$15)</f>
        <v>2.8199999999999999E-2</v>
      </c>
    </row>
    <row r="42" spans="1:17">
      <c r="A42">
        <v>18</v>
      </c>
      <c r="B42">
        <v>9.1999999999999998E-3</v>
      </c>
      <c r="C42">
        <v>0</v>
      </c>
      <c r="D42">
        <v>35.47</v>
      </c>
      <c r="E42">
        <v>2.4899999999999999E-2</v>
      </c>
      <c r="F42">
        <v>0</v>
      </c>
      <c r="G42">
        <v>0</v>
      </c>
      <c r="H42">
        <v>30.69</v>
      </c>
      <c r="I42">
        <v>2.7900000000000001E-2</v>
      </c>
      <c r="J42">
        <v>34.46</v>
      </c>
      <c r="K42">
        <v>0</v>
      </c>
      <c r="L42">
        <v>4.5199999999999997E-2</v>
      </c>
      <c r="M42">
        <v>0.1363</v>
      </c>
      <c r="N42">
        <v>100.8634</v>
      </c>
      <c r="O42" t="s">
        <v>132</v>
      </c>
      <c r="P42" t="s">
        <v>131</v>
      </c>
      <c r="Q42">
        <f>I42-(K42*Standards!$I$15)</f>
        <v>2.7900000000000001E-2</v>
      </c>
    </row>
    <row r="43" spans="1:17">
      <c r="A43">
        <v>17</v>
      </c>
      <c r="B43">
        <v>0</v>
      </c>
      <c r="C43">
        <v>0</v>
      </c>
      <c r="D43">
        <v>35.659999999999997</v>
      </c>
      <c r="E43">
        <v>2.9899999999999999E-2</v>
      </c>
      <c r="F43">
        <v>0</v>
      </c>
      <c r="G43">
        <v>0</v>
      </c>
      <c r="H43">
        <v>30.65</v>
      </c>
      <c r="I43">
        <v>2.7900000000000001E-2</v>
      </c>
      <c r="J43">
        <v>34.299999999999997</v>
      </c>
      <c r="K43">
        <v>0</v>
      </c>
      <c r="L43">
        <v>0.04</v>
      </c>
      <c r="M43">
        <v>0.1419</v>
      </c>
      <c r="N43">
        <v>100.8496</v>
      </c>
      <c r="O43" t="s">
        <v>132</v>
      </c>
      <c r="P43" t="s">
        <v>131</v>
      </c>
      <c r="Q43">
        <f>I43-(K43*Standards!$I$15)</f>
        <v>2.7900000000000001E-2</v>
      </c>
    </row>
    <row r="44" spans="1:17">
      <c r="A44">
        <v>50</v>
      </c>
      <c r="B44">
        <v>0</v>
      </c>
      <c r="C44">
        <v>0</v>
      </c>
      <c r="D44">
        <v>35.49</v>
      </c>
      <c r="E44">
        <v>4.8300000000000003E-2</v>
      </c>
      <c r="F44">
        <v>0</v>
      </c>
      <c r="G44">
        <v>0</v>
      </c>
      <c r="H44">
        <v>30.4</v>
      </c>
      <c r="I44">
        <v>2.76E-2</v>
      </c>
      <c r="J44">
        <v>34.28</v>
      </c>
      <c r="K44">
        <v>0</v>
      </c>
      <c r="L44">
        <v>6.2100000000000002E-2</v>
      </c>
      <c r="M44">
        <v>0.1203</v>
      </c>
      <c r="N44">
        <v>100.42829999999999</v>
      </c>
      <c r="O44" t="s">
        <v>132</v>
      </c>
      <c r="P44" t="s">
        <v>131</v>
      </c>
      <c r="Q44">
        <f>I44-(K44*Standards!$I$15)</f>
        <v>2.76E-2</v>
      </c>
    </row>
    <row r="45" spans="1:17">
      <c r="A45">
        <v>14</v>
      </c>
      <c r="B45">
        <v>0</v>
      </c>
      <c r="C45">
        <v>0</v>
      </c>
      <c r="D45">
        <v>35.44</v>
      </c>
      <c r="E45">
        <v>4.5600000000000002E-2</v>
      </c>
      <c r="F45">
        <v>0</v>
      </c>
      <c r="G45">
        <v>0</v>
      </c>
      <c r="H45">
        <v>30.72</v>
      </c>
      <c r="I45">
        <v>2.7300000000000001E-2</v>
      </c>
      <c r="J45">
        <v>34.380000000000003</v>
      </c>
      <c r="K45">
        <v>0</v>
      </c>
      <c r="L45">
        <v>3.1600000000000003E-2</v>
      </c>
      <c r="M45">
        <v>0.13350000000000001</v>
      </c>
      <c r="N45">
        <v>100.7779</v>
      </c>
      <c r="O45" t="s">
        <v>132</v>
      </c>
      <c r="P45" t="s">
        <v>131</v>
      </c>
      <c r="Q45">
        <f>I45-(K45*Standards!$I$15)</f>
        <v>2.7300000000000001E-2</v>
      </c>
    </row>
    <row r="46" spans="1:17">
      <c r="A46">
        <v>24</v>
      </c>
      <c r="B46">
        <v>0</v>
      </c>
      <c r="C46">
        <v>0</v>
      </c>
      <c r="D46">
        <v>35.44</v>
      </c>
      <c r="E46">
        <v>7.1800000000000003E-2</v>
      </c>
      <c r="F46">
        <v>0</v>
      </c>
      <c r="G46">
        <v>0</v>
      </c>
      <c r="H46">
        <v>30.6</v>
      </c>
      <c r="I46">
        <v>2.63E-2</v>
      </c>
      <c r="J46">
        <v>34.24</v>
      </c>
      <c r="K46">
        <v>0</v>
      </c>
      <c r="L46">
        <v>6.5799999999999997E-2</v>
      </c>
      <c r="M46">
        <v>0.13539999999999999</v>
      </c>
      <c r="N46">
        <v>100.5792</v>
      </c>
      <c r="O46" t="s">
        <v>132</v>
      </c>
      <c r="P46" t="s">
        <v>131</v>
      </c>
      <c r="Q46">
        <f>I46-(K46*Standards!$I$15)</f>
        <v>2.63E-2</v>
      </c>
    </row>
    <row r="47" spans="1:17">
      <c r="A47">
        <v>1</v>
      </c>
      <c r="B47">
        <v>0</v>
      </c>
      <c r="C47">
        <v>0</v>
      </c>
      <c r="D47">
        <v>35.15</v>
      </c>
      <c r="E47">
        <v>6.0000000000000001E-3</v>
      </c>
      <c r="F47">
        <v>0</v>
      </c>
      <c r="G47">
        <v>0</v>
      </c>
      <c r="H47">
        <v>30.81</v>
      </c>
      <c r="I47">
        <v>2.5999999999999999E-2</v>
      </c>
      <c r="J47">
        <v>34.51</v>
      </c>
      <c r="K47">
        <v>0</v>
      </c>
      <c r="L47">
        <v>5.9900000000000002E-2</v>
      </c>
      <c r="M47">
        <v>0.14660000000000001</v>
      </c>
      <c r="N47">
        <v>100.7084</v>
      </c>
      <c r="O47" t="s">
        <v>132</v>
      </c>
      <c r="P47" t="s">
        <v>131</v>
      </c>
      <c r="Q47">
        <f>I47-(K47*Standards!$I$15)</f>
        <v>2.5999999999999999E-2</v>
      </c>
    </row>
    <row r="48" spans="1:17">
      <c r="A48">
        <v>23</v>
      </c>
      <c r="B48">
        <v>0</v>
      </c>
      <c r="C48">
        <v>0</v>
      </c>
      <c r="D48">
        <v>35.32</v>
      </c>
      <c r="E48">
        <v>1.09E-2</v>
      </c>
      <c r="F48">
        <v>0</v>
      </c>
      <c r="G48">
        <v>0</v>
      </c>
      <c r="H48">
        <v>30.46</v>
      </c>
      <c r="I48">
        <v>2.58E-2</v>
      </c>
      <c r="J48">
        <v>34.6</v>
      </c>
      <c r="K48">
        <v>0</v>
      </c>
      <c r="L48">
        <v>5.04E-2</v>
      </c>
      <c r="M48">
        <v>0.14419999999999999</v>
      </c>
      <c r="N48">
        <v>100.6112</v>
      </c>
      <c r="O48" t="s">
        <v>132</v>
      </c>
      <c r="P48" t="s">
        <v>131</v>
      </c>
      <c r="Q48">
        <f>I48-(K48*Standards!$I$15)</f>
        <v>2.58E-2</v>
      </c>
    </row>
    <row r="49" spans="1:17">
      <c r="A49">
        <v>13</v>
      </c>
      <c r="B49">
        <v>0</v>
      </c>
      <c r="C49">
        <v>0</v>
      </c>
      <c r="D49">
        <v>35.32</v>
      </c>
      <c r="E49">
        <v>4.58E-2</v>
      </c>
      <c r="F49">
        <v>0</v>
      </c>
      <c r="G49">
        <v>0</v>
      </c>
      <c r="H49">
        <v>30.85</v>
      </c>
      <c r="I49">
        <v>2.5700000000000001E-2</v>
      </c>
      <c r="J49">
        <v>34.32</v>
      </c>
      <c r="K49">
        <v>0</v>
      </c>
      <c r="L49">
        <v>0.04</v>
      </c>
      <c r="M49">
        <v>0.11890000000000001</v>
      </c>
      <c r="N49">
        <v>100.72029999999999</v>
      </c>
      <c r="O49" t="s">
        <v>132</v>
      </c>
      <c r="P49" t="s">
        <v>131</v>
      </c>
      <c r="Q49">
        <f>I49-(K49*Standards!$I$15)</f>
        <v>2.5700000000000001E-2</v>
      </c>
    </row>
    <row r="50" spans="1:17">
      <c r="A50">
        <v>37</v>
      </c>
      <c r="B50">
        <v>0</v>
      </c>
      <c r="C50">
        <v>0</v>
      </c>
      <c r="D50">
        <v>35.340000000000003</v>
      </c>
      <c r="E50">
        <v>1.6E-2</v>
      </c>
      <c r="F50">
        <v>0</v>
      </c>
      <c r="G50">
        <v>0</v>
      </c>
      <c r="H50">
        <v>30.84</v>
      </c>
      <c r="I50">
        <v>2.5700000000000001E-2</v>
      </c>
      <c r="J50">
        <v>34.03</v>
      </c>
      <c r="K50">
        <v>0</v>
      </c>
      <c r="L50">
        <v>4.9599999999999998E-2</v>
      </c>
      <c r="M50">
        <v>0.1331</v>
      </c>
      <c r="N50">
        <v>100.43429999999999</v>
      </c>
      <c r="O50" t="s">
        <v>132</v>
      </c>
      <c r="P50" t="s">
        <v>131</v>
      </c>
      <c r="Q50">
        <f>I50-(K50*Standards!$I$15)</f>
        <v>2.5700000000000001E-2</v>
      </c>
    </row>
    <row r="51" spans="1:17">
      <c r="A51">
        <v>49</v>
      </c>
      <c r="B51">
        <v>0</v>
      </c>
      <c r="C51">
        <v>0</v>
      </c>
      <c r="D51">
        <v>35.36</v>
      </c>
      <c r="E51">
        <v>3.5400000000000001E-2</v>
      </c>
      <c r="F51">
        <v>0</v>
      </c>
      <c r="G51">
        <v>0</v>
      </c>
      <c r="H51">
        <v>30.53</v>
      </c>
      <c r="I51">
        <v>2.53E-2</v>
      </c>
      <c r="J51">
        <v>34.08</v>
      </c>
      <c r="K51">
        <v>0</v>
      </c>
      <c r="L51">
        <v>3.95E-2</v>
      </c>
      <c r="M51">
        <v>0.1229</v>
      </c>
      <c r="N51">
        <v>100.193</v>
      </c>
      <c r="O51" t="s">
        <v>132</v>
      </c>
      <c r="P51" t="s">
        <v>131</v>
      </c>
      <c r="Q51">
        <f>I51-(K51*Standards!$I$15)</f>
        <v>2.53E-2</v>
      </c>
    </row>
    <row r="52" spans="1:17">
      <c r="A52">
        <v>48</v>
      </c>
      <c r="B52">
        <v>0</v>
      </c>
      <c r="C52">
        <v>0</v>
      </c>
      <c r="D52">
        <v>35.520000000000003</v>
      </c>
      <c r="E52">
        <v>3.49E-2</v>
      </c>
      <c r="F52">
        <v>0</v>
      </c>
      <c r="G52">
        <v>0</v>
      </c>
      <c r="H52">
        <v>30.59</v>
      </c>
      <c r="I52">
        <v>2.4899999999999999E-2</v>
      </c>
      <c r="J52">
        <v>34.35</v>
      </c>
      <c r="K52">
        <v>0</v>
      </c>
      <c r="L52">
        <v>4.2200000000000001E-2</v>
      </c>
      <c r="M52">
        <v>0.1268</v>
      </c>
      <c r="N52">
        <v>100.6887</v>
      </c>
      <c r="O52" t="s">
        <v>132</v>
      </c>
      <c r="P52" t="s">
        <v>131</v>
      </c>
      <c r="Q52">
        <f>I52-(K52*Standards!$I$15)</f>
        <v>2.4899999999999999E-2</v>
      </c>
    </row>
    <row r="53" spans="1:17">
      <c r="A53">
        <v>47</v>
      </c>
      <c r="B53">
        <v>0</v>
      </c>
      <c r="C53">
        <v>0</v>
      </c>
      <c r="D53">
        <v>35.409999999999997</v>
      </c>
      <c r="E53">
        <v>5.0299999999999997E-2</v>
      </c>
      <c r="F53">
        <v>0</v>
      </c>
      <c r="G53">
        <v>0</v>
      </c>
      <c r="H53">
        <v>30.57</v>
      </c>
      <c r="I53">
        <v>2.47E-2</v>
      </c>
      <c r="J53">
        <v>34.22</v>
      </c>
      <c r="K53">
        <v>0</v>
      </c>
      <c r="L53">
        <v>4.41E-2</v>
      </c>
      <c r="M53">
        <v>0.1328</v>
      </c>
      <c r="N53">
        <v>100.45180000000001</v>
      </c>
      <c r="O53" t="s">
        <v>132</v>
      </c>
      <c r="P53" t="s">
        <v>131</v>
      </c>
      <c r="Q53">
        <f>I53-(K53*Standards!$I$15)</f>
        <v>2.47E-2</v>
      </c>
    </row>
    <row r="54" spans="1:17">
      <c r="A54">
        <v>38</v>
      </c>
      <c r="B54">
        <v>0</v>
      </c>
      <c r="C54">
        <v>0</v>
      </c>
      <c r="D54">
        <v>35.549999999999997</v>
      </c>
      <c r="E54">
        <v>3.5400000000000001E-2</v>
      </c>
      <c r="F54">
        <v>0</v>
      </c>
      <c r="G54">
        <v>0</v>
      </c>
      <c r="H54">
        <v>30.69</v>
      </c>
      <c r="I54">
        <v>2.4400000000000002E-2</v>
      </c>
      <c r="J54">
        <v>34.29</v>
      </c>
      <c r="K54">
        <v>0</v>
      </c>
      <c r="L54">
        <v>4.5999999999999999E-2</v>
      </c>
      <c r="M54">
        <v>0.13750000000000001</v>
      </c>
      <c r="N54">
        <v>100.7732</v>
      </c>
      <c r="O54" t="s">
        <v>132</v>
      </c>
      <c r="P54" t="s">
        <v>131</v>
      </c>
      <c r="Q54">
        <f>I54-(K54*Standards!$I$15)</f>
        <v>2.4400000000000002E-2</v>
      </c>
    </row>
    <row r="55" spans="1:17">
      <c r="A55">
        <v>42</v>
      </c>
      <c r="B55">
        <v>0</v>
      </c>
      <c r="C55">
        <v>0</v>
      </c>
      <c r="D55">
        <v>35.46</v>
      </c>
      <c r="E55">
        <v>2.4299999999999999E-2</v>
      </c>
      <c r="F55">
        <v>0</v>
      </c>
      <c r="G55">
        <v>0</v>
      </c>
      <c r="H55">
        <v>30.51</v>
      </c>
      <c r="I55">
        <v>2.35E-2</v>
      </c>
      <c r="J55">
        <v>34.32</v>
      </c>
      <c r="K55">
        <v>0</v>
      </c>
      <c r="L55">
        <v>5.0599999999999999E-2</v>
      </c>
      <c r="M55">
        <v>0.14979999999999999</v>
      </c>
      <c r="N55">
        <v>100.5381</v>
      </c>
      <c r="O55" t="s">
        <v>132</v>
      </c>
      <c r="P55" t="s">
        <v>131</v>
      </c>
      <c r="Q55">
        <f>I55-(K55*Standards!$I$15)</f>
        <v>2.35E-2</v>
      </c>
    </row>
    <row r="56" spans="1:17">
      <c r="A56">
        <v>22</v>
      </c>
      <c r="B56">
        <v>1.6000000000000001E-3</v>
      </c>
      <c r="C56">
        <v>0</v>
      </c>
      <c r="D56">
        <v>35.42</v>
      </c>
      <c r="E56">
        <v>3.3300000000000003E-2</v>
      </c>
      <c r="F56">
        <v>8.3999999999999995E-3</v>
      </c>
      <c r="G56">
        <v>0</v>
      </c>
      <c r="H56">
        <v>30.8</v>
      </c>
      <c r="I56">
        <v>2.3199999999999998E-2</v>
      </c>
      <c r="J56">
        <v>34.43</v>
      </c>
      <c r="K56">
        <v>0</v>
      </c>
      <c r="L56">
        <v>3.0599999999999999E-2</v>
      </c>
      <c r="M56">
        <v>0.1409</v>
      </c>
      <c r="N56">
        <v>100.8879</v>
      </c>
      <c r="O56" t="s">
        <v>132</v>
      </c>
      <c r="P56" t="s">
        <v>131</v>
      </c>
      <c r="Q56">
        <f>I56-(K56*Standards!$I$15)</f>
        <v>2.3199999999999998E-2</v>
      </c>
    </row>
    <row r="57" spans="1:17">
      <c r="A57">
        <v>15</v>
      </c>
      <c r="B57">
        <v>0</v>
      </c>
      <c r="C57">
        <v>0</v>
      </c>
      <c r="D57">
        <v>35.11</v>
      </c>
      <c r="E57">
        <v>3.27E-2</v>
      </c>
      <c r="F57">
        <v>0</v>
      </c>
      <c r="G57">
        <v>0</v>
      </c>
      <c r="H57">
        <v>30.57</v>
      </c>
      <c r="I57">
        <v>2.3099999999999999E-2</v>
      </c>
      <c r="J57">
        <v>34.51</v>
      </c>
      <c r="K57">
        <v>0</v>
      </c>
      <c r="L57">
        <v>4.58E-2</v>
      </c>
      <c r="M57">
        <v>0.13730000000000001</v>
      </c>
      <c r="N57">
        <v>100.4288</v>
      </c>
      <c r="O57" t="s">
        <v>132</v>
      </c>
      <c r="P57" t="s">
        <v>131</v>
      </c>
      <c r="Q57">
        <f>I57-(K57*Standards!$I$15)</f>
        <v>2.3099999999999999E-2</v>
      </c>
    </row>
    <row r="58" spans="1:17">
      <c r="A58">
        <v>25</v>
      </c>
      <c r="B58">
        <v>0</v>
      </c>
      <c r="C58">
        <v>0</v>
      </c>
      <c r="D58">
        <v>35.409999999999997</v>
      </c>
      <c r="E58">
        <v>7.4800000000000005E-2</v>
      </c>
      <c r="F58">
        <v>0</v>
      </c>
      <c r="G58">
        <v>0</v>
      </c>
      <c r="H58">
        <v>30.66</v>
      </c>
      <c r="I58">
        <v>2.29E-2</v>
      </c>
      <c r="J58">
        <v>34.18</v>
      </c>
      <c r="K58">
        <v>0</v>
      </c>
      <c r="L58">
        <v>3.2199999999999999E-2</v>
      </c>
      <c r="M58">
        <v>0.14249999999999999</v>
      </c>
      <c r="N58">
        <v>100.5224</v>
      </c>
      <c r="O58" t="s">
        <v>132</v>
      </c>
      <c r="P58" t="s">
        <v>131</v>
      </c>
      <c r="Q58">
        <f>I58-(K58*Standards!$I$15)</f>
        <v>2.29E-2</v>
      </c>
    </row>
    <row r="59" spans="1:17">
      <c r="A59">
        <v>28</v>
      </c>
      <c r="B59">
        <v>0</v>
      </c>
      <c r="C59">
        <v>0</v>
      </c>
      <c r="D59">
        <v>35.32</v>
      </c>
      <c r="E59">
        <v>5.8999999999999997E-2</v>
      </c>
      <c r="F59">
        <v>0</v>
      </c>
      <c r="G59">
        <v>0</v>
      </c>
      <c r="H59">
        <v>30.68</v>
      </c>
      <c r="I59">
        <v>2.2499999999999999E-2</v>
      </c>
      <c r="J59">
        <v>34.270000000000003</v>
      </c>
      <c r="K59">
        <v>0</v>
      </c>
      <c r="L59">
        <v>5.2699999999999997E-2</v>
      </c>
      <c r="M59">
        <v>0.1399</v>
      </c>
      <c r="N59">
        <v>100.544</v>
      </c>
      <c r="O59" t="s">
        <v>132</v>
      </c>
      <c r="P59" t="s">
        <v>131</v>
      </c>
      <c r="Q59">
        <f>I59-(K59*Standards!$I$15)</f>
        <v>2.2499999999999999E-2</v>
      </c>
    </row>
    <row r="60" spans="1:17">
      <c r="A60">
        <v>21</v>
      </c>
      <c r="B60">
        <v>0</v>
      </c>
      <c r="C60">
        <v>0</v>
      </c>
      <c r="D60">
        <v>35.39</v>
      </c>
      <c r="E60">
        <v>2.5499999999999998E-2</v>
      </c>
      <c r="F60">
        <v>0</v>
      </c>
      <c r="G60">
        <v>0</v>
      </c>
      <c r="H60">
        <v>30.71</v>
      </c>
      <c r="I60">
        <v>2.1700000000000001E-2</v>
      </c>
      <c r="J60">
        <v>34.46</v>
      </c>
      <c r="K60">
        <v>0</v>
      </c>
      <c r="L60">
        <v>5.91E-2</v>
      </c>
      <c r="M60">
        <v>0.12770000000000001</v>
      </c>
      <c r="N60">
        <v>100.79389999999999</v>
      </c>
      <c r="O60" t="s">
        <v>132</v>
      </c>
      <c r="P60" t="s">
        <v>131</v>
      </c>
      <c r="Q60">
        <f>I60-(K60*Standards!$I$15)</f>
        <v>2.1700000000000001E-2</v>
      </c>
    </row>
    <row r="61" spans="1:17">
      <c r="A61">
        <v>39</v>
      </c>
      <c r="B61">
        <v>0</v>
      </c>
      <c r="C61">
        <v>0</v>
      </c>
      <c r="D61">
        <v>35.4</v>
      </c>
      <c r="E61">
        <v>3.5400000000000001E-2</v>
      </c>
      <c r="F61">
        <v>0</v>
      </c>
      <c r="G61">
        <v>0</v>
      </c>
      <c r="H61">
        <v>30.55</v>
      </c>
      <c r="I61">
        <v>2.1499999999999998E-2</v>
      </c>
      <c r="J61">
        <v>34.270000000000003</v>
      </c>
      <c r="K61">
        <v>0</v>
      </c>
      <c r="L61">
        <v>3.2899999999999999E-2</v>
      </c>
      <c r="M61">
        <v>0.14749999999999999</v>
      </c>
      <c r="N61">
        <v>100.4572</v>
      </c>
      <c r="O61" t="s">
        <v>132</v>
      </c>
      <c r="P61" t="s">
        <v>131</v>
      </c>
      <c r="Q61">
        <f>I61-(K61*Standards!$I$15)</f>
        <v>2.1499999999999998E-2</v>
      </c>
    </row>
    <row r="62" spans="1:17">
      <c r="A62">
        <v>9</v>
      </c>
      <c r="B62">
        <v>0.6946</v>
      </c>
      <c r="C62">
        <v>0</v>
      </c>
      <c r="D62">
        <v>35.229999999999997</v>
      </c>
      <c r="E62">
        <v>2.53E-2</v>
      </c>
      <c r="F62">
        <v>0</v>
      </c>
      <c r="G62">
        <v>0</v>
      </c>
      <c r="H62">
        <v>30.61</v>
      </c>
      <c r="I62">
        <v>2.1299999999999999E-2</v>
      </c>
      <c r="J62">
        <v>33.549999999999997</v>
      </c>
      <c r="K62">
        <v>0</v>
      </c>
      <c r="L62">
        <v>5.3900000000000003E-2</v>
      </c>
      <c r="M62">
        <v>0.14169999999999999</v>
      </c>
      <c r="N62">
        <v>100.3267</v>
      </c>
      <c r="O62" t="s">
        <v>132</v>
      </c>
      <c r="P62" t="s">
        <v>131</v>
      </c>
      <c r="Q62">
        <f>I62-(K62*Standards!$I$15)</f>
        <v>2.1299999999999999E-2</v>
      </c>
    </row>
    <row r="63" spans="1:17">
      <c r="A63">
        <v>16</v>
      </c>
      <c r="B63">
        <v>0</v>
      </c>
      <c r="C63">
        <v>0</v>
      </c>
      <c r="D63">
        <v>35.409999999999997</v>
      </c>
      <c r="E63">
        <v>6.4699999999999994E-2</v>
      </c>
      <c r="F63">
        <v>0</v>
      </c>
      <c r="G63">
        <v>0</v>
      </c>
      <c r="H63">
        <v>30.57</v>
      </c>
      <c r="I63">
        <v>2.0500000000000001E-2</v>
      </c>
      <c r="J63">
        <v>34.35</v>
      </c>
      <c r="K63">
        <v>0</v>
      </c>
      <c r="L63">
        <v>2.3E-2</v>
      </c>
      <c r="M63">
        <v>0.13969999999999999</v>
      </c>
      <c r="N63">
        <v>100.5779</v>
      </c>
      <c r="O63" t="s">
        <v>132</v>
      </c>
      <c r="P63" t="s">
        <v>131</v>
      </c>
      <c r="Q63">
        <f>I63-(K63*Standards!$I$15)</f>
        <v>2.0500000000000001E-2</v>
      </c>
    </row>
    <row r="64" spans="1:17">
      <c r="A64">
        <v>27</v>
      </c>
      <c r="B64">
        <v>0</v>
      </c>
      <c r="C64">
        <v>0</v>
      </c>
      <c r="D64">
        <v>35.43</v>
      </c>
      <c r="E64">
        <v>5.6399999999999999E-2</v>
      </c>
      <c r="F64">
        <v>0</v>
      </c>
      <c r="G64">
        <v>0</v>
      </c>
      <c r="H64">
        <v>30.63</v>
      </c>
      <c r="I64">
        <v>2.0899999999999998E-2</v>
      </c>
      <c r="J64">
        <v>34.06</v>
      </c>
      <c r="K64">
        <v>0</v>
      </c>
      <c r="L64">
        <v>0.15859999999999999</v>
      </c>
      <c r="M64">
        <v>0.14599999999999999</v>
      </c>
      <c r="N64">
        <v>100.5018</v>
      </c>
      <c r="O64" t="s">
        <v>133</v>
      </c>
      <c r="P64" t="s">
        <v>131</v>
      </c>
      <c r="Q64">
        <f>I64-(K64*Standards!$I$15)</f>
        <v>2.0899999999999998E-2</v>
      </c>
    </row>
    <row r="65" spans="1:24">
      <c r="A65">
        <v>25</v>
      </c>
      <c r="B65">
        <v>0</v>
      </c>
      <c r="C65">
        <v>0</v>
      </c>
      <c r="D65">
        <v>35.520000000000003</v>
      </c>
      <c r="E65">
        <v>0</v>
      </c>
      <c r="F65">
        <v>0</v>
      </c>
      <c r="G65">
        <v>0</v>
      </c>
      <c r="H65">
        <v>30.96</v>
      </c>
      <c r="I65">
        <v>4.4400000000000002E-2</v>
      </c>
      <c r="J65">
        <v>34.76</v>
      </c>
      <c r="K65">
        <v>0</v>
      </c>
      <c r="L65">
        <v>4.6600000000000003E-2</v>
      </c>
      <c r="M65">
        <v>0.11070000000000001</v>
      </c>
      <c r="N65">
        <v>101.44159999999999</v>
      </c>
      <c r="O65" t="s">
        <v>210</v>
      </c>
      <c r="P65" t="s">
        <v>17</v>
      </c>
      <c r="Q65">
        <f>I65-(K65*Standards!$I$15)</f>
        <v>4.4400000000000002E-2</v>
      </c>
      <c r="R65" t="s">
        <v>17</v>
      </c>
      <c r="S65">
        <f>COUNT(Q65:Q131)</f>
        <v>67</v>
      </c>
      <c r="T65">
        <f>MAX(L65:L131)</f>
        <v>0.1477</v>
      </c>
      <c r="U65">
        <f>AVERAGE(L65:L131)</f>
        <v>3.3013432835820901E-2</v>
      </c>
      <c r="V65">
        <f>10000*MAX(Q65:Q131)</f>
        <v>539</v>
      </c>
      <c r="W65">
        <f>10000*AVERAGE(Q65:Q131)</f>
        <v>339.716417910448</v>
      </c>
      <c r="X65">
        <f>10000*STDEV(Q65:Q100)</f>
        <v>42.435497270226833</v>
      </c>
    </row>
    <row r="66" spans="1:24">
      <c r="A66">
        <v>23</v>
      </c>
      <c r="B66">
        <v>0</v>
      </c>
      <c r="C66">
        <v>0</v>
      </c>
      <c r="D66">
        <v>35.450000000000003</v>
      </c>
      <c r="E66">
        <v>0</v>
      </c>
      <c r="F66">
        <v>0.01</v>
      </c>
      <c r="G66">
        <v>0</v>
      </c>
      <c r="H66">
        <v>31.18</v>
      </c>
      <c r="I66">
        <v>4.2599999999999999E-2</v>
      </c>
      <c r="J66">
        <v>34.58</v>
      </c>
      <c r="K66">
        <v>0</v>
      </c>
      <c r="L66">
        <v>1.0699999999999999E-2</v>
      </c>
      <c r="M66">
        <v>0.15</v>
      </c>
      <c r="N66">
        <v>101.42319999999999</v>
      </c>
      <c r="O66" t="s">
        <v>210</v>
      </c>
      <c r="P66" t="s">
        <v>17</v>
      </c>
      <c r="Q66">
        <f>I66-(K66*Standards!$I$15)</f>
        <v>4.2599999999999999E-2</v>
      </c>
    </row>
    <row r="67" spans="1:24">
      <c r="A67">
        <v>24</v>
      </c>
      <c r="B67">
        <v>0</v>
      </c>
      <c r="C67">
        <v>0</v>
      </c>
      <c r="D67">
        <v>35.53</v>
      </c>
      <c r="E67">
        <v>3.5999999999999999E-3</v>
      </c>
      <c r="F67">
        <v>0</v>
      </c>
      <c r="G67">
        <v>0</v>
      </c>
      <c r="H67">
        <v>30.9</v>
      </c>
      <c r="I67">
        <v>4.4400000000000002E-2</v>
      </c>
      <c r="J67">
        <v>34.56</v>
      </c>
      <c r="K67">
        <v>0</v>
      </c>
      <c r="L67">
        <v>3.9199999999999999E-2</v>
      </c>
      <c r="M67">
        <v>0.1366</v>
      </c>
      <c r="N67">
        <v>101.21380000000001</v>
      </c>
      <c r="O67" t="s">
        <v>210</v>
      </c>
      <c r="P67" t="s">
        <v>17</v>
      </c>
      <c r="Q67">
        <f>I67-(K67*Standards!$I$15)</f>
        <v>4.4400000000000002E-2</v>
      </c>
    </row>
    <row r="68" spans="1:24">
      <c r="A68">
        <v>34</v>
      </c>
      <c r="B68">
        <v>0</v>
      </c>
      <c r="C68">
        <v>0</v>
      </c>
      <c r="D68">
        <v>35.340000000000003</v>
      </c>
      <c r="E68">
        <v>4.7000000000000002E-3</v>
      </c>
      <c r="F68">
        <v>0</v>
      </c>
      <c r="G68">
        <v>0</v>
      </c>
      <c r="H68">
        <v>31.01</v>
      </c>
      <c r="I68">
        <v>4.7699999999999999E-2</v>
      </c>
      <c r="J68">
        <v>34.44</v>
      </c>
      <c r="K68">
        <v>0</v>
      </c>
      <c r="L68">
        <v>4.6100000000000002E-2</v>
      </c>
      <c r="M68">
        <v>0.1076</v>
      </c>
      <c r="N68">
        <v>100.996</v>
      </c>
      <c r="O68" t="s">
        <v>210</v>
      </c>
      <c r="P68" t="s">
        <v>17</v>
      </c>
      <c r="Q68">
        <f>I68-(K68*Standards!$I$15)</f>
        <v>4.7699999999999999E-2</v>
      </c>
    </row>
    <row r="69" spans="1:24">
      <c r="A69">
        <v>22</v>
      </c>
      <c r="B69">
        <v>0</v>
      </c>
      <c r="C69">
        <v>0</v>
      </c>
      <c r="D69">
        <v>35.44</v>
      </c>
      <c r="E69">
        <v>8.0000000000000004E-4</v>
      </c>
      <c r="F69">
        <v>0</v>
      </c>
      <c r="G69">
        <v>0</v>
      </c>
      <c r="H69">
        <v>31.08</v>
      </c>
      <c r="I69">
        <v>4.8000000000000001E-2</v>
      </c>
      <c r="J69">
        <v>34.42</v>
      </c>
      <c r="K69">
        <v>0</v>
      </c>
      <c r="L69">
        <v>2.8299999999999999E-2</v>
      </c>
      <c r="M69">
        <v>0.1205</v>
      </c>
      <c r="N69">
        <v>101.1375</v>
      </c>
      <c r="O69" t="s">
        <v>210</v>
      </c>
      <c r="P69" t="s">
        <v>17</v>
      </c>
      <c r="Q69">
        <f>I69-(K69*Standards!$I$15)</f>
        <v>4.8000000000000001E-2</v>
      </c>
    </row>
    <row r="70" spans="1:24">
      <c r="A70">
        <v>29</v>
      </c>
      <c r="B70">
        <v>0</v>
      </c>
      <c r="C70">
        <v>0</v>
      </c>
      <c r="D70">
        <v>35.36</v>
      </c>
      <c r="E70">
        <v>7.1000000000000004E-3</v>
      </c>
      <c r="F70">
        <v>0</v>
      </c>
      <c r="G70">
        <v>0</v>
      </c>
      <c r="H70">
        <v>31.11</v>
      </c>
      <c r="I70">
        <v>3.6600000000000001E-2</v>
      </c>
      <c r="J70">
        <v>34.380000000000003</v>
      </c>
      <c r="K70">
        <v>0</v>
      </c>
      <c r="L70">
        <v>3.27E-2</v>
      </c>
      <c r="M70">
        <v>0.11650000000000001</v>
      </c>
      <c r="N70">
        <v>101.0428</v>
      </c>
      <c r="O70" t="s">
        <v>210</v>
      </c>
      <c r="P70" t="s">
        <v>17</v>
      </c>
      <c r="Q70">
        <f>I70-(K70*Standards!$I$15)</f>
        <v>3.6600000000000001E-2</v>
      </c>
    </row>
    <row r="71" spans="1:24">
      <c r="A71">
        <v>31</v>
      </c>
      <c r="B71">
        <v>0</v>
      </c>
      <c r="C71">
        <v>0</v>
      </c>
      <c r="D71">
        <v>35.35</v>
      </c>
      <c r="E71">
        <v>0</v>
      </c>
      <c r="F71">
        <v>0</v>
      </c>
      <c r="G71">
        <v>0</v>
      </c>
      <c r="H71">
        <v>31.07</v>
      </c>
      <c r="I71">
        <v>3.8199999999999998E-2</v>
      </c>
      <c r="J71">
        <v>34.36</v>
      </c>
      <c r="K71">
        <v>0</v>
      </c>
      <c r="L71">
        <v>2.8299999999999999E-2</v>
      </c>
      <c r="M71">
        <v>0.1164</v>
      </c>
      <c r="N71">
        <v>100.9628</v>
      </c>
      <c r="O71" t="s">
        <v>210</v>
      </c>
      <c r="P71" t="s">
        <v>17</v>
      </c>
      <c r="Q71">
        <f>I71-(K71*Standards!$I$15)</f>
        <v>3.8199999999999998E-2</v>
      </c>
    </row>
    <row r="72" spans="1:24">
      <c r="A72">
        <v>21</v>
      </c>
      <c r="B72">
        <v>0</v>
      </c>
      <c r="C72">
        <v>0</v>
      </c>
      <c r="D72">
        <v>35.39</v>
      </c>
      <c r="E72">
        <v>2.8E-3</v>
      </c>
      <c r="F72">
        <v>0</v>
      </c>
      <c r="G72">
        <v>0</v>
      </c>
      <c r="H72">
        <v>30.96</v>
      </c>
      <c r="I72">
        <v>4.2000000000000003E-2</v>
      </c>
      <c r="J72">
        <v>34.35</v>
      </c>
      <c r="K72">
        <v>0</v>
      </c>
      <c r="L72">
        <v>4.4999999999999998E-2</v>
      </c>
      <c r="M72">
        <v>0.13320000000000001</v>
      </c>
      <c r="N72">
        <v>100.9229</v>
      </c>
      <c r="O72" t="s">
        <v>210</v>
      </c>
      <c r="P72" t="s">
        <v>17</v>
      </c>
      <c r="Q72">
        <f>I72-(K72*Standards!$I$15)</f>
        <v>4.2000000000000003E-2</v>
      </c>
    </row>
    <row r="73" spans="1:24">
      <c r="A73">
        <v>15</v>
      </c>
      <c r="B73">
        <v>0</v>
      </c>
      <c r="C73">
        <v>0</v>
      </c>
      <c r="D73">
        <v>35.65</v>
      </c>
      <c r="E73">
        <v>2.0999999999999999E-3</v>
      </c>
      <c r="F73">
        <v>7.7000000000000002E-3</v>
      </c>
      <c r="G73">
        <v>0</v>
      </c>
      <c r="H73">
        <v>31.07</v>
      </c>
      <c r="I73">
        <v>4.2700000000000002E-2</v>
      </c>
      <c r="J73">
        <v>34.340000000000003</v>
      </c>
      <c r="K73">
        <v>0</v>
      </c>
      <c r="L73">
        <v>3.3700000000000001E-2</v>
      </c>
      <c r="M73">
        <v>0.1087</v>
      </c>
      <c r="N73">
        <v>101.25490000000001</v>
      </c>
      <c r="O73" t="s">
        <v>210</v>
      </c>
      <c r="P73" t="s">
        <v>17</v>
      </c>
      <c r="Q73">
        <f>I73-(K73*Standards!$I$15)</f>
        <v>4.2700000000000002E-2</v>
      </c>
    </row>
    <row r="74" spans="1:24">
      <c r="A74">
        <v>32</v>
      </c>
      <c r="B74">
        <v>0</v>
      </c>
      <c r="C74">
        <v>0</v>
      </c>
      <c r="D74">
        <v>35.590000000000003</v>
      </c>
      <c r="E74">
        <v>0</v>
      </c>
      <c r="F74">
        <v>0</v>
      </c>
      <c r="G74">
        <v>0</v>
      </c>
      <c r="H74">
        <v>31.25</v>
      </c>
      <c r="I74">
        <v>3.85E-2</v>
      </c>
      <c r="J74">
        <v>34.33</v>
      </c>
      <c r="K74">
        <v>0</v>
      </c>
      <c r="L74">
        <v>4.7699999999999999E-2</v>
      </c>
      <c r="M74">
        <v>0.11310000000000001</v>
      </c>
      <c r="N74">
        <v>101.36920000000001</v>
      </c>
      <c r="O74" t="s">
        <v>210</v>
      </c>
      <c r="P74" t="s">
        <v>17</v>
      </c>
      <c r="Q74">
        <f>I74-(K74*Standards!$I$15)</f>
        <v>3.85E-2</v>
      </c>
    </row>
    <row r="75" spans="1:24">
      <c r="A75">
        <v>20</v>
      </c>
      <c r="B75">
        <v>5.7000000000000002E-3</v>
      </c>
      <c r="C75">
        <v>0</v>
      </c>
      <c r="D75">
        <v>35.35</v>
      </c>
      <c r="E75">
        <v>9.5999999999999992E-3</v>
      </c>
      <c r="F75">
        <v>0</v>
      </c>
      <c r="G75">
        <v>0</v>
      </c>
      <c r="H75">
        <v>30.85</v>
      </c>
      <c r="I75">
        <v>3.95E-2</v>
      </c>
      <c r="J75">
        <v>34.31</v>
      </c>
      <c r="K75">
        <v>0</v>
      </c>
      <c r="L75">
        <v>1.09E-2</v>
      </c>
      <c r="M75">
        <v>0.12089999999999999</v>
      </c>
      <c r="N75">
        <v>100.6966</v>
      </c>
      <c r="O75" t="s">
        <v>210</v>
      </c>
      <c r="P75" t="s">
        <v>17</v>
      </c>
      <c r="Q75">
        <f>I75-(K75*Standards!$I$15)</f>
        <v>3.95E-2</v>
      </c>
    </row>
    <row r="76" spans="1:24">
      <c r="A76">
        <v>30</v>
      </c>
      <c r="B76">
        <v>0</v>
      </c>
      <c r="C76">
        <v>0</v>
      </c>
      <c r="D76">
        <v>35.46</v>
      </c>
      <c r="E76">
        <v>7.1000000000000004E-3</v>
      </c>
      <c r="F76">
        <v>0</v>
      </c>
      <c r="G76">
        <v>0</v>
      </c>
      <c r="H76">
        <v>30.92</v>
      </c>
      <c r="I76">
        <v>3.7600000000000001E-2</v>
      </c>
      <c r="J76">
        <v>34.299999999999997</v>
      </c>
      <c r="K76">
        <v>0</v>
      </c>
      <c r="L76">
        <v>7.4999999999999997E-3</v>
      </c>
      <c r="M76">
        <v>0.1409</v>
      </c>
      <c r="N76">
        <v>100.873</v>
      </c>
      <c r="O76" t="s">
        <v>210</v>
      </c>
      <c r="P76" t="s">
        <v>17</v>
      </c>
      <c r="Q76">
        <f>I76-(K76*Standards!$I$15)</f>
        <v>3.7600000000000001E-2</v>
      </c>
    </row>
    <row r="77" spans="1:24">
      <c r="A77">
        <v>33</v>
      </c>
      <c r="B77">
        <v>0</v>
      </c>
      <c r="C77">
        <v>0</v>
      </c>
      <c r="D77">
        <v>35.4</v>
      </c>
      <c r="E77">
        <v>0</v>
      </c>
      <c r="F77">
        <v>0</v>
      </c>
      <c r="G77">
        <v>0</v>
      </c>
      <c r="H77">
        <v>31.18</v>
      </c>
      <c r="I77">
        <v>4.07E-2</v>
      </c>
      <c r="J77">
        <v>34.270000000000003</v>
      </c>
      <c r="K77">
        <v>0</v>
      </c>
      <c r="L77">
        <v>6.4500000000000002E-2</v>
      </c>
      <c r="M77">
        <v>0.1105</v>
      </c>
      <c r="N77">
        <v>101.0656</v>
      </c>
      <c r="O77" t="s">
        <v>210</v>
      </c>
      <c r="P77" t="s">
        <v>17</v>
      </c>
      <c r="Q77">
        <f>I77-(K77*Standards!$I$15)</f>
        <v>4.07E-2</v>
      </c>
    </row>
    <row r="78" spans="1:24">
      <c r="A78">
        <v>26</v>
      </c>
      <c r="B78">
        <v>0</v>
      </c>
      <c r="C78">
        <v>0</v>
      </c>
      <c r="D78">
        <v>35.369999999999997</v>
      </c>
      <c r="E78">
        <v>3.2000000000000002E-3</v>
      </c>
      <c r="F78">
        <v>0</v>
      </c>
      <c r="G78">
        <v>0</v>
      </c>
      <c r="H78">
        <v>30.97</v>
      </c>
      <c r="I78">
        <v>4.3999999999999997E-2</v>
      </c>
      <c r="J78">
        <v>34.21</v>
      </c>
      <c r="K78">
        <v>0</v>
      </c>
      <c r="L78">
        <v>3.6799999999999999E-2</v>
      </c>
      <c r="M78">
        <v>0.1338</v>
      </c>
      <c r="N78">
        <v>100.7677</v>
      </c>
      <c r="O78" t="s">
        <v>210</v>
      </c>
      <c r="P78" t="s">
        <v>17</v>
      </c>
      <c r="Q78">
        <f>I78-(K78*Standards!$I$15)</f>
        <v>4.3999999999999997E-2</v>
      </c>
    </row>
    <row r="79" spans="1:24">
      <c r="A79">
        <v>14</v>
      </c>
      <c r="B79">
        <v>0</v>
      </c>
      <c r="C79">
        <v>0</v>
      </c>
      <c r="D79">
        <v>35.590000000000003</v>
      </c>
      <c r="E79">
        <v>3.0000000000000001E-3</v>
      </c>
      <c r="F79">
        <v>0</v>
      </c>
      <c r="G79">
        <v>0</v>
      </c>
      <c r="H79">
        <v>31.2</v>
      </c>
      <c r="I79">
        <v>3.9699999999999999E-2</v>
      </c>
      <c r="J79">
        <v>34.17</v>
      </c>
      <c r="K79">
        <v>0</v>
      </c>
      <c r="L79">
        <v>2.2100000000000002E-2</v>
      </c>
      <c r="M79">
        <v>0.13100000000000001</v>
      </c>
      <c r="N79">
        <v>101.1557</v>
      </c>
      <c r="O79" t="s">
        <v>210</v>
      </c>
      <c r="P79" t="s">
        <v>17</v>
      </c>
      <c r="Q79">
        <f>I79-(K79*Standards!$I$15)</f>
        <v>3.9699999999999999E-2</v>
      </c>
    </row>
    <row r="80" spans="1:24">
      <c r="A80">
        <v>16</v>
      </c>
      <c r="B80">
        <v>0</v>
      </c>
      <c r="C80">
        <v>0</v>
      </c>
      <c r="D80">
        <v>35.47</v>
      </c>
      <c r="E80">
        <v>0</v>
      </c>
      <c r="F80">
        <v>0</v>
      </c>
      <c r="G80">
        <v>0</v>
      </c>
      <c r="H80">
        <v>31</v>
      </c>
      <c r="I80">
        <v>4.2000000000000003E-2</v>
      </c>
      <c r="J80">
        <v>34.08</v>
      </c>
      <c r="K80">
        <v>0</v>
      </c>
      <c r="L80">
        <v>5.5399999999999998E-2</v>
      </c>
      <c r="M80">
        <v>0.1232</v>
      </c>
      <c r="N80">
        <v>100.7705</v>
      </c>
      <c r="O80" t="s">
        <v>210</v>
      </c>
      <c r="P80" t="s">
        <v>17</v>
      </c>
      <c r="Q80">
        <f>I80-(K80*Standards!$I$15)</f>
        <v>4.2000000000000003E-2</v>
      </c>
    </row>
    <row r="81" spans="1:17">
      <c r="A81">
        <v>28</v>
      </c>
      <c r="B81">
        <v>0</v>
      </c>
      <c r="C81">
        <v>0</v>
      </c>
      <c r="D81">
        <v>35.5</v>
      </c>
      <c r="E81">
        <v>3.0000000000000001E-3</v>
      </c>
      <c r="F81">
        <v>3.5999999999999999E-3</v>
      </c>
      <c r="G81">
        <v>0</v>
      </c>
      <c r="H81">
        <v>31.45</v>
      </c>
      <c r="I81">
        <v>4.2700000000000002E-2</v>
      </c>
      <c r="J81">
        <v>34.01</v>
      </c>
      <c r="K81">
        <v>0</v>
      </c>
      <c r="L81">
        <v>3.1399999999999997E-2</v>
      </c>
      <c r="M81">
        <v>0.1167</v>
      </c>
      <c r="N81">
        <v>101.1574</v>
      </c>
      <c r="O81" t="s">
        <v>210</v>
      </c>
      <c r="P81" t="s">
        <v>17</v>
      </c>
      <c r="Q81">
        <f>I81-(K81*Standards!$I$15)</f>
        <v>4.2700000000000002E-2</v>
      </c>
    </row>
    <row r="82" spans="1:17">
      <c r="A82">
        <v>27</v>
      </c>
      <c r="B82">
        <v>0</v>
      </c>
      <c r="C82">
        <v>0</v>
      </c>
      <c r="D82">
        <v>35.49</v>
      </c>
      <c r="E82">
        <v>0</v>
      </c>
      <c r="F82">
        <v>0</v>
      </c>
      <c r="G82">
        <v>0</v>
      </c>
      <c r="H82">
        <v>31.47</v>
      </c>
      <c r="I82">
        <v>4.0899999999999999E-2</v>
      </c>
      <c r="J82">
        <v>33.909999999999997</v>
      </c>
      <c r="K82">
        <v>0</v>
      </c>
      <c r="L82">
        <v>0</v>
      </c>
      <c r="M82">
        <v>0.10979999999999999</v>
      </c>
      <c r="N82">
        <v>101.02070000000001</v>
      </c>
      <c r="O82" t="s">
        <v>210</v>
      </c>
      <c r="P82" t="s">
        <v>17</v>
      </c>
      <c r="Q82">
        <f>I82-(K82*Standards!$I$15)</f>
        <v>4.0899999999999999E-2</v>
      </c>
    </row>
    <row r="83" spans="1:17">
      <c r="A83">
        <v>11</v>
      </c>
      <c r="B83">
        <v>0</v>
      </c>
      <c r="C83">
        <v>0</v>
      </c>
      <c r="D83">
        <v>35.5</v>
      </c>
      <c r="E83">
        <v>2.0999999999999999E-3</v>
      </c>
      <c r="F83">
        <v>0</v>
      </c>
      <c r="G83">
        <v>0</v>
      </c>
      <c r="H83">
        <v>30.89</v>
      </c>
      <c r="I83">
        <v>3.9300000000000002E-2</v>
      </c>
      <c r="J83">
        <v>33.86</v>
      </c>
      <c r="K83">
        <v>0</v>
      </c>
      <c r="L83">
        <v>5.6500000000000002E-2</v>
      </c>
      <c r="M83">
        <v>0.13769999999999999</v>
      </c>
      <c r="N83">
        <v>100.48560000000001</v>
      </c>
      <c r="O83" t="s">
        <v>210</v>
      </c>
      <c r="P83" t="s">
        <v>17</v>
      </c>
      <c r="Q83">
        <f>I83-(K83*Standards!$I$15)</f>
        <v>3.9300000000000002E-2</v>
      </c>
    </row>
    <row r="84" spans="1:17">
      <c r="A84">
        <v>17</v>
      </c>
      <c r="B84">
        <v>0</v>
      </c>
      <c r="C84">
        <v>0</v>
      </c>
      <c r="D84">
        <v>35.880000000000003</v>
      </c>
      <c r="E84">
        <v>0</v>
      </c>
      <c r="F84">
        <v>0</v>
      </c>
      <c r="G84">
        <v>0</v>
      </c>
      <c r="H84">
        <v>31.2</v>
      </c>
      <c r="I84">
        <v>3.5900000000000001E-2</v>
      </c>
      <c r="J84">
        <v>33.85</v>
      </c>
      <c r="K84">
        <v>0</v>
      </c>
      <c r="L84">
        <v>2.92E-2</v>
      </c>
      <c r="M84">
        <v>0.1341</v>
      </c>
      <c r="N84">
        <v>101.12909999999999</v>
      </c>
      <c r="O84" t="s">
        <v>210</v>
      </c>
      <c r="P84" t="s">
        <v>17</v>
      </c>
      <c r="Q84">
        <f>I84-(K84*Standards!$I$15)</f>
        <v>3.5900000000000001E-2</v>
      </c>
    </row>
    <row r="85" spans="1:17">
      <c r="A85">
        <v>13</v>
      </c>
      <c r="B85">
        <v>0</v>
      </c>
      <c r="C85">
        <v>0</v>
      </c>
      <c r="D85">
        <v>35.840000000000003</v>
      </c>
      <c r="E85">
        <v>8.8000000000000005E-3</v>
      </c>
      <c r="F85">
        <v>0</v>
      </c>
      <c r="G85">
        <v>0</v>
      </c>
      <c r="H85">
        <v>31.03</v>
      </c>
      <c r="I85">
        <v>4.2900000000000001E-2</v>
      </c>
      <c r="J85">
        <v>33.76</v>
      </c>
      <c r="K85">
        <v>0</v>
      </c>
      <c r="L85">
        <v>3.7699999999999997E-2</v>
      </c>
      <c r="M85">
        <v>0.10829999999999999</v>
      </c>
      <c r="N85">
        <v>100.8276</v>
      </c>
      <c r="O85" t="s">
        <v>210</v>
      </c>
      <c r="P85" t="s">
        <v>17</v>
      </c>
      <c r="Q85">
        <f>I85-(K85*Standards!$I$15)</f>
        <v>4.2900000000000001E-2</v>
      </c>
    </row>
    <row r="86" spans="1:17">
      <c r="A86">
        <v>18</v>
      </c>
      <c r="B86">
        <v>0</v>
      </c>
      <c r="C86">
        <v>0</v>
      </c>
      <c r="D86">
        <v>35.58</v>
      </c>
      <c r="E86">
        <v>0</v>
      </c>
      <c r="F86">
        <v>0</v>
      </c>
      <c r="G86">
        <v>0</v>
      </c>
      <c r="H86">
        <v>31</v>
      </c>
      <c r="I86">
        <v>4.1700000000000001E-2</v>
      </c>
      <c r="J86">
        <v>33.630000000000003</v>
      </c>
      <c r="K86">
        <v>0</v>
      </c>
      <c r="L86">
        <v>9.1999999999999998E-3</v>
      </c>
      <c r="M86">
        <v>0.12609999999999999</v>
      </c>
      <c r="N86">
        <v>100.387</v>
      </c>
      <c r="O86" t="s">
        <v>210</v>
      </c>
      <c r="P86" t="s">
        <v>17</v>
      </c>
      <c r="Q86">
        <f>I86-(K86*Standards!$I$15)</f>
        <v>4.1700000000000001E-2</v>
      </c>
    </row>
    <row r="87" spans="1:17">
      <c r="A87">
        <v>12</v>
      </c>
      <c r="B87">
        <v>0</v>
      </c>
      <c r="C87">
        <v>0</v>
      </c>
      <c r="D87">
        <v>35.51</v>
      </c>
      <c r="E87">
        <v>0</v>
      </c>
      <c r="F87">
        <v>0</v>
      </c>
      <c r="G87">
        <v>0</v>
      </c>
      <c r="H87">
        <v>31.16</v>
      </c>
      <c r="I87">
        <v>3.9699999999999999E-2</v>
      </c>
      <c r="J87">
        <v>33.54</v>
      </c>
      <c r="K87">
        <v>0</v>
      </c>
      <c r="L87">
        <v>2.86E-2</v>
      </c>
      <c r="M87">
        <v>0.1055</v>
      </c>
      <c r="N87">
        <v>100.38379999999999</v>
      </c>
      <c r="O87" t="s">
        <v>210</v>
      </c>
      <c r="P87" t="s">
        <v>17</v>
      </c>
      <c r="Q87">
        <f>I87-(K87*Standards!$I$15)</f>
        <v>3.9699999999999999E-2</v>
      </c>
    </row>
    <row r="88" spans="1:17">
      <c r="A88">
        <v>19</v>
      </c>
      <c r="B88">
        <v>0</v>
      </c>
      <c r="C88">
        <v>0</v>
      </c>
      <c r="D88">
        <v>35.18</v>
      </c>
      <c r="E88">
        <v>1.4E-3</v>
      </c>
      <c r="F88">
        <v>0</v>
      </c>
      <c r="G88">
        <v>0</v>
      </c>
      <c r="H88">
        <v>31.26</v>
      </c>
      <c r="I88">
        <v>3.5700000000000003E-2</v>
      </c>
      <c r="J88">
        <v>33.06</v>
      </c>
      <c r="K88">
        <v>0</v>
      </c>
      <c r="L88">
        <v>1.55E-2</v>
      </c>
      <c r="M88">
        <v>0.11890000000000001</v>
      </c>
      <c r="N88">
        <v>99.671499999999995</v>
      </c>
      <c r="O88" t="s">
        <v>210</v>
      </c>
      <c r="P88" t="s">
        <v>17</v>
      </c>
      <c r="Q88">
        <f>I88-(K88*Standards!$I$15)</f>
        <v>3.5700000000000003E-2</v>
      </c>
    </row>
    <row r="89" spans="1:17">
      <c r="A89">
        <v>38</v>
      </c>
      <c r="B89">
        <v>0</v>
      </c>
      <c r="C89">
        <v>0</v>
      </c>
      <c r="D89">
        <v>35.32</v>
      </c>
      <c r="E89">
        <v>1.6999999999999999E-3</v>
      </c>
      <c r="F89">
        <v>0</v>
      </c>
      <c r="G89">
        <v>0</v>
      </c>
      <c r="H89">
        <v>31.35</v>
      </c>
      <c r="I89">
        <v>5.3900000000000003E-2</v>
      </c>
      <c r="J89">
        <v>34.81</v>
      </c>
      <c r="K89">
        <v>0</v>
      </c>
      <c r="L89">
        <v>2.8899999999999999E-2</v>
      </c>
      <c r="M89">
        <v>0.1003</v>
      </c>
      <c r="N89">
        <v>101.6647</v>
      </c>
      <c r="O89" t="s">
        <v>211</v>
      </c>
      <c r="P89" t="s">
        <v>17</v>
      </c>
      <c r="Q89">
        <f>I89-(K89*Standards!$I$15)</f>
        <v>5.3900000000000003E-2</v>
      </c>
    </row>
    <row r="90" spans="1:17">
      <c r="A90">
        <v>33</v>
      </c>
      <c r="B90">
        <v>0</v>
      </c>
      <c r="C90">
        <v>0</v>
      </c>
      <c r="D90">
        <v>35.54</v>
      </c>
      <c r="E90">
        <v>0</v>
      </c>
      <c r="F90">
        <v>0</v>
      </c>
      <c r="G90">
        <v>0</v>
      </c>
      <c r="H90">
        <v>31.25</v>
      </c>
      <c r="I90">
        <v>4.3400000000000001E-2</v>
      </c>
      <c r="J90">
        <v>34.79</v>
      </c>
      <c r="K90">
        <v>0</v>
      </c>
      <c r="L90">
        <v>1.9599999999999999E-2</v>
      </c>
      <c r="M90">
        <v>0.12640000000000001</v>
      </c>
      <c r="N90">
        <v>101.7694</v>
      </c>
      <c r="O90" t="s">
        <v>211</v>
      </c>
      <c r="P90" t="s">
        <v>17</v>
      </c>
      <c r="Q90">
        <f>I90-(K90*Standards!$I$15)</f>
        <v>4.3400000000000001E-2</v>
      </c>
    </row>
    <row r="91" spans="1:17">
      <c r="A91">
        <v>37</v>
      </c>
      <c r="B91">
        <v>0</v>
      </c>
      <c r="C91">
        <v>0</v>
      </c>
      <c r="D91">
        <v>35.36</v>
      </c>
      <c r="E91">
        <v>0</v>
      </c>
      <c r="F91">
        <v>0</v>
      </c>
      <c r="G91">
        <v>0</v>
      </c>
      <c r="H91">
        <v>31.61</v>
      </c>
      <c r="I91">
        <v>3.4500000000000003E-2</v>
      </c>
      <c r="J91">
        <v>34.75</v>
      </c>
      <c r="K91">
        <v>0</v>
      </c>
      <c r="L91">
        <v>4.41E-2</v>
      </c>
      <c r="M91">
        <v>9.8199999999999996E-2</v>
      </c>
      <c r="N91">
        <v>101.8967</v>
      </c>
      <c r="O91" t="s">
        <v>211</v>
      </c>
      <c r="P91" t="s">
        <v>17</v>
      </c>
      <c r="Q91">
        <f>I91-(K91*Standards!$I$15)</f>
        <v>3.4500000000000003E-2</v>
      </c>
    </row>
    <row r="92" spans="1:17">
      <c r="A92">
        <v>32</v>
      </c>
      <c r="B92">
        <v>0</v>
      </c>
      <c r="C92">
        <v>0</v>
      </c>
      <c r="D92">
        <v>35.36</v>
      </c>
      <c r="E92">
        <v>9.5999999999999992E-3</v>
      </c>
      <c r="F92">
        <v>0</v>
      </c>
      <c r="G92">
        <v>0</v>
      </c>
      <c r="H92">
        <v>31.27</v>
      </c>
      <c r="I92">
        <v>4.5999999999999999E-2</v>
      </c>
      <c r="J92">
        <v>34.729999999999997</v>
      </c>
      <c r="K92">
        <v>0</v>
      </c>
      <c r="L92">
        <v>3.0700000000000002E-2</v>
      </c>
      <c r="M92">
        <v>0.1293</v>
      </c>
      <c r="N92">
        <v>101.57559999999999</v>
      </c>
      <c r="O92" t="s">
        <v>211</v>
      </c>
      <c r="P92" t="s">
        <v>17</v>
      </c>
      <c r="Q92">
        <f>I92-(K92*Standards!$I$15)</f>
        <v>4.5999999999999999E-2</v>
      </c>
    </row>
    <row r="93" spans="1:17">
      <c r="A93">
        <v>29</v>
      </c>
      <c r="B93">
        <v>0</v>
      </c>
      <c r="C93">
        <v>0</v>
      </c>
      <c r="D93">
        <v>35.25</v>
      </c>
      <c r="E93">
        <v>0</v>
      </c>
      <c r="F93">
        <v>0</v>
      </c>
      <c r="G93">
        <v>0</v>
      </c>
      <c r="H93">
        <v>31.03</v>
      </c>
      <c r="I93">
        <v>4.1599999999999998E-2</v>
      </c>
      <c r="J93">
        <v>34.69</v>
      </c>
      <c r="K93">
        <v>0</v>
      </c>
      <c r="L93">
        <v>2.2599999999999999E-2</v>
      </c>
      <c r="M93">
        <v>0.1249</v>
      </c>
      <c r="N93">
        <v>101.15900000000001</v>
      </c>
      <c r="O93" t="s">
        <v>211</v>
      </c>
      <c r="P93" t="s">
        <v>17</v>
      </c>
      <c r="Q93">
        <f>I93-(K93*Standards!$I$15)</f>
        <v>4.1599999999999998E-2</v>
      </c>
    </row>
    <row r="94" spans="1:17">
      <c r="A94">
        <v>31</v>
      </c>
      <c r="B94">
        <v>0</v>
      </c>
      <c r="C94">
        <v>0</v>
      </c>
      <c r="D94">
        <v>35.380000000000003</v>
      </c>
      <c r="E94">
        <v>0</v>
      </c>
      <c r="F94">
        <v>0</v>
      </c>
      <c r="G94">
        <v>0</v>
      </c>
      <c r="H94">
        <v>31.25</v>
      </c>
      <c r="I94">
        <v>4.2900000000000001E-2</v>
      </c>
      <c r="J94">
        <v>34.64</v>
      </c>
      <c r="K94">
        <v>0</v>
      </c>
      <c r="L94">
        <v>4.02E-2</v>
      </c>
      <c r="M94">
        <v>0.1234</v>
      </c>
      <c r="N94">
        <v>101.4764</v>
      </c>
      <c r="O94" t="s">
        <v>211</v>
      </c>
      <c r="P94" t="s">
        <v>17</v>
      </c>
      <c r="Q94">
        <f>I94-(K94*Standards!$I$15)</f>
        <v>4.2900000000000001E-2</v>
      </c>
    </row>
    <row r="95" spans="1:17">
      <c r="A95">
        <v>27</v>
      </c>
      <c r="B95">
        <v>0</v>
      </c>
      <c r="C95">
        <v>0</v>
      </c>
      <c r="D95">
        <v>35.35</v>
      </c>
      <c r="E95">
        <v>0</v>
      </c>
      <c r="F95">
        <v>0</v>
      </c>
      <c r="G95">
        <v>0</v>
      </c>
      <c r="H95">
        <v>30.89</v>
      </c>
      <c r="I95">
        <v>4.65E-2</v>
      </c>
      <c r="J95">
        <v>34.619999999999997</v>
      </c>
      <c r="K95">
        <v>0</v>
      </c>
      <c r="L95">
        <v>3.78E-2</v>
      </c>
      <c r="M95">
        <v>0.1363</v>
      </c>
      <c r="N95">
        <v>101.0805</v>
      </c>
      <c r="O95" t="s">
        <v>211</v>
      </c>
      <c r="P95" t="s">
        <v>17</v>
      </c>
      <c r="Q95">
        <f>I95-(K95*Standards!$I$15)</f>
        <v>4.65E-2</v>
      </c>
    </row>
    <row r="96" spans="1:17">
      <c r="A96">
        <v>39</v>
      </c>
      <c r="B96">
        <v>0</v>
      </c>
      <c r="C96">
        <v>0</v>
      </c>
      <c r="D96">
        <v>35.26</v>
      </c>
      <c r="E96">
        <v>0</v>
      </c>
      <c r="F96">
        <v>0</v>
      </c>
      <c r="G96">
        <v>0</v>
      </c>
      <c r="H96">
        <v>31.05</v>
      </c>
      <c r="I96">
        <v>4.8000000000000001E-2</v>
      </c>
      <c r="J96">
        <v>34.6</v>
      </c>
      <c r="K96">
        <v>0</v>
      </c>
      <c r="L96">
        <v>6.5699999999999995E-2</v>
      </c>
      <c r="M96">
        <v>0.1295</v>
      </c>
      <c r="N96">
        <v>101.15309999999999</v>
      </c>
      <c r="O96" t="s">
        <v>211</v>
      </c>
      <c r="P96" t="s">
        <v>17</v>
      </c>
      <c r="Q96">
        <f>I96-(K96*Standards!$I$15)</f>
        <v>4.8000000000000001E-2</v>
      </c>
    </row>
    <row r="97" spans="1:24">
      <c r="A97">
        <v>30</v>
      </c>
      <c r="B97">
        <v>0</v>
      </c>
      <c r="C97">
        <v>0</v>
      </c>
      <c r="D97">
        <v>35.31</v>
      </c>
      <c r="E97">
        <v>0</v>
      </c>
      <c r="F97">
        <v>7.6E-3</v>
      </c>
      <c r="G97">
        <v>0</v>
      </c>
      <c r="H97">
        <v>30.86</v>
      </c>
      <c r="I97">
        <v>4.4499999999999998E-2</v>
      </c>
      <c r="J97">
        <v>34.58</v>
      </c>
      <c r="K97">
        <v>0</v>
      </c>
      <c r="L97">
        <v>5.0599999999999999E-2</v>
      </c>
      <c r="M97">
        <v>0.13550000000000001</v>
      </c>
      <c r="N97">
        <v>100.9881</v>
      </c>
      <c r="O97" t="s">
        <v>211</v>
      </c>
      <c r="P97" t="s">
        <v>17</v>
      </c>
      <c r="Q97">
        <f>I97-(K97*Standards!$I$15)</f>
        <v>4.4499999999999998E-2</v>
      </c>
    </row>
    <row r="98" spans="1:24">
      <c r="A98">
        <v>34</v>
      </c>
      <c r="B98">
        <v>0</v>
      </c>
      <c r="C98">
        <v>0</v>
      </c>
      <c r="D98">
        <v>35.36</v>
      </c>
      <c r="E98">
        <v>0</v>
      </c>
      <c r="F98">
        <v>0</v>
      </c>
      <c r="G98">
        <v>0</v>
      </c>
      <c r="H98">
        <v>31.27</v>
      </c>
      <c r="I98">
        <v>4.5900000000000003E-2</v>
      </c>
      <c r="J98">
        <v>34.53</v>
      </c>
      <c r="K98">
        <v>0</v>
      </c>
      <c r="L98">
        <v>3.9600000000000003E-2</v>
      </c>
      <c r="M98">
        <v>0.11509999999999999</v>
      </c>
      <c r="N98">
        <v>101.3605</v>
      </c>
      <c r="O98" t="s">
        <v>211</v>
      </c>
      <c r="P98" t="s">
        <v>17</v>
      </c>
      <c r="Q98">
        <f>I98-(K98*Standards!$I$15)</f>
        <v>4.5900000000000003E-2</v>
      </c>
    </row>
    <row r="99" spans="1:24">
      <c r="A99">
        <v>36</v>
      </c>
      <c r="B99">
        <v>4.4999999999999997E-3</v>
      </c>
      <c r="C99">
        <v>0</v>
      </c>
      <c r="D99">
        <v>35.39</v>
      </c>
      <c r="E99">
        <v>0</v>
      </c>
      <c r="F99">
        <v>0</v>
      </c>
      <c r="G99">
        <v>0</v>
      </c>
      <c r="H99">
        <v>31.07</v>
      </c>
      <c r="I99">
        <v>4.5999999999999999E-2</v>
      </c>
      <c r="J99">
        <v>34.43</v>
      </c>
      <c r="K99">
        <v>0</v>
      </c>
      <c r="L99">
        <v>3.5400000000000001E-2</v>
      </c>
      <c r="M99">
        <v>8.5900000000000004E-2</v>
      </c>
      <c r="N99">
        <v>101.0617</v>
      </c>
      <c r="O99" t="s">
        <v>211</v>
      </c>
      <c r="P99" t="s">
        <v>17</v>
      </c>
      <c r="Q99">
        <f>I99-(K99*Standards!$I$15)</f>
        <v>4.5999999999999999E-2</v>
      </c>
    </row>
    <row r="100" spans="1:24">
      <c r="A100">
        <v>28</v>
      </c>
      <c r="B100">
        <v>0</v>
      </c>
      <c r="C100">
        <v>0</v>
      </c>
      <c r="D100">
        <v>35.31</v>
      </c>
      <c r="E100">
        <v>0</v>
      </c>
      <c r="F100">
        <v>6.1999999999999998E-3</v>
      </c>
      <c r="G100">
        <v>0</v>
      </c>
      <c r="H100">
        <v>31.22</v>
      </c>
      <c r="I100">
        <v>0.05</v>
      </c>
      <c r="J100">
        <v>34.42</v>
      </c>
      <c r="K100">
        <v>0</v>
      </c>
      <c r="L100">
        <v>4.2299999999999997E-2</v>
      </c>
      <c r="M100">
        <v>0.13100000000000001</v>
      </c>
      <c r="N100">
        <v>101.1794</v>
      </c>
      <c r="O100" t="s">
        <v>211</v>
      </c>
      <c r="P100" t="s">
        <v>17</v>
      </c>
      <c r="Q100">
        <f>I100-(K100*Standards!$I$15)</f>
        <v>0.05</v>
      </c>
    </row>
    <row r="101" spans="1:24">
      <c r="A101">
        <v>118</v>
      </c>
      <c r="B101">
        <v>0</v>
      </c>
      <c r="C101">
        <v>0</v>
      </c>
      <c r="D101">
        <v>35.78</v>
      </c>
      <c r="E101">
        <v>1.0699999999999999E-2</v>
      </c>
      <c r="F101">
        <v>0</v>
      </c>
      <c r="G101">
        <v>0</v>
      </c>
      <c r="H101">
        <v>31.16</v>
      </c>
      <c r="I101">
        <v>2.7900000000000001E-2</v>
      </c>
      <c r="J101">
        <v>34.75</v>
      </c>
      <c r="K101">
        <v>0</v>
      </c>
      <c r="L101">
        <v>3.09E-2</v>
      </c>
      <c r="M101">
        <v>0.1193</v>
      </c>
      <c r="N101">
        <v>101.87869999999999</v>
      </c>
      <c r="O101" t="s">
        <v>141</v>
      </c>
      <c r="P101" t="s">
        <v>17</v>
      </c>
      <c r="Q101">
        <f>I101-(K101*Standards!$I$15)</f>
        <v>2.7900000000000001E-2</v>
      </c>
      <c r="S101">
        <f>COUNT(Q101:Q128)</f>
        <v>28</v>
      </c>
      <c r="W101">
        <f>10000*AVERAGE(Q101:Q128)</f>
        <v>257.71428571428572</v>
      </c>
      <c r="X101">
        <f>10000*STDEV(Q101:Q128)</f>
        <v>39.105609281133532</v>
      </c>
    </row>
    <row r="102" spans="1:24">
      <c r="A102">
        <v>131</v>
      </c>
      <c r="B102">
        <v>0</v>
      </c>
      <c r="C102">
        <v>0</v>
      </c>
      <c r="D102">
        <v>35.61</v>
      </c>
      <c r="E102">
        <v>0</v>
      </c>
      <c r="F102">
        <v>0</v>
      </c>
      <c r="G102">
        <v>0</v>
      </c>
      <c r="H102">
        <v>31.28</v>
      </c>
      <c r="I102">
        <v>3.3799999999999997E-2</v>
      </c>
      <c r="J102">
        <v>34.74</v>
      </c>
      <c r="K102">
        <v>0</v>
      </c>
      <c r="L102">
        <v>3.5000000000000003E-2</v>
      </c>
      <c r="M102">
        <v>0.10879999999999999</v>
      </c>
      <c r="N102">
        <v>101.80759999999999</v>
      </c>
      <c r="O102" t="s">
        <v>141</v>
      </c>
      <c r="P102" t="s">
        <v>17</v>
      </c>
      <c r="Q102">
        <f>I102-(K102*Standards!$I$15)</f>
        <v>3.3799999999999997E-2</v>
      </c>
    </row>
    <row r="103" spans="1:24">
      <c r="A103">
        <v>130</v>
      </c>
      <c r="B103">
        <v>0</v>
      </c>
      <c r="C103">
        <v>0</v>
      </c>
      <c r="D103">
        <v>35.549999999999997</v>
      </c>
      <c r="E103">
        <v>0</v>
      </c>
      <c r="F103">
        <v>2.9999999999999997E-4</v>
      </c>
      <c r="G103">
        <v>0</v>
      </c>
      <c r="H103">
        <v>31.25</v>
      </c>
      <c r="I103">
        <v>2.0400000000000001E-2</v>
      </c>
      <c r="J103">
        <v>34.71</v>
      </c>
      <c r="K103">
        <v>0</v>
      </c>
      <c r="L103">
        <v>2.9100000000000001E-2</v>
      </c>
      <c r="M103">
        <v>0.1111</v>
      </c>
      <c r="N103">
        <v>101.6708</v>
      </c>
      <c r="O103" t="s">
        <v>141</v>
      </c>
      <c r="P103" t="s">
        <v>17</v>
      </c>
      <c r="Q103">
        <f>I103-(K103*Standards!$I$15)</f>
        <v>2.0400000000000001E-2</v>
      </c>
    </row>
    <row r="104" spans="1:24">
      <c r="A104">
        <v>114</v>
      </c>
      <c r="B104">
        <v>0</v>
      </c>
      <c r="C104">
        <v>0</v>
      </c>
      <c r="D104">
        <v>35.619999999999997</v>
      </c>
      <c r="E104">
        <v>2.0999999999999999E-3</v>
      </c>
      <c r="F104">
        <v>0</v>
      </c>
      <c r="G104">
        <v>4.0000000000000002E-4</v>
      </c>
      <c r="H104">
        <v>31.25</v>
      </c>
      <c r="I104">
        <v>2.07E-2</v>
      </c>
      <c r="J104">
        <v>34.700000000000003</v>
      </c>
      <c r="K104">
        <v>0</v>
      </c>
      <c r="L104">
        <v>3.8600000000000002E-2</v>
      </c>
      <c r="M104">
        <v>0.11360000000000001</v>
      </c>
      <c r="N104">
        <v>101.7453</v>
      </c>
      <c r="O104" t="s">
        <v>141</v>
      </c>
      <c r="P104" t="s">
        <v>17</v>
      </c>
      <c r="Q104">
        <f>I104-(K104*Standards!$I$15)</f>
        <v>2.07E-2</v>
      </c>
    </row>
    <row r="105" spans="1:24">
      <c r="A105">
        <v>117</v>
      </c>
      <c r="B105">
        <v>0</v>
      </c>
      <c r="C105">
        <v>0</v>
      </c>
      <c r="D105">
        <v>35.54</v>
      </c>
      <c r="E105">
        <v>1.1999999999999999E-3</v>
      </c>
      <c r="F105">
        <v>0</v>
      </c>
      <c r="G105">
        <v>0</v>
      </c>
      <c r="H105">
        <v>31.18</v>
      </c>
      <c r="I105">
        <v>2.1399999999999999E-2</v>
      </c>
      <c r="J105">
        <v>34.659999999999997</v>
      </c>
      <c r="K105">
        <v>0</v>
      </c>
      <c r="L105">
        <v>1.8800000000000001E-2</v>
      </c>
      <c r="M105">
        <v>9.5299999999999996E-2</v>
      </c>
      <c r="N105">
        <v>101.5166</v>
      </c>
      <c r="O105" t="s">
        <v>141</v>
      </c>
      <c r="P105" t="s">
        <v>17</v>
      </c>
      <c r="Q105">
        <f>I105-(K105*Standards!$I$15)</f>
        <v>2.1399999999999999E-2</v>
      </c>
    </row>
    <row r="106" spans="1:24">
      <c r="A106">
        <v>127</v>
      </c>
      <c r="B106">
        <v>0</v>
      </c>
      <c r="C106">
        <v>0</v>
      </c>
      <c r="D106">
        <v>35.590000000000003</v>
      </c>
      <c r="E106">
        <v>0</v>
      </c>
      <c r="F106">
        <v>0</v>
      </c>
      <c r="G106">
        <v>0</v>
      </c>
      <c r="H106">
        <v>30.91</v>
      </c>
      <c r="I106">
        <v>2.6700000000000002E-2</v>
      </c>
      <c r="J106">
        <v>34.630000000000003</v>
      </c>
      <c r="K106">
        <v>0</v>
      </c>
      <c r="L106">
        <v>5.4699999999999999E-2</v>
      </c>
      <c r="M106">
        <v>0.12479999999999999</v>
      </c>
      <c r="N106">
        <v>101.33620000000001</v>
      </c>
      <c r="O106" t="s">
        <v>141</v>
      </c>
      <c r="P106" t="s">
        <v>17</v>
      </c>
      <c r="Q106">
        <f>I106-(K106*Standards!$I$15)</f>
        <v>2.6700000000000002E-2</v>
      </c>
    </row>
    <row r="107" spans="1:24">
      <c r="A107">
        <v>126</v>
      </c>
      <c r="B107">
        <v>0</v>
      </c>
      <c r="C107">
        <v>0</v>
      </c>
      <c r="D107">
        <v>35.51</v>
      </c>
      <c r="E107">
        <v>0</v>
      </c>
      <c r="F107">
        <v>0</v>
      </c>
      <c r="G107">
        <v>0</v>
      </c>
      <c r="H107">
        <v>31.03</v>
      </c>
      <c r="I107">
        <v>2.0500000000000001E-2</v>
      </c>
      <c r="J107">
        <v>34.619999999999997</v>
      </c>
      <c r="K107">
        <v>0</v>
      </c>
      <c r="L107">
        <v>3.5400000000000001E-2</v>
      </c>
      <c r="M107">
        <v>0.14360000000000001</v>
      </c>
      <c r="N107">
        <v>101.35939999999999</v>
      </c>
      <c r="O107" t="s">
        <v>141</v>
      </c>
      <c r="P107" t="s">
        <v>17</v>
      </c>
      <c r="Q107">
        <f>I107-(K107*Standards!$I$15)</f>
        <v>2.0500000000000001E-2</v>
      </c>
    </row>
    <row r="108" spans="1:24">
      <c r="A108">
        <v>116</v>
      </c>
      <c r="B108">
        <v>0</v>
      </c>
      <c r="C108">
        <v>0</v>
      </c>
      <c r="D108">
        <v>35.619999999999997</v>
      </c>
      <c r="E108">
        <v>0</v>
      </c>
      <c r="F108">
        <v>0</v>
      </c>
      <c r="G108">
        <v>8.9999999999999998E-4</v>
      </c>
      <c r="H108">
        <v>31.26</v>
      </c>
      <c r="I108">
        <v>2.5499999999999998E-2</v>
      </c>
      <c r="J108">
        <v>34.61</v>
      </c>
      <c r="K108">
        <v>0</v>
      </c>
      <c r="L108">
        <v>2.1999999999999999E-2</v>
      </c>
      <c r="M108">
        <v>0.1231</v>
      </c>
      <c r="N108">
        <v>101.6614</v>
      </c>
      <c r="O108" t="s">
        <v>141</v>
      </c>
      <c r="P108" t="s">
        <v>17</v>
      </c>
      <c r="Q108">
        <f>I108-(K108*Standards!$I$15)</f>
        <v>2.5499999999999998E-2</v>
      </c>
    </row>
    <row r="109" spans="1:24">
      <c r="A109">
        <v>124</v>
      </c>
      <c r="B109">
        <v>0</v>
      </c>
      <c r="C109">
        <v>0</v>
      </c>
      <c r="D109">
        <v>35.4</v>
      </c>
      <c r="E109">
        <v>1.2500000000000001E-2</v>
      </c>
      <c r="F109">
        <v>0</v>
      </c>
      <c r="G109">
        <v>0</v>
      </c>
      <c r="H109">
        <v>31.35</v>
      </c>
      <c r="I109">
        <v>3.0599999999999999E-2</v>
      </c>
      <c r="J109">
        <v>34.61</v>
      </c>
      <c r="K109">
        <v>0</v>
      </c>
      <c r="L109">
        <v>0</v>
      </c>
      <c r="M109">
        <v>0.1095</v>
      </c>
      <c r="N109">
        <v>101.51260000000001</v>
      </c>
      <c r="O109" t="s">
        <v>141</v>
      </c>
      <c r="P109" t="s">
        <v>17</v>
      </c>
      <c r="Q109">
        <f>I109-(K109*Standards!$I$15)</f>
        <v>3.0599999999999999E-2</v>
      </c>
    </row>
    <row r="110" spans="1:24">
      <c r="A110">
        <v>125</v>
      </c>
      <c r="B110">
        <v>0</v>
      </c>
      <c r="C110">
        <v>0</v>
      </c>
      <c r="D110">
        <v>35.49</v>
      </c>
      <c r="E110">
        <v>1.4999999999999999E-2</v>
      </c>
      <c r="F110">
        <v>0</v>
      </c>
      <c r="G110">
        <v>2.9999999999999997E-4</v>
      </c>
      <c r="H110">
        <v>31.09</v>
      </c>
      <c r="I110">
        <v>2.29E-2</v>
      </c>
      <c r="J110">
        <v>34.56</v>
      </c>
      <c r="K110">
        <v>0</v>
      </c>
      <c r="L110">
        <v>1.06E-2</v>
      </c>
      <c r="M110">
        <v>0.1187</v>
      </c>
      <c r="N110">
        <v>101.3074</v>
      </c>
      <c r="O110" t="s">
        <v>141</v>
      </c>
      <c r="P110" t="s">
        <v>17</v>
      </c>
      <c r="Q110">
        <f>I110-(K110*Standards!$I$15)</f>
        <v>2.29E-2</v>
      </c>
    </row>
    <row r="111" spans="1:24">
      <c r="A111">
        <v>128</v>
      </c>
      <c r="B111">
        <v>0</v>
      </c>
      <c r="C111">
        <v>0</v>
      </c>
      <c r="D111">
        <v>35.520000000000003</v>
      </c>
      <c r="E111">
        <v>0</v>
      </c>
      <c r="F111">
        <v>0</v>
      </c>
      <c r="G111">
        <v>0</v>
      </c>
      <c r="H111">
        <v>31.34</v>
      </c>
      <c r="I111">
        <v>2.1299999999999999E-2</v>
      </c>
      <c r="J111">
        <v>34.549999999999997</v>
      </c>
      <c r="K111">
        <v>0</v>
      </c>
      <c r="L111">
        <v>1.6199999999999999E-2</v>
      </c>
      <c r="M111">
        <v>0.157</v>
      </c>
      <c r="N111">
        <v>101.6044</v>
      </c>
      <c r="O111" t="s">
        <v>141</v>
      </c>
      <c r="P111" t="s">
        <v>17</v>
      </c>
      <c r="Q111">
        <f>I111-(K111*Standards!$I$15)</f>
        <v>2.1299999999999999E-2</v>
      </c>
    </row>
    <row r="112" spans="1:24">
      <c r="A112">
        <v>129</v>
      </c>
      <c r="B112">
        <v>0</v>
      </c>
      <c r="C112">
        <v>0</v>
      </c>
      <c r="D112">
        <v>35.53</v>
      </c>
      <c r="E112">
        <v>9.2999999999999992E-3</v>
      </c>
      <c r="F112">
        <v>0</v>
      </c>
      <c r="G112">
        <v>5.0000000000000001E-3</v>
      </c>
      <c r="H112">
        <v>31.32</v>
      </c>
      <c r="I112">
        <v>2.87E-2</v>
      </c>
      <c r="J112">
        <v>34.49</v>
      </c>
      <c r="K112">
        <v>0</v>
      </c>
      <c r="L112">
        <v>4.0099999999999997E-2</v>
      </c>
      <c r="M112">
        <v>0.12889999999999999</v>
      </c>
      <c r="N112">
        <v>101.55200000000001</v>
      </c>
      <c r="O112" t="s">
        <v>141</v>
      </c>
      <c r="P112" t="s">
        <v>17</v>
      </c>
      <c r="Q112">
        <f>I112-(K112*Standards!$I$15)</f>
        <v>2.87E-2</v>
      </c>
    </row>
    <row r="113" spans="1:17">
      <c r="A113">
        <v>115</v>
      </c>
      <c r="B113">
        <v>0</v>
      </c>
      <c r="C113">
        <v>0</v>
      </c>
      <c r="D113">
        <v>35.590000000000003</v>
      </c>
      <c r="E113">
        <v>4.1999999999999997E-3</v>
      </c>
      <c r="F113">
        <v>0</v>
      </c>
      <c r="G113">
        <v>0</v>
      </c>
      <c r="H113">
        <v>31.15</v>
      </c>
      <c r="I113">
        <v>2.7799999999999998E-2</v>
      </c>
      <c r="J113">
        <v>34.46</v>
      </c>
      <c r="K113">
        <v>0</v>
      </c>
      <c r="L113">
        <v>3.1699999999999999E-2</v>
      </c>
      <c r="M113">
        <v>0.1086</v>
      </c>
      <c r="N113">
        <v>101.37220000000001</v>
      </c>
      <c r="O113" t="s">
        <v>141</v>
      </c>
      <c r="P113" t="s">
        <v>17</v>
      </c>
      <c r="Q113">
        <f>I113-(K113*Standards!$I$15)</f>
        <v>2.7799999999999998E-2</v>
      </c>
    </row>
    <row r="114" spans="1:17">
      <c r="A114">
        <v>10</v>
      </c>
      <c r="B114">
        <v>0</v>
      </c>
      <c r="C114">
        <v>0</v>
      </c>
      <c r="D114">
        <v>35.44</v>
      </c>
      <c r="E114">
        <v>1.8E-3</v>
      </c>
      <c r="F114">
        <v>0</v>
      </c>
      <c r="G114">
        <v>0</v>
      </c>
      <c r="H114">
        <v>31.34</v>
      </c>
      <c r="I114">
        <v>2.4400000000000002E-2</v>
      </c>
      <c r="J114">
        <v>34.840000000000003</v>
      </c>
      <c r="K114">
        <v>0</v>
      </c>
      <c r="L114">
        <v>0</v>
      </c>
      <c r="M114">
        <v>0.13619999999999999</v>
      </c>
      <c r="N114">
        <v>101.78230000000001</v>
      </c>
      <c r="O114" t="s">
        <v>212</v>
      </c>
      <c r="P114" t="s">
        <v>17</v>
      </c>
      <c r="Q114">
        <f>I114-(K114*Standards!$I$15)</f>
        <v>2.4400000000000002E-2</v>
      </c>
    </row>
    <row r="115" spans="1:17">
      <c r="A115">
        <v>9</v>
      </c>
      <c r="B115">
        <v>0</v>
      </c>
      <c r="C115">
        <v>0</v>
      </c>
      <c r="D115">
        <v>35.299999999999997</v>
      </c>
      <c r="E115">
        <v>8.0000000000000004E-4</v>
      </c>
      <c r="F115">
        <v>0</v>
      </c>
      <c r="G115">
        <v>0</v>
      </c>
      <c r="H115">
        <v>31.16</v>
      </c>
      <c r="I115">
        <v>2.1499999999999998E-2</v>
      </c>
      <c r="J115">
        <v>34.799999999999997</v>
      </c>
      <c r="K115">
        <v>0</v>
      </c>
      <c r="L115">
        <v>1.34E-2</v>
      </c>
      <c r="M115">
        <v>0.12690000000000001</v>
      </c>
      <c r="N115">
        <v>101.4225</v>
      </c>
      <c r="O115" t="s">
        <v>212</v>
      </c>
      <c r="P115" t="s">
        <v>17</v>
      </c>
      <c r="Q115">
        <f>I115-(K115*Standards!$I$15)</f>
        <v>2.1499999999999998E-2</v>
      </c>
    </row>
    <row r="116" spans="1:17">
      <c r="A116">
        <v>26</v>
      </c>
      <c r="B116">
        <v>0</v>
      </c>
      <c r="C116">
        <v>0</v>
      </c>
      <c r="D116">
        <v>35.43</v>
      </c>
      <c r="E116">
        <v>1.1999999999999999E-3</v>
      </c>
      <c r="F116">
        <v>0</v>
      </c>
      <c r="G116">
        <v>0</v>
      </c>
      <c r="H116">
        <v>31.3</v>
      </c>
      <c r="I116">
        <v>2.7900000000000001E-2</v>
      </c>
      <c r="J116">
        <v>34.799999999999997</v>
      </c>
      <c r="K116">
        <v>0</v>
      </c>
      <c r="L116">
        <v>1.0500000000000001E-2</v>
      </c>
      <c r="M116">
        <v>0.10970000000000001</v>
      </c>
      <c r="N116">
        <v>101.67919999999999</v>
      </c>
      <c r="O116" t="s">
        <v>141</v>
      </c>
      <c r="P116" t="s">
        <v>17</v>
      </c>
      <c r="Q116">
        <f>I116-(K116*Standards!$I$15)</f>
        <v>2.7900000000000001E-2</v>
      </c>
    </row>
    <row r="117" spans="1:17">
      <c r="A117">
        <v>1</v>
      </c>
      <c r="B117">
        <v>0</v>
      </c>
      <c r="C117">
        <v>0</v>
      </c>
      <c r="D117">
        <v>35.26</v>
      </c>
      <c r="E117">
        <v>0</v>
      </c>
      <c r="F117">
        <v>0</v>
      </c>
      <c r="G117">
        <v>1E-3</v>
      </c>
      <c r="H117">
        <v>31.16</v>
      </c>
      <c r="I117">
        <v>3.5000000000000003E-2</v>
      </c>
      <c r="J117">
        <v>34.76</v>
      </c>
      <c r="K117">
        <v>0</v>
      </c>
      <c r="L117">
        <v>1.9699999999999999E-2</v>
      </c>
      <c r="M117">
        <v>0.12509999999999999</v>
      </c>
      <c r="N117">
        <v>101.36069999999999</v>
      </c>
      <c r="O117" t="s">
        <v>212</v>
      </c>
      <c r="P117" t="s">
        <v>17</v>
      </c>
      <c r="Q117">
        <f>I117-(K117*Standards!$I$15)</f>
        <v>3.5000000000000003E-2</v>
      </c>
    </row>
    <row r="118" spans="1:17">
      <c r="A118">
        <v>25</v>
      </c>
      <c r="B118">
        <v>0</v>
      </c>
      <c r="C118">
        <v>0</v>
      </c>
      <c r="D118">
        <v>35.270000000000003</v>
      </c>
      <c r="E118">
        <v>0</v>
      </c>
      <c r="F118">
        <v>0</v>
      </c>
      <c r="G118">
        <v>0</v>
      </c>
      <c r="H118">
        <v>31.37</v>
      </c>
      <c r="I118">
        <v>2.7699999999999999E-2</v>
      </c>
      <c r="J118">
        <v>34.75</v>
      </c>
      <c r="K118">
        <v>0</v>
      </c>
      <c r="L118">
        <v>3.4700000000000002E-2</v>
      </c>
      <c r="M118">
        <v>0.12720000000000001</v>
      </c>
      <c r="N118">
        <v>101.5795</v>
      </c>
      <c r="O118" t="s">
        <v>141</v>
      </c>
      <c r="P118" t="s">
        <v>17</v>
      </c>
      <c r="Q118">
        <f>I118-(K118*Standards!$I$15)</f>
        <v>2.7699999999999999E-2</v>
      </c>
    </row>
    <row r="119" spans="1:17">
      <c r="A119">
        <v>8</v>
      </c>
      <c r="B119">
        <v>0</v>
      </c>
      <c r="C119">
        <v>0</v>
      </c>
      <c r="D119">
        <v>35.47</v>
      </c>
      <c r="E119">
        <v>0</v>
      </c>
      <c r="F119">
        <v>0</v>
      </c>
      <c r="G119">
        <v>0</v>
      </c>
      <c r="H119">
        <v>31.45</v>
      </c>
      <c r="I119">
        <v>2.87E-2</v>
      </c>
      <c r="J119">
        <v>34.74</v>
      </c>
      <c r="K119">
        <v>0</v>
      </c>
      <c r="L119">
        <v>4.3700000000000003E-2</v>
      </c>
      <c r="M119">
        <v>0.1313</v>
      </c>
      <c r="N119">
        <v>101.86369999999999</v>
      </c>
      <c r="O119" t="s">
        <v>212</v>
      </c>
      <c r="P119" t="s">
        <v>17</v>
      </c>
      <c r="Q119">
        <f>I119-(K119*Standards!$I$15)</f>
        <v>2.87E-2</v>
      </c>
    </row>
    <row r="120" spans="1:17">
      <c r="A120">
        <v>22</v>
      </c>
      <c r="B120">
        <v>0</v>
      </c>
      <c r="C120">
        <v>0</v>
      </c>
      <c r="D120">
        <v>35.11</v>
      </c>
      <c r="E120">
        <v>0</v>
      </c>
      <c r="F120">
        <v>2.8E-3</v>
      </c>
      <c r="G120">
        <v>0</v>
      </c>
      <c r="H120">
        <v>31.4</v>
      </c>
      <c r="I120">
        <v>2.4299999999999999E-2</v>
      </c>
      <c r="J120">
        <v>34.72</v>
      </c>
      <c r="K120">
        <v>0</v>
      </c>
      <c r="L120">
        <v>1.7399999999999999E-2</v>
      </c>
      <c r="M120">
        <v>0.1137</v>
      </c>
      <c r="N120">
        <v>101.3882</v>
      </c>
      <c r="O120" t="s">
        <v>141</v>
      </c>
      <c r="P120" t="s">
        <v>17</v>
      </c>
      <c r="Q120">
        <f>I120-(K120*Standards!$I$15)</f>
        <v>2.4299999999999999E-2</v>
      </c>
    </row>
    <row r="121" spans="1:17">
      <c r="A121">
        <v>21</v>
      </c>
      <c r="B121">
        <v>0</v>
      </c>
      <c r="C121">
        <v>0</v>
      </c>
      <c r="D121">
        <v>35.479999999999997</v>
      </c>
      <c r="E121">
        <v>0</v>
      </c>
      <c r="F121">
        <v>0</v>
      </c>
      <c r="G121">
        <v>0</v>
      </c>
      <c r="H121">
        <v>31.42</v>
      </c>
      <c r="I121">
        <v>2.8500000000000001E-2</v>
      </c>
      <c r="J121">
        <v>34.700000000000003</v>
      </c>
      <c r="K121">
        <v>0</v>
      </c>
      <c r="L121">
        <v>2.93E-2</v>
      </c>
      <c r="M121">
        <v>0.1208</v>
      </c>
      <c r="N121">
        <v>101.77849999999999</v>
      </c>
      <c r="O121" t="s">
        <v>141</v>
      </c>
      <c r="P121" t="s">
        <v>17</v>
      </c>
      <c r="Q121">
        <f>I121-(K121*Standards!$I$15)</f>
        <v>2.8500000000000001E-2</v>
      </c>
    </row>
    <row r="122" spans="1:17">
      <c r="A122">
        <v>6</v>
      </c>
      <c r="B122">
        <v>0</v>
      </c>
      <c r="C122">
        <v>0</v>
      </c>
      <c r="D122">
        <v>35.270000000000003</v>
      </c>
      <c r="E122">
        <v>1.06E-2</v>
      </c>
      <c r="F122">
        <v>0</v>
      </c>
      <c r="G122">
        <v>0</v>
      </c>
      <c r="H122">
        <v>31.11</v>
      </c>
      <c r="I122">
        <v>3.04E-2</v>
      </c>
      <c r="J122">
        <v>34.659999999999997</v>
      </c>
      <c r="K122">
        <v>0</v>
      </c>
      <c r="L122">
        <v>7.0000000000000001E-3</v>
      </c>
      <c r="M122">
        <v>0.13139999999999999</v>
      </c>
      <c r="N122">
        <v>101.21939999999999</v>
      </c>
      <c r="O122" t="s">
        <v>212</v>
      </c>
      <c r="P122" t="s">
        <v>17</v>
      </c>
      <c r="Q122">
        <f>I122-(K122*Standards!$I$15)</f>
        <v>3.04E-2</v>
      </c>
    </row>
    <row r="123" spans="1:17">
      <c r="A123">
        <v>7</v>
      </c>
      <c r="B123">
        <v>0</v>
      </c>
      <c r="C123">
        <v>0</v>
      </c>
      <c r="D123">
        <v>35.4</v>
      </c>
      <c r="E123">
        <v>0</v>
      </c>
      <c r="F123">
        <v>0</v>
      </c>
      <c r="G123">
        <v>0</v>
      </c>
      <c r="H123">
        <v>30.9</v>
      </c>
      <c r="I123">
        <v>2.47E-2</v>
      </c>
      <c r="J123">
        <v>34.64</v>
      </c>
      <c r="K123">
        <v>0</v>
      </c>
      <c r="L123">
        <v>3.3300000000000003E-2</v>
      </c>
      <c r="M123">
        <v>0.12280000000000001</v>
      </c>
      <c r="N123">
        <v>101.1208</v>
      </c>
      <c r="O123" t="s">
        <v>212</v>
      </c>
      <c r="P123" t="s">
        <v>17</v>
      </c>
      <c r="Q123">
        <f>I123-(K123*Standards!$I$15)</f>
        <v>2.47E-2</v>
      </c>
    </row>
    <row r="124" spans="1:17">
      <c r="A124">
        <v>3</v>
      </c>
      <c r="B124">
        <v>0</v>
      </c>
      <c r="C124">
        <v>0</v>
      </c>
      <c r="D124">
        <v>35.29</v>
      </c>
      <c r="E124">
        <v>2.5999999999999999E-3</v>
      </c>
      <c r="F124">
        <v>0</v>
      </c>
      <c r="G124">
        <v>0</v>
      </c>
      <c r="H124">
        <v>31.07</v>
      </c>
      <c r="I124">
        <v>2.3800000000000002E-2</v>
      </c>
      <c r="J124">
        <v>34.6</v>
      </c>
      <c r="K124">
        <v>0</v>
      </c>
      <c r="L124">
        <v>2.3300000000000001E-2</v>
      </c>
      <c r="M124">
        <v>0.11940000000000001</v>
      </c>
      <c r="N124">
        <v>101.12909999999999</v>
      </c>
      <c r="O124" t="s">
        <v>212</v>
      </c>
      <c r="P124" t="s">
        <v>17</v>
      </c>
      <c r="Q124">
        <f>I124-(K124*Standards!$I$15)</f>
        <v>2.3800000000000002E-2</v>
      </c>
    </row>
    <row r="125" spans="1:17">
      <c r="A125">
        <v>2</v>
      </c>
      <c r="B125">
        <v>0</v>
      </c>
      <c r="C125">
        <v>0</v>
      </c>
      <c r="D125">
        <v>35.380000000000003</v>
      </c>
      <c r="E125">
        <v>0</v>
      </c>
      <c r="F125">
        <v>0</v>
      </c>
      <c r="G125">
        <v>0</v>
      </c>
      <c r="H125">
        <v>31.05</v>
      </c>
      <c r="I125">
        <v>2.3E-2</v>
      </c>
      <c r="J125">
        <v>34.51</v>
      </c>
      <c r="K125">
        <v>0</v>
      </c>
      <c r="L125">
        <v>5.2600000000000001E-2</v>
      </c>
      <c r="M125">
        <v>0.12470000000000001</v>
      </c>
      <c r="N125">
        <v>101.14019999999999</v>
      </c>
      <c r="O125" t="s">
        <v>212</v>
      </c>
      <c r="P125" t="s">
        <v>17</v>
      </c>
      <c r="Q125">
        <f>I125-(K125*Standards!$I$15)</f>
        <v>2.3E-2</v>
      </c>
    </row>
    <row r="126" spans="1:17">
      <c r="A126">
        <v>5</v>
      </c>
      <c r="B126">
        <v>0</v>
      </c>
      <c r="C126">
        <v>0</v>
      </c>
      <c r="D126">
        <v>35.36</v>
      </c>
      <c r="E126">
        <v>9.5999999999999992E-3</v>
      </c>
      <c r="F126">
        <v>0</v>
      </c>
      <c r="G126">
        <v>0</v>
      </c>
      <c r="H126">
        <v>30.86</v>
      </c>
      <c r="I126">
        <v>2.47E-2</v>
      </c>
      <c r="J126">
        <v>34.51</v>
      </c>
      <c r="K126">
        <v>0</v>
      </c>
      <c r="L126">
        <v>1.6999999999999999E-3</v>
      </c>
      <c r="M126">
        <v>0.1361</v>
      </c>
      <c r="N126">
        <v>100.902</v>
      </c>
      <c r="O126" t="s">
        <v>212</v>
      </c>
      <c r="P126" t="s">
        <v>17</v>
      </c>
      <c r="Q126">
        <f>I126-(K126*Standards!$I$15)</f>
        <v>2.47E-2</v>
      </c>
    </row>
    <row r="127" spans="1:17">
      <c r="A127">
        <v>17</v>
      </c>
      <c r="B127">
        <v>2.3E-3</v>
      </c>
      <c r="C127">
        <v>0</v>
      </c>
      <c r="D127">
        <v>35.270000000000003</v>
      </c>
      <c r="E127">
        <v>0</v>
      </c>
      <c r="F127">
        <v>0</v>
      </c>
      <c r="G127">
        <v>0</v>
      </c>
      <c r="H127">
        <v>31.26</v>
      </c>
      <c r="I127">
        <v>2.6200000000000001E-2</v>
      </c>
      <c r="J127">
        <v>34.450000000000003</v>
      </c>
      <c r="K127">
        <v>0</v>
      </c>
      <c r="L127">
        <v>4.3099999999999999E-2</v>
      </c>
      <c r="M127">
        <v>0.1313</v>
      </c>
      <c r="N127">
        <v>101.1828</v>
      </c>
      <c r="O127" t="s">
        <v>141</v>
      </c>
      <c r="P127" t="s">
        <v>17</v>
      </c>
      <c r="Q127">
        <f>I127-(K127*Standards!$I$15)</f>
        <v>2.6200000000000001E-2</v>
      </c>
    </row>
    <row r="128" spans="1:17">
      <c r="A128">
        <v>4</v>
      </c>
      <c r="B128">
        <v>0</v>
      </c>
      <c r="C128">
        <v>0</v>
      </c>
      <c r="D128">
        <v>35.32</v>
      </c>
      <c r="E128">
        <v>1.0800000000000001E-2</v>
      </c>
      <c r="F128">
        <v>0</v>
      </c>
      <c r="G128">
        <v>0</v>
      </c>
      <c r="H128">
        <v>31.11</v>
      </c>
      <c r="I128">
        <v>2.2599999999999999E-2</v>
      </c>
      <c r="J128">
        <v>34.4</v>
      </c>
      <c r="K128">
        <v>0</v>
      </c>
      <c r="L128">
        <v>2.92E-2</v>
      </c>
      <c r="M128">
        <v>0.1143</v>
      </c>
      <c r="N128">
        <v>101.0068</v>
      </c>
      <c r="O128" t="s">
        <v>212</v>
      </c>
      <c r="P128" t="s">
        <v>17</v>
      </c>
      <c r="Q128">
        <f>I128-(K128*Standards!$I$15)</f>
        <v>2.2599999999999999E-2</v>
      </c>
    </row>
    <row r="129" spans="1:23">
      <c r="A129">
        <v>110</v>
      </c>
      <c r="B129">
        <v>5.3E-3</v>
      </c>
      <c r="C129">
        <v>0</v>
      </c>
      <c r="D129">
        <v>35.47</v>
      </c>
      <c r="E129">
        <v>4.5900000000000003E-2</v>
      </c>
      <c r="F129">
        <v>0</v>
      </c>
      <c r="G129">
        <v>0</v>
      </c>
      <c r="H129">
        <v>31.05</v>
      </c>
      <c r="I129">
        <v>2.3400000000000001E-2</v>
      </c>
      <c r="J129">
        <v>34.58</v>
      </c>
      <c r="K129">
        <v>0</v>
      </c>
      <c r="L129">
        <v>0.1477</v>
      </c>
      <c r="M129">
        <v>0.1144</v>
      </c>
      <c r="N129">
        <v>101.4366</v>
      </c>
      <c r="O129" t="s">
        <v>213</v>
      </c>
      <c r="P129" t="s">
        <v>17</v>
      </c>
      <c r="Q129">
        <f>I129-(K129*Standards!$I$15)</f>
        <v>2.3400000000000001E-2</v>
      </c>
      <c r="W129">
        <f>10000*AVERAGE(Q129:Q131)</f>
        <v>79.666666666666671</v>
      </c>
    </row>
    <row r="130" spans="1:23">
      <c r="A130">
        <v>81</v>
      </c>
      <c r="B130">
        <v>2.1600000000000001E-2</v>
      </c>
      <c r="C130">
        <v>0</v>
      </c>
      <c r="D130">
        <v>35.51</v>
      </c>
      <c r="E130">
        <v>9.3600000000000003E-2</v>
      </c>
      <c r="F130">
        <v>0</v>
      </c>
      <c r="G130">
        <v>0</v>
      </c>
      <c r="H130">
        <v>31.13</v>
      </c>
      <c r="I130">
        <v>5.0000000000000001E-4</v>
      </c>
      <c r="J130">
        <v>34.56</v>
      </c>
      <c r="K130">
        <v>0</v>
      </c>
      <c r="L130">
        <v>8.0199999999999994E-2</v>
      </c>
      <c r="M130">
        <v>0.14560000000000001</v>
      </c>
      <c r="N130">
        <v>101.5415</v>
      </c>
      <c r="O130" t="s">
        <v>213</v>
      </c>
      <c r="P130" t="s">
        <v>17</v>
      </c>
      <c r="Q130">
        <f>I130-(K130*Standards!$I$15)</f>
        <v>5.0000000000000001E-4</v>
      </c>
    </row>
    <row r="131" spans="1:23">
      <c r="A131">
        <v>80</v>
      </c>
      <c r="B131">
        <v>1.78E-2</v>
      </c>
      <c r="C131">
        <v>0</v>
      </c>
      <c r="D131">
        <v>35.53</v>
      </c>
      <c r="E131">
        <v>8.3599999999999994E-2</v>
      </c>
      <c r="F131">
        <v>0</v>
      </c>
      <c r="G131">
        <v>0</v>
      </c>
      <c r="H131">
        <v>31.06</v>
      </c>
      <c r="I131">
        <v>0</v>
      </c>
      <c r="J131">
        <v>34.549999999999997</v>
      </c>
      <c r="K131">
        <v>0</v>
      </c>
      <c r="L131">
        <v>4.0899999999999999E-2</v>
      </c>
      <c r="M131">
        <v>0.13639999999999999</v>
      </c>
      <c r="N131">
        <v>101.4186</v>
      </c>
      <c r="O131" t="s">
        <v>213</v>
      </c>
      <c r="P131" t="s">
        <v>17</v>
      </c>
      <c r="Q131">
        <f>I131-(K131*Standards!$I$15)</f>
        <v>0</v>
      </c>
    </row>
    <row r="132" spans="1:23">
      <c r="A132">
        <v>33</v>
      </c>
      <c r="B132">
        <v>2.1100000000000001E-2</v>
      </c>
      <c r="C132">
        <v>0</v>
      </c>
      <c r="D132">
        <v>35.229999999999997</v>
      </c>
      <c r="E132">
        <v>1.11E-2</v>
      </c>
      <c r="F132">
        <v>0</v>
      </c>
      <c r="G132">
        <v>0</v>
      </c>
      <c r="H132">
        <v>30.62</v>
      </c>
      <c r="I132">
        <v>0.22140000000000001</v>
      </c>
      <c r="J132">
        <v>32.83</v>
      </c>
      <c r="K132">
        <v>0</v>
      </c>
      <c r="L132">
        <v>0.56430000000000002</v>
      </c>
      <c r="M132">
        <v>0.13100000000000001</v>
      </c>
      <c r="N132">
        <v>99.629000000000005</v>
      </c>
      <c r="O132" t="s">
        <v>214</v>
      </c>
      <c r="P132" t="s">
        <v>24</v>
      </c>
      <c r="Q132">
        <f>I132-(K132*Standards!$I$15)</f>
        <v>0.22140000000000001</v>
      </c>
      <c r="R132" t="s">
        <v>24</v>
      </c>
      <c r="S132">
        <f>COUNT(Q132:Q189,Q522:Q530)</f>
        <v>67</v>
      </c>
      <c r="T132">
        <f>MAX(L132:L189,L522:L530)</f>
        <v>0.56430000000000002</v>
      </c>
      <c r="U132">
        <f>AVERAGE(L132:L189,L522:L530)</f>
        <v>5.65358208955224E-2</v>
      </c>
      <c r="V132">
        <f>10000*MAX(Q132:Q189,Q522:Q530)</f>
        <v>2214</v>
      </c>
      <c r="W132">
        <f>10000*AVERAGE(Q132:Q189,Q522:Q530)</f>
        <v>648.01002686567165</v>
      </c>
    </row>
    <row r="133" spans="1:23">
      <c r="A133">
        <v>34</v>
      </c>
      <c r="B133">
        <v>1.9900000000000001E-2</v>
      </c>
      <c r="C133">
        <v>0</v>
      </c>
      <c r="D133">
        <v>35.42</v>
      </c>
      <c r="E133">
        <v>0</v>
      </c>
      <c r="F133">
        <v>0</v>
      </c>
      <c r="G133">
        <v>0</v>
      </c>
      <c r="H133">
        <v>30.56</v>
      </c>
      <c r="I133">
        <v>0.14779999999999999</v>
      </c>
      <c r="J133">
        <v>32.86</v>
      </c>
      <c r="K133">
        <v>0</v>
      </c>
      <c r="L133">
        <v>7.8899999999999998E-2</v>
      </c>
      <c r="M133">
        <v>0.10580000000000001</v>
      </c>
      <c r="N133">
        <v>99.192499999999995</v>
      </c>
      <c r="O133" t="s">
        <v>214</v>
      </c>
      <c r="P133" t="s">
        <v>24</v>
      </c>
      <c r="Q133">
        <f>I133-(K133*Standards!$I$15)</f>
        <v>0.14779999999999999</v>
      </c>
    </row>
    <row r="134" spans="1:23">
      <c r="A134">
        <v>36</v>
      </c>
      <c r="B134">
        <v>1.6899999999999998E-2</v>
      </c>
      <c r="C134">
        <v>0</v>
      </c>
      <c r="D134">
        <v>35.53</v>
      </c>
      <c r="E134">
        <v>7.6E-3</v>
      </c>
      <c r="F134">
        <v>0</v>
      </c>
      <c r="G134">
        <v>0</v>
      </c>
      <c r="H134">
        <v>31.26</v>
      </c>
      <c r="I134">
        <v>0.14249999999999999</v>
      </c>
      <c r="J134">
        <v>32.729999999999997</v>
      </c>
      <c r="K134">
        <v>0</v>
      </c>
      <c r="L134">
        <v>3.15E-2</v>
      </c>
      <c r="M134">
        <v>0.1313</v>
      </c>
      <c r="N134">
        <v>99.849900000000005</v>
      </c>
      <c r="O134" t="s">
        <v>214</v>
      </c>
      <c r="P134" t="s">
        <v>24</v>
      </c>
      <c r="Q134">
        <f>I134-(K134*Standards!$I$15)</f>
        <v>0.14249999999999999</v>
      </c>
    </row>
    <row r="135" spans="1:23">
      <c r="A135">
        <v>20</v>
      </c>
      <c r="B135">
        <v>3.3599999999999998E-2</v>
      </c>
      <c r="C135">
        <v>0</v>
      </c>
      <c r="D135">
        <v>35.46</v>
      </c>
      <c r="E135">
        <v>2.8999999999999998E-3</v>
      </c>
      <c r="F135">
        <v>0</v>
      </c>
      <c r="G135">
        <v>0</v>
      </c>
      <c r="H135">
        <v>30.73</v>
      </c>
      <c r="I135">
        <v>0.13239999999999999</v>
      </c>
      <c r="J135">
        <v>32.770000000000003</v>
      </c>
      <c r="K135">
        <v>0</v>
      </c>
      <c r="L135">
        <v>6.93E-2</v>
      </c>
      <c r="M135">
        <v>0.12659999999999999</v>
      </c>
      <c r="N135">
        <v>99.3249</v>
      </c>
      <c r="O135" t="s">
        <v>214</v>
      </c>
      <c r="P135" t="s">
        <v>24</v>
      </c>
      <c r="Q135">
        <f>I135-(K135*Standards!$I$15)</f>
        <v>0.13239999999999999</v>
      </c>
    </row>
    <row r="136" spans="1:23">
      <c r="A136">
        <v>18</v>
      </c>
      <c r="B136">
        <v>4.1500000000000002E-2</v>
      </c>
      <c r="C136">
        <v>0</v>
      </c>
      <c r="D136">
        <v>35.07</v>
      </c>
      <c r="E136">
        <v>0</v>
      </c>
      <c r="F136">
        <v>0</v>
      </c>
      <c r="G136">
        <v>0</v>
      </c>
      <c r="H136">
        <v>30.64</v>
      </c>
      <c r="I136">
        <v>0.13089999999999999</v>
      </c>
      <c r="J136">
        <v>32.450000000000003</v>
      </c>
      <c r="K136">
        <v>0</v>
      </c>
      <c r="L136">
        <v>7.0699999999999999E-2</v>
      </c>
      <c r="M136">
        <v>0.1144</v>
      </c>
      <c r="N136">
        <v>98.517600000000002</v>
      </c>
      <c r="O136" t="s">
        <v>214</v>
      </c>
      <c r="P136" t="s">
        <v>24</v>
      </c>
      <c r="Q136">
        <f>I136-(K136*Standards!$I$15)</f>
        <v>0.13089999999999999</v>
      </c>
    </row>
    <row r="137" spans="1:23">
      <c r="A137">
        <v>35</v>
      </c>
      <c r="B137">
        <v>2.5999999999999999E-2</v>
      </c>
      <c r="C137">
        <v>0</v>
      </c>
      <c r="D137">
        <v>35.33</v>
      </c>
      <c r="E137">
        <v>3.8999999999999998E-3</v>
      </c>
      <c r="F137">
        <v>0</v>
      </c>
      <c r="G137">
        <v>0</v>
      </c>
      <c r="H137">
        <v>31.08</v>
      </c>
      <c r="I137">
        <v>0.1268</v>
      </c>
      <c r="J137">
        <v>32.44</v>
      </c>
      <c r="K137">
        <v>0</v>
      </c>
      <c r="L137">
        <v>4.2799999999999998E-2</v>
      </c>
      <c r="M137">
        <v>0.1386</v>
      </c>
      <c r="N137">
        <v>99.188199999999995</v>
      </c>
      <c r="O137" t="s">
        <v>214</v>
      </c>
      <c r="P137" t="s">
        <v>24</v>
      </c>
      <c r="Q137">
        <f>I137-(K137*Standards!$I$15)</f>
        <v>0.1268</v>
      </c>
    </row>
    <row r="138" spans="1:23">
      <c r="A138">
        <v>43</v>
      </c>
      <c r="B138">
        <v>2.52E-2</v>
      </c>
      <c r="C138">
        <v>0</v>
      </c>
      <c r="D138">
        <v>35.51</v>
      </c>
      <c r="E138">
        <v>1.67E-2</v>
      </c>
      <c r="F138">
        <v>0</v>
      </c>
      <c r="G138">
        <v>0</v>
      </c>
      <c r="H138">
        <v>30.92</v>
      </c>
      <c r="I138">
        <v>0.12620000000000001</v>
      </c>
      <c r="J138">
        <v>33.17</v>
      </c>
      <c r="K138">
        <v>0</v>
      </c>
      <c r="L138">
        <v>4.9200000000000001E-2</v>
      </c>
      <c r="M138">
        <v>0.12870000000000001</v>
      </c>
      <c r="N138">
        <v>99.946100000000001</v>
      </c>
      <c r="O138" t="s">
        <v>214</v>
      </c>
      <c r="P138" t="s">
        <v>24</v>
      </c>
      <c r="Q138">
        <f>I138-(K138*Standards!$I$15)</f>
        <v>0.12620000000000001</v>
      </c>
    </row>
    <row r="139" spans="1:23">
      <c r="A139">
        <v>19</v>
      </c>
      <c r="B139">
        <v>3.1099999999999999E-2</v>
      </c>
      <c r="C139">
        <v>0</v>
      </c>
      <c r="D139">
        <v>35.159999999999997</v>
      </c>
      <c r="E139">
        <v>1.54E-2</v>
      </c>
      <c r="F139">
        <v>0</v>
      </c>
      <c r="G139">
        <v>0</v>
      </c>
      <c r="H139">
        <v>30.69</v>
      </c>
      <c r="I139">
        <v>0.1242</v>
      </c>
      <c r="J139">
        <v>32.58</v>
      </c>
      <c r="K139">
        <v>0</v>
      </c>
      <c r="L139">
        <v>0.12570000000000001</v>
      </c>
      <c r="M139">
        <v>0.11899999999999999</v>
      </c>
      <c r="N139">
        <v>98.845500000000001</v>
      </c>
      <c r="O139" t="s">
        <v>214</v>
      </c>
      <c r="P139" t="s">
        <v>24</v>
      </c>
      <c r="Q139">
        <f>I139-(K139*Standards!$I$15)</f>
        <v>0.1242</v>
      </c>
    </row>
    <row r="140" spans="1:23">
      <c r="A140">
        <v>25</v>
      </c>
      <c r="B140">
        <v>1.44E-2</v>
      </c>
      <c r="C140">
        <v>0</v>
      </c>
      <c r="D140">
        <v>35.56</v>
      </c>
      <c r="E140">
        <v>1.26E-2</v>
      </c>
      <c r="F140">
        <v>0</v>
      </c>
      <c r="G140">
        <v>0</v>
      </c>
      <c r="H140">
        <v>31.35</v>
      </c>
      <c r="I140">
        <v>0.1208</v>
      </c>
      <c r="J140">
        <v>32.630000000000003</v>
      </c>
      <c r="K140">
        <v>0</v>
      </c>
      <c r="L140">
        <v>6.8099999999999994E-2</v>
      </c>
      <c r="M140">
        <v>0.13750000000000001</v>
      </c>
      <c r="N140">
        <v>99.893500000000003</v>
      </c>
      <c r="O140" t="s">
        <v>214</v>
      </c>
      <c r="P140" t="s">
        <v>24</v>
      </c>
      <c r="Q140">
        <f>I140-(K140*Standards!$I$15)</f>
        <v>0.1208</v>
      </c>
    </row>
    <row r="141" spans="1:23">
      <c r="A141">
        <v>42</v>
      </c>
      <c r="B141">
        <v>1.5800000000000002E-2</v>
      </c>
      <c r="C141">
        <v>0</v>
      </c>
      <c r="D141">
        <v>35.479999999999997</v>
      </c>
      <c r="E141">
        <v>2.75E-2</v>
      </c>
      <c r="F141">
        <v>0</v>
      </c>
      <c r="G141">
        <v>0</v>
      </c>
      <c r="H141">
        <v>31.1</v>
      </c>
      <c r="I141">
        <v>0.1171</v>
      </c>
      <c r="J141">
        <v>32.97</v>
      </c>
      <c r="K141">
        <v>0</v>
      </c>
      <c r="L141">
        <v>4.5999999999999999E-2</v>
      </c>
      <c r="M141">
        <v>0.10539999999999999</v>
      </c>
      <c r="N141">
        <v>99.861900000000006</v>
      </c>
      <c r="O141" t="s">
        <v>214</v>
      </c>
      <c r="P141" t="s">
        <v>24</v>
      </c>
      <c r="Q141">
        <f>I141-(K141*Standards!$I$15)</f>
        <v>0.1171</v>
      </c>
    </row>
    <row r="142" spans="1:23">
      <c r="A142">
        <v>26</v>
      </c>
      <c r="B142">
        <v>5.8599999999999999E-2</v>
      </c>
      <c r="C142">
        <v>0</v>
      </c>
      <c r="D142">
        <v>35.67</v>
      </c>
      <c r="E142">
        <v>1.7399999999999999E-2</v>
      </c>
      <c r="F142">
        <v>0</v>
      </c>
      <c r="G142">
        <v>0</v>
      </c>
      <c r="H142">
        <v>30.76</v>
      </c>
      <c r="I142">
        <v>0.1016</v>
      </c>
      <c r="J142">
        <v>33.03</v>
      </c>
      <c r="K142">
        <v>0</v>
      </c>
      <c r="L142">
        <v>7.5300000000000006E-2</v>
      </c>
      <c r="M142">
        <v>0.12790000000000001</v>
      </c>
      <c r="N142">
        <v>99.840900000000005</v>
      </c>
      <c r="O142" t="s">
        <v>214</v>
      </c>
      <c r="P142" t="s">
        <v>24</v>
      </c>
      <c r="Q142">
        <f>I142-(K142*Standards!$I$15)</f>
        <v>0.1016</v>
      </c>
    </row>
    <row r="143" spans="1:23">
      <c r="A143">
        <v>21</v>
      </c>
      <c r="B143">
        <v>3.3000000000000002E-2</v>
      </c>
      <c r="C143">
        <v>0</v>
      </c>
      <c r="D143">
        <v>35.68</v>
      </c>
      <c r="E143">
        <v>6.6E-3</v>
      </c>
      <c r="F143">
        <v>0</v>
      </c>
      <c r="G143">
        <v>0</v>
      </c>
      <c r="H143">
        <v>31.28</v>
      </c>
      <c r="I143">
        <v>0.14610000000000001</v>
      </c>
      <c r="J143">
        <v>33.79</v>
      </c>
      <c r="K143">
        <v>0</v>
      </c>
      <c r="L143">
        <v>6.6600000000000006E-2</v>
      </c>
      <c r="M143">
        <v>0.1237</v>
      </c>
      <c r="N143">
        <v>101.126</v>
      </c>
      <c r="O143" t="s">
        <v>215</v>
      </c>
      <c r="P143" t="s">
        <v>24</v>
      </c>
      <c r="Q143">
        <f>I143-(K143*Standards!$I$15)</f>
        <v>0.14610000000000001</v>
      </c>
    </row>
    <row r="144" spans="1:23">
      <c r="A144">
        <v>64</v>
      </c>
      <c r="B144">
        <v>0</v>
      </c>
      <c r="C144">
        <v>0</v>
      </c>
      <c r="D144">
        <v>35.36</v>
      </c>
      <c r="E144">
        <v>8.3599999999999994E-2</v>
      </c>
      <c r="F144">
        <v>0</v>
      </c>
      <c r="G144">
        <v>0</v>
      </c>
      <c r="H144">
        <v>31.11</v>
      </c>
      <c r="I144">
        <v>0</v>
      </c>
      <c r="J144">
        <v>35.79</v>
      </c>
      <c r="K144">
        <v>0</v>
      </c>
      <c r="L144">
        <v>4.5100000000000001E-2</v>
      </c>
      <c r="M144">
        <v>0.13089999999999999</v>
      </c>
      <c r="N144">
        <v>102.51949999999999</v>
      </c>
      <c r="O144" t="s">
        <v>216</v>
      </c>
      <c r="P144" t="s">
        <v>24</v>
      </c>
      <c r="Q144">
        <f>I144-(K144*Standards!$I$15)</f>
        <v>0</v>
      </c>
    </row>
    <row r="145" spans="1:17">
      <c r="A145">
        <v>53</v>
      </c>
      <c r="B145">
        <v>0</v>
      </c>
      <c r="C145">
        <v>0</v>
      </c>
      <c r="D145">
        <v>35.590000000000003</v>
      </c>
      <c r="E145">
        <v>5.79E-2</v>
      </c>
      <c r="F145">
        <v>0</v>
      </c>
      <c r="G145">
        <v>0</v>
      </c>
      <c r="H145">
        <v>30.99</v>
      </c>
      <c r="I145">
        <v>0</v>
      </c>
      <c r="J145">
        <v>35.450000000000003</v>
      </c>
      <c r="K145">
        <v>0</v>
      </c>
      <c r="L145">
        <v>4.5999999999999999E-2</v>
      </c>
      <c r="M145">
        <v>0.14580000000000001</v>
      </c>
      <c r="N145">
        <v>102.2796</v>
      </c>
      <c r="O145" t="s">
        <v>216</v>
      </c>
      <c r="P145" t="s">
        <v>24</v>
      </c>
      <c r="Q145">
        <f>I145-(K145*Standards!$I$15)</f>
        <v>0</v>
      </c>
    </row>
    <row r="146" spans="1:17">
      <c r="A146">
        <v>65</v>
      </c>
      <c r="B146">
        <v>0</v>
      </c>
      <c r="C146">
        <v>0</v>
      </c>
      <c r="D146">
        <v>35.51</v>
      </c>
      <c r="E146">
        <v>8.7599999999999997E-2</v>
      </c>
      <c r="F146">
        <v>0</v>
      </c>
      <c r="G146">
        <v>0</v>
      </c>
      <c r="H146">
        <v>31.09</v>
      </c>
      <c r="I146">
        <v>0</v>
      </c>
      <c r="J146">
        <v>35.340000000000003</v>
      </c>
      <c r="K146">
        <v>0</v>
      </c>
      <c r="L146">
        <v>3.2199999999999999E-2</v>
      </c>
      <c r="M146">
        <v>0.15340000000000001</v>
      </c>
      <c r="N146">
        <v>102.2132</v>
      </c>
      <c r="O146" t="s">
        <v>216</v>
      </c>
      <c r="P146" t="s">
        <v>24</v>
      </c>
      <c r="Q146">
        <f>I146-(K146*Standards!$I$15)</f>
        <v>0</v>
      </c>
    </row>
    <row r="147" spans="1:17">
      <c r="A147">
        <v>54</v>
      </c>
      <c r="B147">
        <v>0</v>
      </c>
      <c r="C147">
        <v>0</v>
      </c>
      <c r="D147">
        <v>35.56</v>
      </c>
      <c r="E147">
        <v>6.5299999999999997E-2</v>
      </c>
      <c r="F147">
        <v>0</v>
      </c>
      <c r="G147">
        <v>0</v>
      </c>
      <c r="H147">
        <v>31.26</v>
      </c>
      <c r="I147">
        <v>0</v>
      </c>
      <c r="J147">
        <v>35.299999999999997</v>
      </c>
      <c r="K147">
        <v>0</v>
      </c>
      <c r="L147">
        <v>4.7699999999999999E-2</v>
      </c>
      <c r="M147">
        <v>0.1191</v>
      </c>
      <c r="N147">
        <v>102.35209999999999</v>
      </c>
      <c r="O147" t="s">
        <v>216</v>
      </c>
      <c r="P147" t="s">
        <v>24</v>
      </c>
      <c r="Q147">
        <f>I147-(K147*Standards!$I$15)</f>
        <v>0</v>
      </c>
    </row>
    <row r="148" spans="1:17">
      <c r="A148">
        <v>75</v>
      </c>
      <c r="B148">
        <v>0</v>
      </c>
      <c r="C148">
        <v>0</v>
      </c>
      <c r="D148">
        <v>35.700000000000003</v>
      </c>
      <c r="E148">
        <v>6.4000000000000001E-2</v>
      </c>
      <c r="F148">
        <v>0</v>
      </c>
      <c r="G148">
        <v>0</v>
      </c>
      <c r="H148">
        <v>31.28</v>
      </c>
      <c r="I148">
        <v>0</v>
      </c>
      <c r="J148">
        <v>35.270000000000003</v>
      </c>
      <c r="K148">
        <v>0</v>
      </c>
      <c r="L148">
        <v>3.9399999999999998E-2</v>
      </c>
      <c r="M148">
        <v>0.13519999999999999</v>
      </c>
      <c r="N148">
        <v>102.4885</v>
      </c>
      <c r="O148" t="s">
        <v>216</v>
      </c>
      <c r="P148" t="s">
        <v>24</v>
      </c>
      <c r="Q148">
        <f>I148-(K148*Standards!$I$15)</f>
        <v>0</v>
      </c>
    </row>
    <row r="149" spans="1:17">
      <c r="A149">
        <v>56</v>
      </c>
      <c r="B149">
        <v>0</v>
      </c>
      <c r="C149">
        <v>0</v>
      </c>
      <c r="D149">
        <v>35.520000000000003</v>
      </c>
      <c r="E149">
        <v>5.7500000000000002E-2</v>
      </c>
      <c r="F149">
        <v>0</v>
      </c>
      <c r="G149">
        <v>0</v>
      </c>
      <c r="H149">
        <v>31.12</v>
      </c>
      <c r="I149">
        <v>0</v>
      </c>
      <c r="J149">
        <v>35.22</v>
      </c>
      <c r="K149">
        <v>0</v>
      </c>
      <c r="L149">
        <v>3.2000000000000001E-2</v>
      </c>
      <c r="M149">
        <v>0.1242</v>
      </c>
      <c r="N149">
        <v>102.0736</v>
      </c>
      <c r="O149" t="s">
        <v>216</v>
      </c>
      <c r="P149" t="s">
        <v>24</v>
      </c>
      <c r="Q149">
        <f>I149-(K149*Standards!$I$15)</f>
        <v>0</v>
      </c>
    </row>
    <row r="150" spans="1:17">
      <c r="A150">
        <v>63</v>
      </c>
      <c r="B150">
        <v>4.5999999999999999E-3</v>
      </c>
      <c r="C150">
        <v>0</v>
      </c>
      <c r="D150">
        <v>35.51</v>
      </c>
      <c r="E150">
        <v>5.4899999999999997E-2</v>
      </c>
      <c r="F150">
        <v>0</v>
      </c>
      <c r="G150">
        <v>0</v>
      </c>
      <c r="H150">
        <v>31.52</v>
      </c>
      <c r="I150">
        <v>0</v>
      </c>
      <c r="J150">
        <v>35.22</v>
      </c>
      <c r="K150">
        <v>0</v>
      </c>
      <c r="L150">
        <v>0</v>
      </c>
      <c r="M150">
        <v>0.13969999999999999</v>
      </c>
      <c r="N150">
        <v>102.4492</v>
      </c>
      <c r="O150" t="s">
        <v>216</v>
      </c>
      <c r="P150" t="s">
        <v>24</v>
      </c>
      <c r="Q150">
        <f>I150-(K150*Standards!$I$15)</f>
        <v>0</v>
      </c>
    </row>
    <row r="151" spans="1:17">
      <c r="A151">
        <v>55</v>
      </c>
      <c r="B151">
        <v>0</v>
      </c>
      <c r="C151">
        <v>0</v>
      </c>
      <c r="D151">
        <v>35.659999999999997</v>
      </c>
      <c r="E151">
        <v>5.0200000000000002E-2</v>
      </c>
      <c r="F151">
        <v>0</v>
      </c>
      <c r="G151">
        <v>0</v>
      </c>
      <c r="H151">
        <v>31.1</v>
      </c>
      <c r="I151">
        <v>0</v>
      </c>
      <c r="J151">
        <v>35.21</v>
      </c>
      <c r="K151">
        <v>0</v>
      </c>
      <c r="L151">
        <v>3.4799999999999998E-2</v>
      </c>
      <c r="M151">
        <v>0.1113</v>
      </c>
      <c r="N151">
        <v>102.1662</v>
      </c>
      <c r="O151" t="s">
        <v>216</v>
      </c>
      <c r="P151" t="s">
        <v>24</v>
      </c>
      <c r="Q151">
        <f>I151-(K151*Standards!$I$15)</f>
        <v>0</v>
      </c>
    </row>
    <row r="152" spans="1:17">
      <c r="A152">
        <v>57</v>
      </c>
      <c r="B152">
        <v>0</v>
      </c>
      <c r="C152">
        <v>0</v>
      </c>
      <c r="D152">
        <v>35.619999999999997</v>
      </c>
      <c r="E152">
        <v>5.4800000000000001E-2</v>
      </c>
      <c r="F152">
        <v>0</v>
      </c>
      <c r="G152">
        <v>0</v>
      </c>
      <c r="H152">
        <v>31.05</v>
      </c>
      <c r="I152">
        <v>2.9999999999999997E-4</v>
      </c>
      <c r="J152">
        <v>35.200000000000003</v>
      </c>
      <c r="K152">
        <v>0</v>
      </c>
      <c r="L152">
        <v>5.5800000000000002E-2</v>
      </c>
      <c r="M152">
        <v>0.1608</v>
      </c>
      <c r="N152">
        <v>102.1416</v>
      </c>
      <c r="O152" t="s">
        <v>216</v>
      </c>
      <c r="P152" t="s">
        <v>24</v>
      </c>
      <c r="Q152">
        <f>I152-(K152*Standards!$I$15)</f>
        <v>2.9999999999999997E-4</v>
      </c>
    </row>
    <row r="153" spans="1:17">
      <c r="A153">
        <v>76</v>
      </c>
      <c r="B153">
        <v>0</v>
      </c>
      <c r="C153">
        <v>0</v>
      </c>
      <c r="D153">
        <v>35.54</v>
      </c>
      <c r="E153">
        <v>5.7299999999999997E-2</v>
      </c>
      <c r="F153">
        <v>0</v>
      </c>
      <c r="G153">
        <v>0</v>
      </c>
      <c r="H153">
        <v>31.18</v>
      </c>
      <c r="I153">
        <v>0</v>
      </c>
      <c r="J153">
        <v>35.119999999999997</v>
      </c>
      <c r="K153">
        <v>0</v>
      </c>
      <c r="L153">
        <v>6.3399999999999998E-2</v>
      </c>
      <c r="M153">
        <v>0.13619999999999999</v>
      </c>
      <c r="N153">
        <v>102.0968</v>
      </c>
      <c r="O153" t="s">
        <v>216</v>
      </c>
      <c r="P153" t="s">
        <v>24</v>
      </c>
      <c r="Q153">
        <f>I153-(K153*Standards!$I$15)</f>
        <v>0</v>
      </c>
    </row>
    <row r="154" spans="1:17">
      <c r="A154">
        <v>67</v>
      </c>
      <c r="B154">
        <v>0</v>
      </c>
      <c r="C154">
        <v>0</v>
      </c>
      <c r="D154">
        <v>35.51</v>
      </c>
      <c r="E154">
        <v>5.6599999999999998E-2</v>
      </c>
      <c r="F154">
        <v>0</v>
      </c>
      <c r="G154">
        <v>0</v>
      </c>
      <c r="H154">
        <v>31.21</v>
      </c>
      <c r="I154">
        <v>1.2999999999999999E-3</v>
      </c>
      <c r="J154">
        <v>35.1</v>
      </c>
      <c r="K154">
        <v>0</v>
      </c>
      <c r="L154">
        <v>1.0999999999999999E-2</v>
      </c>
      <c r="M154">
        <v>0.13689999999999999</v>
      </c>
      <c r="N154">
        <v>102.0257</v>
      </c>
      <c r="O154" t="s">
        <v>216</v>
      </c>
      <c r="P154" t="s">
        <v>24</v>
      </c>
      <c r="Q154">
        <f>I154-(K154*Standards!$I$15)</f>
        <v>1.2999999999999999E-3</v>
      </c>
    </row>
    <row r="155" spans="1:17">
      <c r="A155">
        <v>77</v>
      </c>
      <c r="B155">
        <v>0</v>
      </c>
      <c r="C155">
        <v>0</v>
      </c>
      <c r="D155">
        <v>35.630000000000003</v>
      </c>
      <c r="E155">
        <v>5.4899999999999997E-2</v>
      </c>
      <c r="F155">
        <v>0</v>
      </c>
      <c r="G155">
        <v>0</v>
      </c>
      <c r="H155">
        <v>31.22</v>
      </c>
      <c r="I155">
        <v>0</v>
      </c>
      <c r="J155">
        <v>35.08</v>
      </c>
      <c r="K155">
        <v>0</v>
      </c>
      <c r="L155">
        <v>5.5E-2</v>
      </c>
      <c r="M155">
        <v>0.1119</v>
      </c>
      <c r="N155">
        <v>102.15170000000001</v>
      </c>
      <c r="O155" t="s">
        <v>216</v>
      </c>
      <c r="P155" t="s">
        <v>24</v>
      </c>
      <c r="Q155">
        <f>I155-(K155*Standards!$I$15)</f>
        <v>0</v>
      </c>
    </row>
    <row r="156" spans="1:17">
      <c r="A156">
        <v>66</v>
      </c>
      <c r="B156">
        <v>0</v>
      </c>
      <c r="C156">
        <v>0</v>
      </c>
      <c r="D156">
        <v>35.64</v>
      </c>
      <c r="E156">
        <v>8.6400000000000005E-2</v>
      </c>
      <c r="F156">
        <v>0</v>
      </c>
      <c r="G156">
        <v>0</v>
      </c>
      <c r="H156">
        <v>31.53</v>
      </c>
      <c r="I156">
        <v>0</v>
      </c>
      <c r="J156">
        <v>35.03</v>
      </c>
      <c r="K156">
        <v>0</v>
      </c>
      <c r="L156">
        <v>5.0799999999999998E-2</v>
      </c>
      <c r="M156">
        <v>0.13189999999999999</v>
      </c>
      <c r="N156">
        <v>102.46899999999999</v>
      </c>
      <c r="O156" t="s">
        <v>216</v>
      </c>
      <c r="P156" t="s">
        <v>24</v>
      </c>
      <c r="Q156">
        <f>I156-(K156*Standards!$I$15)</f>
        <v>0</v>
      </c>
    </row>
    <row r="157" spans="1:17">
      <c r="A157">
        <v>55</v>
      </c>
      <c r="B157">
        <v>0</v>
      </c>
      <c r="C157">
        <v>0</v>
      </c>
      <c r="D157">
        <v>35.299999999999997</v>
      </c>
      <c r="E157">
        <v>2E-3</v>
      </c>
      <c r="F157">
        <v>0</v>
      </c>
      <c r="G157">
        <v>0</v>
      </c>
      <c r="H157">
        <v>31.62</v>
      </c>
      <c r="I157">
        <v>6.88E-2</v>
      </c>
      <c r="J157">
        <v>32.08</v>
      </c>
      <c r="K157">
        <v>0</v>
      </c>
      <c r="L157">
        <v>6.6199999999999995E-2</v>
      </c>
      <c r="M157">
        <v>0.11550000000000001</v>
      </c>
      <c r="N157">
        <v>99.252600000000001</v>
      </c>
      <c r="O157" t="s">
        <v>217</v>
      </c>
      <c r="P157" t="s">
        <v>24</v>
      </c>
      <c r="Q157">
        <f>I157-(K157*Standards!$I$15)</f>
        <v>6.88E-2</v>
      </c>
    </row>
    <row r="158" spans="1:17">
      <c r="A158">
        <v>53</v>
      </c>
      <c r="B158">
        <v>0</v>
      </c>
      <c r="C158">
        <v>0</v>
      </c>
      <c r="D158">
        <v>35.44</v>
      </c>
      <c r="E158">
        <v>0</v>
      </c>
      <c r="F158">
        <v>0</v>
      </c>
      <c r="G158">
        <v>0</v>
      </c>
      <c r="H158">
        <v>31.1</v>
      </c>
      <c r="I158">
        <v>5.8900000000000001E-2</v>
      </c>
      <c r="J158">
        <v>32.92</v>
      </c>
      <c r="K158">
        <v>0</v>
      </c>
      <c r="L158">
        <v>7.4800000000000005E-2</v>
      </c>
      <c r="M158">
        <v>0.1182</v>
      </c>
      <c r="N158">
        <v>99.712000000000003</v>
      </c>
      <c r="O158" t="s">
        <v>217</v>
      </c>
      <c r="P158" t="s">
        <v>24</v>
      </c>
      <c r="Q158">
        <f>I158-(K158*Standards!$I$15)</f>
        <v>5.8900000000000001E-2</v>
      </c>
    </row>
    <row r="159" spans="1:17">
      <c r="A159">
        <v>54</v>
      </c>
      <c r="B159">
        <v>0</v>
      </c>
      <c r="C159">
        <v>0</v>
      </c>
      <c r="D159">
        <v>35.4</v>
      </c>
      <c r="E159">
        <v>1.7100000000000001E-2</v>
      </c>
      <c r="F159">
        <v>4.0000000000000002E-4</v>
      </c>
      <c r="G159">
        <v>0</v>
      </c>
      <c r="H159">
        <v>31.09</v>
      </c>
      <c r="I159">
        <v>5.3999999999999999E-2</v>
      </c>
      <c r="J159">
        <v>32.950000000000003</v>
      </c>
      <c r="K159">
        <v>0</v>
      </c>
      <c r="L159">
        <v>7.46E-2</v>
      </c>
      <c r="M159">
        <v>0.13489999999999999</v>
      </c>
      <c r="N159">
        <v>99.721100000000007</v>
      </c>
      <c r="O159" t="s">
        <v>217</v>
      </c>
      <c r="P159" t="s">
        <v>24</v>
      </c>
      <c r="Q159">
        <f>I159-(K159*Standards!$I$15)</f>
        <v>5.3999999999999999E-2</v>
      </c>
    </row>
    <row r="160" spans="1:17">
      <c r="A160">
        <v>57</v>
      </c>
      <c r="B160">
        <v>0</v>
      </c>
      <c r="C160">
        <v>0</v>
      </c>
      <c r="D160">
        <v>35.340000000000003</v>
      </c>
      <c r="E160">
        <v>1.3299999999999999E-2</v>
      </c>
      <c r="F160">
        <v>0</v>
      </c>
      <c r="G160">
        <v>0</v>
      </c>
      <c r="H160">
        <v>31.6</v>
      </c>
      <c r="I160">
        <v>5.33E-2</v>
      </c>
      <c r="J160">
        <v>29.84</v>
      </c>
      <c r="K160">
        <v>0</v>
      </c>
      <c r="L160">
        <v>2.24E-2</v>
      </c>
      <c r="M160">
        <v>0.13950000000000001</v>
      </c>
      <c r="N160">
        <v>97.008600000000001</v>
      </c>
      <c r="O160" t="s">
        <v>217</v>
      </c>
      <c r="P160" t="s">
        <v>24</v>
      </c>
      <c r="Q160">
        <f>I160-(K160*Standards!$I$15)</f>
        <v>5.33E-2</v>
      </c>
    </row>
    <row r="161" spans="1:17">
      <c r="A161">
        <v>59</v>
      </c>
      <c r="B161">
        <v>0</v>
      </c>
      <c r="C161">
        <v>0</v>
      </c>
      <c r="D161">
        <v>35.35</v>
      </c>
      <c r="E161">
        <v>7.4999999999999997E-3</v>
      </c>
      <c r="F161">
        <v>0</v>
      </c>
      <c r="G161">
        <v>0</v>
      </c>
      <c r="H161">
        <v>31.22</v>
      </c>
      <c r="I161">
        <v>5.2200000000000003E-2</v>
      </c>
      <c r="J161">
        <v>30.79</v>
      </c>
      <c r="K161">
        <v>0</v>
      </c>
      <c r="L161">
        <v>4.07E-2</v>
      </c>
      <c r="M161">
        <v>0.1111</v>
      </c>
      <c r="N161">
        <v>97.571600000000004</v>
      </c>
      <c r="O161" t="s">
        <v>217</v>
      </c>
      <c r="P161" t="s">
        <v>24</v>
      </c>
      <c r="Q161">
        <f>I161-(K161*Standards!$I$15)</f>
        <v>5.2200000000000003E-2</v>
      </c>
    </row>
    <row r="162" spans="1:17">
      <c r="A162">
        <v>56</v>
      </c>
      <c r="B162">
        <v>0</v>
      </c>
      <c r="C162">
        <v>0</v>
      </c>
      <c r="D162">
        <v>35.200000000000003</v>
      </c>
      <c r="E162">
        <v>1.01E-2</v>
      </c>
      <c r="F162">
        <v>0</v>
      </c>
      <c r="G162">
        <v>2.5000000000000001E-3</v>
      </c>
      <c r="H162">
        <v>31.27</v>
      </c>
      <c r="I162">
        <v>4.7800000000000002E-2</v>
      </c>
      <c r="J162">
        <v>32.22</v>
      </c>
      <c r="K162">
        <v>0</v>
      </c>
      <c r="L162">
        <v>5.45E-2</v>
      </c>
      <c r="M162">
        <v>0.10580000000000001</v>
      </c>
      <c r="N162">
        <v>98.910799999999995</v>
      </c>
      <c r="O162" t="s">
        <v>217</v>
      </c>
      <c r="P162" t="s">
        <v>24</v>
      </c>
      <c r="Q162">
        <f>I162-(K162*Standards!$I$15)</f>
        <v>4.7800000000000002E-2</v>
      </c>
    </row>
    <row r="163" spans="1:17">
      <c r="A163">
        <v>52</v>
      </c>
      <c r="B163">
        <v>0</v>
      </c>
      <c r="C163">
        <v>0</v>
      </c>
      <c r="D163">
        <v>35.43</v>
      </c>
      <c r="E163">
        <v>5.7999999999999996E-3</v>
      </c>
      <c r="F163">
        <v>0</v>
      </c>
      <c r="G163">
        <v>0</v>
      </c>
      <c r="H163">
        <v>31</v>
      </c>
      <c r="I163">
        <v>4.7800000000000002E-2</v>
      </c>
      <c r="J163">
        <v>33.04</v>
      </c>
      <c r="K163">
        <v>0</v>
      </c>
      <c r="L163">
        <v>5.4800000000000001E-2</v>
      </c>
      <c r="M163">
        <v>0.10929999999999999</v>
      </c>
      <c r="N163">
        <v>99.687799999999996</v>
      </c>
      <c r="O163" t="s">
        <v>217</v>
      </c>
      <c r="P163" t="s">
        <v>24</v>
      </c>
      <c r="Q163">
        <f>I163-(K163*Standards!$I$15)</f>
        <v>4.7800000000000002E-2</v>
      </c>
    </row>
    <row r="164" spans="1:17">
      <c r="A164">
        <v>66</v>
      </c>
      <c r="B164">
        <v>0</v>
      </c>
      <c r="C164">
        <v>0</v>
      </c>
      <c r="D164">
        <v>35.25</v>
      </c>
      <c r="E164">
        <v>0</v>
      </c>
      <c r="F164">
        <v>0</v>
      </c>
      <c r="G164">
        <v>0</v>
      </c>
      <c r="H164">
        <v>31.5</v>
      </c>
      <c r="I164">
        <v>4.6399999999999997E-2</v>
      </c>
      <c r="J164">
        <v>28.68</v>
      </c>
      <c r="K164">
        <v>0</v>
      </c>
      <c r="L164">
        <v>6.1400000000000003E-2</v>
      </c>
      <c r="M164">
        <v>0.1212</v>
      </c>
      <c r="N164">
        <v>95.659099999999995</v>
      </c>
      <c r="O164" t="s">
        <v>217</v>
      </c>
      <c r="P164" t="s">
        <v>24</v>
      </c>
      <c r="Q164">
        <f>I164-(K164*Standards!$I$15)</f>
        <v>4.6399999999999997E-2</v>
      </c>
    </row>
    <row r="165" spans="1:17">
      <c r="A165">
        <v>62</v>
      </c>
      <c r="B165">
        <v>1.6000000000000001E-3</v>
      </c>
      <c r="C165">
        <v>0</v>
      </c>
      <c r="D165">
        <v>35.270000000000003</v>
      </c>
      <c r="E165">
        <v>8.6999999999999994E-3</v>
      </c>
      <c r="F165">
        <v>0</v>
      </c>
      <c r="G165">
        <v>0</v>
      </c>
      <c r="H165">
        <v>31.21</v>
      </c>
      <c r="I165">
        <v>2.5499999999999998E-2</v>
      </c>
      <c r="J165">
        <v>29.37</v>
      </c>
      <c r="K165">
        <v>0</v>
      </c>
      <c r="L165">
        <v>2.0299999999999999E-2</v>
      </c>
      <c r="M165">
        <v>0.107</v>
      </c>
      <c r="N165">
        <v>96.013199999999998</v>
      </c>
      <c r="O165" t="s">
        <v>217</v>
      </c>
      <c r="P165" t="s">
        <v>24</v>
      </c>
      <c r="Q165">
        <f>I165-(K165*Standards!$I$15)</f>
        <v>2.5499999999999998E-2</v>
      </c>
    </row>
    <row r="166" spans="1:17">
      <c r="A166">
        <v>70</v>
      </c>
      <c r="B166">
        <v>0</v>
      </c>
      <c r="C166">
        <v>0</v>
      </c>
      <c r="D166">
        <v>35.549999999999997</v>
      </c>
      <c r="E166">
        <v>0</v>
      </c>
      <c r="F166">
        <v>0</v>
      </c>
      <c r="G166">
        <v>0</v>
      </c>
      <c r="H166">
        <v>30.48</v>
      </c>
      <c r="I166">
        <v>0.12690000000000001</v>
      </c>
      <c r="J166">
        <v>31.66</v>
      </c>
      <c r="K166">
        <v>0</v>
      </c>
      <c r="L166">
        <v>1.3299999999999999E-2</v>
      </c>
      <c r="M166">
        <v>0.1101</v>
      </c>
      <c r="N166">
        <v>97.940299999999993</v>
      </c>
      <c r="O166" t="s">
        <v>218</v>
      </c>
      <c r="P166" t="s">
        <v>24</v>
      </c>
      <c r="Q166">
        <f>I166-(K166*Standards!$I$15)</f>
        <v>0.12690000000000001</v>
      </c>
    </row>
    <row r="167" spans="1:17">
      <c r="A167">
        <v>87</v>
      </c>
      <c r="B167">
        <v>0</v>
      </c>
      <c r="C167">
        <v>0</v>
      </c>
      <c r="D167">
        <v>35.71</v>
      </c>
      <c r="E167">
        <v>7.7999999999999996E-3</v>
      </c>
      <c r="F167">
        <v>0</v>
      </c>
      <c r="G167">
        <v>0</v>
      </c>
      <c r="H167">
        <v>30.6</v>
      </c>
      <c r="I167">
        <v>0.1235</v>
      </c>
      <c r="J167">
        <v>31.66</v>
      </c>
      <c r="K167">
        <v>0</v>
      </c>
      <c r="L167">
        <v>5.11E-2</v>
      </c>
      <c r="M167">
        <v>0.1022</v>
      </c>
      <c r="N167">
        <v>98.2547</v>
      </c>
      <c r="O167" t="s">
        <v>218</v>
      </c>
      <c r="P167" t="s">
        <v>24</v>
      </c>
      <c r="Q167">
        <f>I167-(K167*Standards!$I$15)</f>
        <v>0.1235</v>
      </c>
    </row>
    <row r="168" spans="1:17">
      <c r="A168">
        <v>86</v>
      </c>
      <c r="B168">
        <v>0</v>
      </c>
      <c r="C168">
        <v>0</v>
      </c>
      <c r="D168">
        <v>35.21</v>
      </c>
      <c r="E168">
        <v>0</v>
      </c>
      <c r="F168">
        <v>0</v>
      </c>
      <c r="G168">
        <v>0</v>
      </c>
      <c r="H168">
        <v>30.57</v>
      </c>
      <c r="I168">
        <v>0.1087</v>
      </c>
      <c r="J168">
        <v>31.61</v>
      </c>
      <c r="K168">
        <v>0</v>
      </c>
      <c r="L168">
        <v>4.2900000000000001E-2</v>
      </c>
      <c r="M168">
        <v>0.1009</v>
      </c>
      <c r="N168">
        <v>97.642600000000002</v>
      </c>
      <c r="O168" t="s">
        <v>218</v>
      </c>
      <c r="P168" t="s">
        <v>24</v>
      </c>
      <c r="Q168">
        <f>I168-(K168*Standards!$I$15)</f>
        <v>0.1087</v>
      </c>
    </row>
    <row r="169" spans="1:17">
      <c r="A169">
        <v>85</v>
      </c>
      <c r="B169">
        <v>0</v>
      </c>
      <c r="C169">
        <v>0</v>
      </c>
      <c r="D169">
        <v>35.200000000000003</v>
      </c>
      <c r="E169">
        <v>0</v>
      </c>
      <c r="F169">
        <v>0</v>
      </c>
      <c r="G169">
        <v>0</v>
      </c>
      <c r="H169">
        <v>30.37</v>
      </c>
      <c r="I169">
        <v>0.13070000000000001</v>
      </c>
      <c r="J169">
        <v>31.56</v>
      </c>
      <c r="K169">
        <v>0</v>
      </c>
      <c r="L169">
        <v>9.4999999999999998E-3</v>
      </c>
      <c r="M169">
        <v>0.1148</v>
      </c>
      <c r="N169">
        <v>97.385000000000005</v>
      </c>
      <c r="O169" t="s">
        <v>218</v>
      </c>
      <c r="P169" t="s">
        <v>24</v>
      </c>
      <c r="Q169">
        <f>I169-(K169*Standards!$I$15)</f>
        <v>0.13070000000000001</v>
      </c>
    </row>
    <row r="170" spans="1:17">
      <c r="A170">
        <v>84</v>
      </c>
      <c r="B170">
        <v>2.0000000000000001E-4</v>
      </c>
      <c r="C170">
        <v>0</v>
      </c>
      <c r="D170">
        <v>35.29</v>
      </c>
      <c r="E170">
        <v>2.9999999999999997E-4</v>
      </c>
      <c r="F170">
        <v>0</v>
      </c>
      <c r="G170">
        <v>0</v>
      </c>
      <c r="H170">
        <v>30.57</v>
      </c>
      <c r="I170">
        <v>9.9299999999999999E-2</v>
      </c>
      <c r="J170">
        <v>31.45</v>
      </c>
      <c r="K170">
        <v>0</v>
      </c>
      <c r="L170">
        <v>3.78E-2</v>
      </c>
      <c r="M170">
        <v>0.11650000000000001</v>
      </c>
      <c r="N170">
        <v>97.5642</v>
      </c>
      <c r="O170" t="s">
        <v>218</v>
      </c>
      <c r="P170" t="s">
        <v>24</v>
      </c>
      <c r="Q170">
        <f>I170-(K170*Standards!$I$15)</f>
        <v>9.9299999999999999E-2</v>
      </c>
    </row>
    <row r="171" spans="1:17">
      <c r="A171">
        <v>71</v>
      </c>
      <c r="B171">
        <v>0</v>
      </c>
      <c r="C171">
        <v>0</v>
      </c>
      <c r="D171">
        <v>35.26</v>
      </c>
      <c r="E171">
        <v>0</v>
      </c>
      <c r="F171">
        <v>0</v>
      </c>
      <c r="G171">
        <v>0</v>
      </c>
      <c r="H171">
        <v>30.39</v>
      </c>
      <c r="I171">
        <v>0.12989999999999999</v>
      </c>
      <c r="J171">
        <v>31.32</v>
      </c>
      <c r="K171">
        <v>0</v>
      </c>
      <c r="L171">
        <v>3.9600000000000003E-2</v>
      </c>
      <c r="M171">
        <v>0.1032</v>
      </c>
      <c r="N171">
        <v>97.242699999999999</v>
      </c>
      <c r="O171" t="s">
        <v>218</v>
      </c>
      <c r="P171" t="s">
        <v>24</v>
      </c>
      <c r="Q171">
        <f>I171-(K171*Standards!$I$15)</f>
        <v>0.12989999999999999</v>
      </c>
    </row>
    <row r="172" spans="1:17">
      <c r="A172">
        <v>93</v>
      </c>
      <c r="B172">
        <v>0</v>
      </c>
      <c r="C172">
        <v>0</v>
      </c>
      <c r="D172">
        <v>35.43</v>
      </c>
      <c r="E172">
        <v>0</v>
      </c>
      <c r="F172">
        <v>0</v>
      </c>
      <c r="G172">
        <v>0</v>
      </c>
      <c r="H172">
        <v>30.52</v>
      </c>
      <c r="I172">
        <v>0.125</v>
      </c>
      <c r="J172">
        <v>31.26</v>
      </c>
      <c r="K172">
        <v>0</v>
      </c>
      <c r="L172">
        <v>0.182</v>
      </c>
      <c r="M172">
        <v>0.1154</v>
      </c>
      <c r="N172">
        <v>97.632499999999993</v>
      </c>
      <c r="O172" t="s">
        <v>218</v>
      </c>
      <c r="P172" t="s">
        <v>24</v>
      </c>
      <c r="Q172">
        <f>I172-(K172*Standards!$I$15)</f>
        <v>0.125</v>
      </c>
    </row>
    <row r="173" spans="1:17">
      <c r="A173">
        <v>83</v>
      </c>
      <c r="B173">
        <v>0</v>
      </c>
      <c r="C173">
        <v>0</v>
      </c>
      <c r="D173">
        <v>35.200000000000003</v>
      </c>
      <c r="E173">
        <v>0</v>
      </c>
      <c r="F173">
        <v>0</v>
      </c>
      <c r="G173">
        <v>0</v>
      </c>
      <c r="H173">
        <v>30.71</v>
      </c>
      <c r="I173">
        <v>0.12520000000000001</v>
      </c>
      <c r="J173">
        <v>31.21</v>
      </c>
      <c r="K173">
        <v>0</v>
      </c>
      <c r="L173">
        <v>4.41E-2</v>
      </c>
      <c r="M173">
        <v>0.12839999999999999</v>
      </c>
      <c r="N173">
        <v>97.4178</v>
      </c>
      <c r="O173" t="s">
        <v>218</v>
      </c>
      <c r="P173" t="s">
        <v>24</v>
      </c>
      <c r="Q173">
        <f>I173-(K173*Standards!$I$15)</f>
        <v>0.12520000000000001</v>
      </c>
    </row>
    <row r="174" spans="1:17">
      <c r="A174">
        <v>74</v>
      </c>
      <c r="B174">
        <v>0</v>
      </c>
      <c r="C174">
        <v>0</v>
      </c>
      <c r="D174">
        <v>35.35</v>
      </c>
      <c r="E174">
        <v>0</v>
      </c>
      <c r="F174">
        <v>0</v>
      </c>
      <c r="G174">
        <v>0</v>
      </c>
      <c r="H174">
        <v>30.67</v>
      </c>
      <c r="I174">
        <v>0.13669999999999999</v>
      </c>
      <c r="J174">
        <v>31.18</v>
      </c>
      <c r="K174">
        <v>0</v>
      </c>
      <c r="L174">
        <v>2.8500000000000001E-2</v>
      </c>
      <c r="M174">
        <v>0.11799999999999999</v>
      </c>
      <c r="N174">
        <v>97.4833</v>
      </c>
      <c r="O174" t="s">
        <v>218</v>
      </c>
      <c r="P174" t="s">
        <v>24</v>
      </c>
      <c r="Q174">
        <f>I174-(K174*Standards!$I$15)</f>
        <v>0.13669999999999999</v>
      </c>
    </row>
    <row r="175" spans="1:17">
      <c r="A175">
        <v>73</v>
      </c>
      <c r="B175">
        <v>0</v>
      </c>
      <c r="C175">
        <v>0</v>
      </c>
      <c r="D175">
        <v>35.44</v>
      </c>
      <c r="E175">
        <v>0</v>
      </c>
      <c r="F175">
        <v>0</v>
      </c>
      <c r="G175">
        <v>0</v>
      </c>
      <c r="H175">
        <v>30.4</v>
      </c>
      <c r="I175">
        <v>0.1401</v>
      </c>
      <c r="J175">
        <v>31.08</v>
      </c>
      <c r="K175">
        <v>0</v>
      </c>
      <c r="L175">
        <v>8.8099999999999998E-2</v>
      </c>
      <c r="M175">
        <v>0.1416</v>
      </c>
      <c r="N175">
        <v>97.2898</v>
      </c>
      <c r="O175" t="s">
        <v>218</v>
      </c>
      <c r="P175" t="s">
        <v>24</v>
      </c>
      <c r="Q175">
        <f>I175-(K175*Standards!$I$15)</f>
        <v>0.1401</v>
      </c>
    </row>
    <row r="176" spans="1:17">
      <c r="A176">
        <v>94</v>
      </c>
      <c r="B176">
        <v>0</v>
      </c>
      <c r="C176">
        <v>0</v>
      </c>
      <c r="D176">
        <v>35.39</v>
      </c>
      <c r="E176">
        <v>0</v>
      </c>
      <c r="F176">
        <v>0</v>
      </c>
      <c r="G176">
        <v>0</v>
      </c>
      <c r="H176">
        <v>30.78</v>
      </c>
      <c r="I176">
        <v>0.1162</v>
      </c>
      <c r="J176">
        <v>30.84</v>
      </c>
      <c r="K176">
        <v>0</v>
      </c>
      <c r="L176">
        <v>6.8099999999999994E-2</v>
      </c>
      <c r="M176">
        <v>9.5600000000000004E-2</v>
      </c>
      <c r="N176">
        <v>97.29</v>
      </c>
      <c r="O176" t="s">
        <v>218</v>
      </c>
      <c r="P176" t="s">
        <v>24</v>
      </c>
      <c r="Q176">
        <f>I176-(K176*Standards!$I$15)</f>
        <v>0.1162</v>
      </c>
    </row>
    <row r="177" spans="1:23">
      <c r="A177">
        <v>72</v>
      </c>
      <c r="B177">
        <v>0</v>
      </c>
      <c r="C177">
        <v>0</v>
      </c>
      <c r="D177">
        <v>35.5</v>
      </c>
      <c r="E177">
        <v>8.9999999999999998E-4</v>
      </c>
      <c r="F177">
        <v>0</v>
      </c>
      <c r="G177">
        <v>0</v>
      </c>
      <c r="H177">
        <v>30.85</v>
      </c>
      <c r="I177">
        <v>0.12039999999999999</v>
      </c>
      <c r="J177">
        <v>30.79</v>
      </c>
      <c r="K177">
        <v>0</v>
      </c>
      <c r="L177">
        <v>2.5000000000000001E-2</v>
      </c>
      <c r="M177">
        <v>0.10879999999999999</v>
      </c>
      <c r="N177">
        <v>97.395200000000003</v>
      </c>
      <c r="O177" t="s">
        <v>218</v>
      </c>
      <c r="P177" t="s">
        <v>24</v>
      </c>
      <c r="Q177">
        <f>I177-(K177*Standards!$I$15)</f>
        <v>0.12039999999999999</v>
      </c>
    </row>
    <row r="178" spans="1:23">
      <c r="A178">
        <v>95</v>
      </c>
      <c r="B178">
        <v>0</v>
      </c>
      <c r="C178">
        <v>0</v>
      </c>
      <c r="D178">
        <v>35.24</v>
      </c>
      <c r="E178">
        <v>9.4000000000000004E-3</v>
      </c>
      <c r="F178">
        <v>0</v>
      </c>
      <c r="G178">
        <v>0</v>
      </c>
      <c r="H178">
        <v>30.78</v>
      </c>
      <c r="I178">
        <v>0.1021</v>
      </c>
      <c r="J178">
        <v>30.61</v>
      </c>
      <c r="K178">
        <v>0</v>
      </c>
      <c r="L178">
        <v>2.58E-2</v>
      </c>
      <c r="M178">
        <v>8.2699999999999996E-2</v>
      </c>
      <c r="N178">
        <v>96.850099999999998</v>
      </c>
      <c r="O178" t="s">
        <v>218</v>
      </c>
      <c r="P178" t="s">
        <v>24</v>
      </c>
      <c r="Q178">
        <f>I178-(K178*Standards!$I$15)</f>
        <v>0.1021</v>
      </c>
    </row>
    <row r="179" spans="1:23">
      <c r="A179">
        <v>88</v>
      </c>
      <c r="B179">
        <v>0</v>
      </c>
      <c r="C179">
        <v>0</v>
      </c>
      <c r="D179">
        <v>35.64</v>
      </c>
      <c r="E179">
        <v>1.8200000000000001E-2</v>
      </c>
      <c r="F179">
        <v>0</v>
      </c>
      <c r="G179">
        <v>0</v>
      </c>
      <c r="H179">
        <v>30.72</v>
      </c>
      <c r="I179">
        <v>0.1178</v>
      </c>
      <c r="J179">
        <v>30.52</v>
      </c>
      <c r="K179">
        <v>0</v>
      </c>
      <c r="L179">
        <v>3.1800000000000002E-2</v>
      </c>
      <c r="M179">
        <v>0.1004</v>
      </c>
      <c r="N179">
        <v>97.148200000000003</v>
      </c>
      <c r="O179" t="s">
        <v>218</v>
      </c>
      <c r="P179" t="s">
        <v>24</v>
      </c>
      <c r="Q179">
        <f>I179-(K179*Standards!$I$15)</f>
        <v>0.1178</v>
      </c>
    </row>
    <row r="180" spans="1:23">
      <c r="A180">
        <v>69</v>
      </c>
      <c r="B180">
        <v>0</v>
      </c>
      <c r="C180">
        <v>0</v>
      </c>
      <c r="D180">
        <v>35.21</v>
      </c>
      <c r="E180">
        <v>0</v>
      </c>
      <c r="F180">
        <v>0</v>
      </c>
      <c r="G180">
        <v>1.4E-3</v>
      </c>
      <c r="H180">
        <v>33.840000000000003</v>
      </c>
      <c r="I180">
        <v>3.0000000000000001E-3</v>
      </c>
      <c r="J180">
        <v>35.69</v>
      </c>
      <c r="K180">
        <v>0</v>
      </c>
      <c r="L180">
        <v>3.9199999999999999E-2</v>
      </c>
      <c r="M180">
        <v>0.1618</v>
      </c>
      <c r="N180">
        <v>104.9453</v>
      </c>
      <c r="O180" t="s">
        <v>219</v>
      </c>
      <c r="P180" t="s">
        <v>24</v>
      </c>
      <c r="Q180">
        <f>I180-(K180*Standards!$I$15)</f>
        <v>3.0000000000000001E-3</v>
      </c>
    </row>
    <row r="181" spans="1:23">
      <c r="A181">
        <v>62</v>
      </c>
      <c r="B181">
        <v>0</v>
      </c>
      <c r="C181">
        <v>0</v>
      </c>
      <c r="D181">
        <v>35.21</v>
      </c>
      <c r="E181">
        <v>8.0999999999999996E-3</v>
      </c>
      <c r="F181">
        <v>0</v>
      </c>
      <c r="G181">
        <v>0</v>
      </c>
      <c r="H181">
        <v>33.68</v>
      </c>
      <c r="I181">
        <v>9.1000000000000004E-3</v>
      </c>
      <c r="J181">
        <v>35.549999999999997</v>
      </c>
      <c r="K181">
        <v>0</v>
      </c>
      <c r="L181">
        <v>4.3700000000000003E-2</v>
      </c>
      <c r="M181">
        <v>0.15160000000000001</v>
      </c>
      <c r="N181">
        <v>104.6525</v>
      </c>
      <c r="O181" t="s">
        <v>219</v>
      </c>
      <c r="P181" t="s">
        <v>24</v>
      </c>
      <c r="Q181">
        <f>I181-(K181*Standards!$I$15)</f>
        <v>9.1000000000000004E-3</v>
      </c>
    </row>
    <row r="182" spans="1:23">
      <c r="A182">
        <v>71</v>
      </c>
      <c r="B182">
        <v>8.2000000000000007E-3</v>
      </c>
      <c r="C182">
        <v>0</v>
      </c>
      <c r="D182">
        <v>35.340000000000003</v>
      </c>
      <c r="E182">
        <v>0</v>
      </c>
      <c r="F182">
        <v>0</v>
      </c>
      <c r="G182">
        <v>0</v>
      </c>
      <c r="H182">
        <v>33.57</v>
      </c>
      <c r="I182">
        <v>8.6E-3</v>
      </c>
      <c r="J182">
        <v>35.54</v>
      </c>
      <c r="K182">
        <v>0</v>
      </c>
      <c r="L182">
        <v>6.8699999999999997E-2</v>
      </c>
      <c r="M182">
        <v>0.1353</v>
      </c>
      <c r="N182">
        <v>104.6707</v>
      </c>
      <c r="O182" t="s">
        <v>219</v>
      </c>
      <c r="P182" t="s">
        <v>24</v>
      </c>
      <c r="Q182">
        <f>I182-(K182*Standards!$I$15)</f>
        <v>8.6E-3</v>
      </c>
    </row>
    <row r="183" spans="1:23">
      <c r="A183">
        <v>66</v>
      </c>
      <c r="B183">
        <v>5.4999999999999997E-3</v>
      </c>
      <c r="C183">
        <v>0</v>
      </c>
      <c r="D183">
        <v>35.200000000000003</v>
      </c>
      <c r="E183">
        <v>0</v>
      </c>
      <c r="F183">
        <v>0</v>
      </c>
      <c r="G183">
        <v>0</v>
      </c>
      <c r="H183">
        <v>33.79</v>
      </c>
      <c r="I183">
        <v>0</v>
      </c>
      <c r="J183">
        <v>35.53</v>
      </c>
      <c r="K183">
        <v>0</v>
      </c>
      <c r="L183">
        <v>6.6000000000000003E-2</v>
      </c>
      <c r="M183">
        <v>0.15629999999999999</v>
      </c>
      <c r="N183">
        <v>104.74769999999999</v>
      </c>
      <c r="O183" t="s">
        <v>219</v>
      </c>
      <c r="P183" t="s">
        <v>24</v>
      </c>
      <c r="Q183">
        <f>I183-(K183*Standards!$I$15)</f>
        <v>0</v>
      </c>
    </row>
    <row r="184" spans="1:23">
      <c r="A184">
        <v>64</v>
      </c>
      <c r="B184">
        <v>0</v>
      </c>
      <c r="C184">
        <v>0</v>
      </c>
      <c r="D184">
        <v>35.159999999999997</v>
      </c>
      <c r="E184">
        <v>0</v>
      </c>
      <c r="F184">
        <v>0</v>
      </c>
      <c r="G184">
        <v>0</v>
      </c>
      <c r="H184">
        <v>33.340000000000003</v>
      </c>
      <c r="I184">
        <v>3.2000000000000002E-3</v>
      </c>
      <c r="J184">
        <v>35.51</v>
      </c>
      <c r="K184">
        <v>0</v>
      </c>
      <c r="L184">
        <v>4.2799999999999998E-2</v>
      </c>
      <c r="M184">
        <v>0.1547</v>
      </c>
      <c r="N184">
        <v>104.2106</v>
      </c>
      <c r="O184" t="s">
        <v>219</v>
      </c>
      <c r="P184" t="s">
        <v>24</v>
      </c>
      <c r="Q184">
        <f>I184-(K184*Standards!$I$15)</f>
        <v>3.2000000000000002E-3</v>
      </c>
    </row>
    <row r="185" spans="1:23">
      <c r="A185">
        <v>68</v>
      </c>
      <c r="B185">
        <v>0</v>
      </c>
      <c r="C185">
        <v>0</v>
      </c>
      <c r="D185">
        <v>35.36</v>
      </c>
      <c r="E185">
        <v>1.4E-3</v>
      </c>
      <c r="F185">
        <v>0</v>
      </c>
      <c r="G185">
        <v>0</v>
      </c>
      <c r="H185">
        <v>33.76</v>
      </c>
      <c r="I185">
        <v>8.0000000000000002E-3</v>
      </c>
      <c r="J185">
        <v>35.479999999999997</v>
      </c>
      <c r="K185">
        <v>0</v>
      </c>
      <c r="L185">
        <v>3.7499999999999999E-2</v>
      </c>
      <c r="M185">
        <v>0.13150000000000001</v>
      </c>
      <c r="N185">
        <v>104.7784</v>
      </c>
      <c r="O185" t="s">
        <v>219</v>
      </c>
      <c r="P185" t="s">
        <v>24</v>
      </c>
      <c r="Q185">
        <f>I185-(K185*Standards!$I$15)</f>
        <v>8.0000000000000002E-3</v>
      </c>
    </row>
    <row r="186" spans="1:23">
      <c r="A186">
        <v>61</v>
      </c>
      <c r="B186">
        <v>0</v>
      </c>
      <c r="C186">
        <v>0</v>
      </c>
      <c r="D186">
        <v>35.26</v>
      </c>
      <c r="E186">
        <v>0</v>
      </c>
      <c r="F186">
        <v>0</v>
      </c>
      <c r="G186">
        <v>0</v>
      </c>
      <c r="H186">
        <v>33.72</v>
      </c>
      <c r="I186">
        <v>1.0800000000000001E-2</v>
      </c>
      <c r="J186">
        <v>35.47</v>
      </c>
      <c r="K186">
        <v>0</v>
      </c>
      <c r="L186">
        <v>3.0599999999999999E-2</v>
      </c>
      <c r="M186">
        <v>0.14749999999999999</v>
      </c>
      <c r="N186">
        <v>104.6388</v>
      </c>
      <c r="O186" t="s">
        <v>219</v>
      </c>
      <c r="P186" t="s">
        <v>24</v>
      </c>
      <c r="Q186">
        <f>I186-(K186*Standards!$I$15)</f>
        <v>1.0800000000000001E-2</v>
      </c>
    </row>
    <row r="187" spans="1:23">
      <c r="A187">
        <v>74</v>
      </c>
      <c r="B187">
        <v>0</v>
      </c>
      <c r="C187">
        <v>0</v>
      </c>
      <c r="D187">
        <v>35.19</v>
      </c>
      <c r="E187">
        <v>8.0000000000000002E-3</v>
      </c>
      <c r="F187">
        <v>0</v>
      </c>
      <c r="G187">
        <v>5.5999999999999999E-3</v>
      </c>
      <c r="H187">
        <v>33.840000000000003</v>
      </c>
      <c r="I187">
        <v>6.4000000000000003E-3</v>
      </c>
      <c r="J187">
        <v>35.450000000000003</v>
      </c>
      <c r="K187">
        <v>0</v>
      </c>
      <c r="L187">
        <v>7.2900000000000006E-2</v>
      </c>
      <c r="M187">
        <v>0.1676</v>
      </c>
      <c r="N187">
        <v>104.74039999999999</v>
      </c>
      <c r="O187" t="s">
        <v>219</v>
      </c>
      <c r="P187" t="s">
        <v>24</v>
      </c>
      <c r="Q187">
        <f>I187-(K187*Standards!$I$15)</f>
        <v>6.4000000000000003E-3</v>
      </c>
    </row>
    <row r="188" spans="1:23">
      <c r="A188">
        <v>63</v>
      </c>
      <c r="B188">
        <v>6.1000000000000004E-3</v>
      </c>
      <c r="C188">
        <v>0</v>
      </c>
      <c r="D188">
        <v>35.229999999999997</v>
      </c>
      <c r="E188">
        <v>0</v>
      </c>
      <c r="F188">
        <v>0</v>
      </c>
      <c r="G188">
        <v>0</v>
      </c>
      <c r="H188">
        <v>33.33</v>
      </c>
      <c r="I188">
        <v>1.0500000000000001E-2</v>
      </c>
      <c r="J188">
        <v>35.44</v>
      </c>
      <c r="K188">
        <v>0</v>
      </c>
      <c r="L188">
        <v>7.0300000000000001E-2</v>
      </c>
      <c r="M188">
        <v>0.14530000000000001</v>
      </c>
      <c r="N188">
        <v>104.2321</v>
      </c>
      <c r="O188" t="s">
        <v>219</v>
      </c>
      <c r="P188" t="s">
        <v>24</v>
      </c>
      <c r="Q188">
        <f>I188-(K188*Standards!$I$15)</f>
        <v>1.0500000000000001E-2</v>
      </c>
    </row>
    <row r="189" spans="1:23">
      <c r="A189">
        <v>67</v>
      </c>
      <c r="B189">
        <v>0.1603</v>
      </c>
      <c r="C189">
        <v>0</v>
      </c>
      <c r="D189">
        <v>34.99</v>
      </c>
      <c r="E189">
        <v>0</v>
      </c>
      <c r="F189">
        <v>0</v>
      </c>
      <c r="G189">
        <v>0</v>
      </c>
      <c r="H189">
        <v>33.840000000000003</v>
      </c>
      <c r="I189">
        <v>6.6E-3</v>
      </c>
      <c r="J189">
        <v>35.4</v>
      </c>
      <c r="K189">
        <v>0</v>
      </c>
      <c r="L189">
        <v>6.0100000000000001E-2</v>
      </c>
      <c r="M189">
        <v>0.17530000000000001</v>
      </c>
      <c r="N189">
        <v>104.6322</v>
      </c>
      <c r="O189" t="s">
        <v>219</v>
      </c>
      <c r="P189" t="s">
        <v>24</v>
      </c>
      <c r="Q189">
        <f>I189-(K189*Standards!$I$15)</f>
        <v>6.6E-3</v>
      </c>
    </row>
    <row r="190" spans="1:23">
      <c r="A190">
        <v>32</v>
      </c>
      <c r="B190">
        <v>1.1000000000000001E-3</v>
      </c>
      <c r="C190">
        <v>0</v>
      </c>
      <c r="D190">
        <v>35.979999999999997</v>
      </c>
      <c r="E190">
        <v>8.0000000000000004E-4</v>
      </c>
      <c r="F190">
        <v>0</v>
      </c>
      <c r="G190">
        <v>0</v>
      </c>
      <c r="H190">
        <v>31.21</v>
      </c>
      <c r="I190">
        <v>0</v>
      </c>
      <c r="J190">
        <v>34.68</v>
      </c>
      <c r="K190">
        <v>0</v>
      </c>
      <c r="L190">
        <v>2.8999999999999998E-3</v>
      </c>
      <c r="M190">
        <v>0.15010000000000001</v>
      </c>
      <c r="N190">
        <v>102.0248</v>
      </c>
      <c r="O190" t="s">
        <v>220</v>
      </c>
      <c r="P190" t="s">
        <v>157</v>
      </c>
      <c r="Q190">
        <f>I190-(K190*Standards!$I$15)</f>
        <v>0</v>
      </c>
      <c r="R190" t="s">
        <v>157</v>
      </c>
      <c r="S190">
        <f>COUNT(Q190:Q201)</f>
        <v>12</v>
      </c>
      <c r="T190">
        <f>MAX(L190:L201)</f>
        <v>4.4999999999999998E-2</v>
      </c>
      <c r="U190">
        <f>AVERAGE(L190:L201)</f>
        <v>2.1125000000000001E-2</v>
      </c>
      <c r="V190">
        <f>10000*MAX(Q190:Q201)</f>
        <v>2</v>
      </c>
      <c r="W190">
        <f>10000*AVERAGE(Q190:Q201)</f>
        <v>0.16666666666666669</v>
      </c>
    </row>
    <row r="191" spans="1:23">
      <c r="A191">
        <v>1</v>
      </c>
      <c r="B191">
        <v>0</v>
      </c>
      <c r="C191">
        <v>0</v>
      </c>
      <c r="D191">
        <v>36.04</v>
      </c>
      <c r="E191">
        <v>1E-4</v>
      </c>
      <c r="F191">
        <v>0</v>
      </c>
      <c r="G191">
        <v>0</v>
      </c>
      <c r="H191">
        <v>31.73</v>
      </c>
      <c r="I191">
        <v>0</v>
      </c>
      <c r="J191">
        <v>35.04</v>
      </c>
      <c r="K191">
        <v>0</v>
      </c>
      <c r="L191">
        <v>1.7500000000000002E-2</v>
      </c>
      <c r="M191">
        <v>0.19159999999999999</v>
      </c>
      <c r="N191">
        <v>103.01909999999999</v>
      </c>
      <c r="O191" t="s">
        <v>221</v>
      </c>
      <c r="P191" t="s">
        <v>157</v>
      </c>
      <c r="Q191">
        <f>I191-(K191*Standards!$I$15)</f>
        <v>0</v>
      </c>
    </row>
    <row r="192" spans="1:23">
      <c r="A192">
        <v>51</v>
      </c>
      <c r="B192">
        <v>0</v>
      </c>
      <c r="C192">
        <v>0</v>
      </c>
      <c r="D192">
        <v>35.83</v>
      </c>
      <c r="E192">
        <v>5.1000000000000004E-3</v>
      </c>
      <c r="F192">
        <v>0</v>
      </c>
      <c r="G192">
        <v>0</v>
      </c>
      <c r="H192">
        <v>30.91</v>
      </c>
      <c r="I192">
        <v>2.0000000000000001E-4</v>
      </c>
      <c r="J192">
        <v>34.89</v>
      </c>
      <c r="K192">
        <v>0</v>
      </c>
      <c r="L192">
        <v>1.46E-2</v>
      </c>
      <c r="M192">
        <v>0.1391</v>
      </c>
      <c r="N192">
        <v>101.7889</v>
      </c>
      <c r="O192" t="s">
        <v>222</v>
      </c>
      <c r="P192" t="s">
        <v>157</v>
      </c>
      <c r="Q192">
        <f>I192-(K192*Standards!$I$15)</f>
        <v>2.0000000000000001E-4</v>
      </c>
    </row>
    <row r="193" spans="1:23">
      <c r="A193">
        <v>52</v>
      </c>
      <c r="B193">
        <v>0</v>
      </c>
      <c r="C193">
        <v>0</v>
      </c>
      <c r="D193">
        <v>35.82</v>
      </c>
      <c r="E193">
        <v>4.1999999999999997E-3</v>
      </c>
      <c r="F193">
        <v>0</v>
      </c>
      <c r="G193">
        <v>0</v>
      </c>
      <c r="H193">
        <v>31.05</v>
      </c>
      <c r="I193">
        <v>0</v>
      </c>
      <c r="J193">
        <v>34.79</v>
      </c>
      <c r="K193">
        <v>0</v>
      </c>
      <c r="L193">
        <v>2.0799999999999999E-2</v>
      </c>
      <c r="M193">
        <v>0.14510000000000001</v>
      </c>
      <c r="N193">
        <v>101.83</v>
      </c>
      <c r="O193" t="s">
        <v>222</v>
      </c>
      <c r="P193" t="s">
        <v>157</v>
      </c>
      <c r="Q193">
        <f>I193-(K193*Standards!$I$15)</f>
        <v>0</v>
      </c>
    </row>
    <row r="194" spans="1:23">
      <c r="A194">
        <v>56</v>
      </c>
      <c r="B194">
        <v>0</v>
      </c>
      <c r="C194">
        <v>0</v>
      </c>
      <c r="D194">
        <v>35.65</v>
      </c>
      <c r="E194">
        <v>8.9999999999999998E-4</v>
      </c>
      <c r="F194">
        <v>0</v>
      </c>
      <c r="G194">
        <v>0</v>
      </c>
      <c r="H194">
        <v>31.05</v>
      </c>
      <c r="I194">
        <v>0</v>
      </c>
      <c r="J194">
        <v>34.53</v>
      </c>
      <c r="K194">
        <v>0</v>
      </c>
      <c r="L194">
        <v>2.3400000000000001E-2</v>
      </c>
      <c r="M194">
        <v>9.2700000000000005E-2</v>
      </c>
      <c r="N194">
        <v>101.34690000000001</v>
      </c>
      <c r="O194" t="s">
        <v>222</v>
      </c>
      <c r="P194" t="s">
        <v>157</v>
      </c>
      <c r="Q194">
        <f>I194-(K194*Standards!$I$15)</f>
        <v>0</v>
      </c>
    </row>
    <row r="195" spans="1:23">
      <c r="A195">
        <v>61</v>
      </c>
      <c r="B195">
        <v>2.0000000000000001E-4</v>
      </c>
      <c r="C195">
        <v>0</v>
      </c>
      <c r="D195">
        <v>35.83</v>
      </c>
      <c r="E195">
        <v>6.7000000000000002E-3</v>
      </c>
      <c r="F195">
        <v>0</v>
      </c>
      <c r="G195">
        <v>0</v>
      </c>
      <c r="H195">
        <v>31.16</v>
      </c>
      <c r="I195">
        <v>0</v>
      </c>
      <c r="J195">
        <v>34.49</v>
      </c>
      <c r="K195">
        <v>0</v>
      </c>
      <c r="L195">
        <v>1.6999999999999999E-3</v>
      </c>
      <c r="M195">
        <v>0.1368</v>
      </c>
      <c r="N195">
        <v>101.6254</v>
      </c>
      <c r="O195" t="s">
        <v>222</v>
      </c>
      <c r="P195" t="s">
        <v>157</v>
      </c>
      <c r="Q195">
        <f>I195-(K195*Standards!$I$15)</f>
        <v>0</v>
      </c>
    </row>
    <row r="196" spans="1:23">
      <c r="A196">
        <v>58</v>
      </c>
      <c r="B196">
        <v>0</v>
      </c>
      <c r="C196">
        <v>0</v>
      </c>
      <c r="D196">
        <v>36.04</v>
      </c>
      <c r="E196">
        <v>2.0899999999999998E-2</v>
      </c>
      <c r="F196">
        <v>6.0000000000000001E-3</v>
      </c>
      <c r="G196">
        <v>0</v>
      </c>
      <c r="H196">
        <v>31.34</v>
      </c>
      <c r="I196">
        <v>0</v>
      </c>
      <c r="J196">
        <v>34.46</v>
      </c>
      <c r="K196">
        <v>0</v>
      </c>
      <c r="L196">
        <v>4.4999999999999998E-2</v>
      </c>
      <c r="M196">
        <v>0.1384</v>
      </c>
      <c r="N196">
        <v>102.0502</v>
      </c>
      <c r="O196" t="s">
        <v>222</v>
      </c>
      <c r="P196" t="s">
        <v>157</v>
      </c>
      <c r="Q196">
        <f>I196-(K196*Standards!$I$15)</f>
        <v>0</v>
      </c>
    </row>
    <row r="197" spans="1:23">
      <c r="A197">
        <v>59</v>
      </c>
      <c r="B197">
        <v>0</v>
      </c>
      <c r="C197">
        <v>0</v>
      </c>
      <c r="D197">
        <v>35.78</v>
      </c>
      <c r="E197">
        <v>5.4999999999999997E-3</v>
      </c>
      <c r="F197">
        <v>0</v>
      </c>
      <c r="G197">
        <v>0</v>
      </c>
      <c r="H197">
        <v>31.24</v>
      </c>
      <c r="I197">
        <v>0</v>
      </c>
      <c r="J197">
        <v>34.450000000000003</v>
      </c>
      <c r="K197">
        <v>0</v>
      </c>
      <c r="L197">
        <v>1.34E-2</v>
      </c>
      <c r="M197">
        <v>0.12529999999999999</v>
      </c>
      <c r="N197">
        <v>101.61409999999999</v>
      </c>
      <c r="O197" t="s">
        <v>222</v>
      </c>
      <c r="P197" t="s">
        <v>157</v>
      </c>
      <c r="Q197">
        <f>I197-(K197*Standards!$I$15)</f>
        <v>0</v>
      </c>
    </row>
    <row r="198" spans="1:23">
      <c r="A198">
        <v>57</v>
      </c>
      <c r="B198">
        <v>0</v>
      </c>
      <c r="C198">
        <v>0</v>
      </c>
      <c r="D198">
        <v>35.630000000000003</v>
      </c>
      <c r="E198">
        <v>3.8999999999999998E-3</v>
      </c>
      <c r="F198">
        <v>1E-3</v>
      </c>
      <c r="G198">
        <v>0</v>
      </c>
      <c r="H198">
        <v>31.48</v>
      </c>
      <c r="I198">
        <v>0</v>
      </c>
      <c r="J198">
        <v>34.369999999999997</v>
      </c>
      <c r="K198">
        <v>0</v>
      </c>
      <c r="L198">
        <v>2.3699999999999999E-2</v>
      </c>
      <c r="M198">
        <v>0.12959999999999999</v>
      </c>
      <c r="N198">
        <v>101.63809999999999</v>
      </c>
      <c r="O198" t="s">
        <v>222</v>
      </c>
      <c r="P198" t="s">
        <v>157</v>
      </c>
      <c r="Q198">
        <f>I198-(K198*Standards!$I$15)</f>
        <v>0</v>
      </c>
    </row>
    <row r="199" spans="1:23">
      <c r="A199">
        <v>63</v>
      </c>
      <c r="B199">
        <v>0</v>
      </c>
      <c r="C199">
        <v>0</v>
      </c>
      <c r="D199">
        <v>35.75</v>
      </c>
      <c r="E199">
        <v>4.4999999999999997E-3</v>
      </c>
      <c r="F199">
        <v>0</v>
      </c>
      <c r="G199">
        <v>0</v>
      </c>
      <c r="H199">
        <v>31.33</v>
      </c>
      <c r="I199">
        <v>0</v>
      </c>
      <c r="J199">
        <v>32.46</v>
      </c>
      <c r="K199">
        <v>0</v>
      </c>
      <c r="L199">
        <v>4.1500000000000002E-2</v>
      </c>
      <c r="M199">
        <v>0.1148</v>
      </c>
      <c r="N199">
        <v>99.700900000000004</v>
      </c>
      <c r="O199" t="s">
        <v>222</v>
      </c>
      <c r="P199" t="s">
        <v>157</v>
      </c>
      <c r="Q199">
        <f>I199-(K199*Standards!$I$15)</f>
        <v>0</v>
      </c>
    </row>
    <row r="200" spans="1:23">
      <c r="A200">
        <v>62</v>
      </c>
      <c r="B200">
        <v>0</v>
      </c>
      <c r="C200">
        <v>0</v>
      </c>
      <c r="D200">
        <v>35.840000000000003</v>
      </c>
      <c r="E200">
        <v>0</v>
      </c>
      <c r="F200">
        <v>0</v>
      </c>
      <c r="G200">
        <v>0</v>
      </c>
      <c r="H200">
        <v>31.29</v>
      </c>
      <c r="I200">
        <v>0</v>
      </c>
      <c r="J200">
        <v>32.130000000000003</v>
      </c>
      <c r="K200">
        <v>0</v>
      </c>
      <c r="L200">
        <v>3.3700000000000001E-2</v>
      </c>
      <c r="M200">
        <v>0.13300000000000001</v>
      </c>
      <c r="N200">
        <v>99.4268</v>
      </c>
      <c r="O200" t="s">
        <v>222</v>
      </c>
      <c r="P200" t="s">
        <v>157</v>
      </c>
      <c r="Q200">
        <f>I200-(K200*Standards!$I$15)</f>
        <v>0</v>
      </c>
    </row>
    <row r="201" spans="1:23">
      <c r="A201">
        <v>70</v>
      </c>
      <c r="B201">
        <v>0</v>
      </c>
      <c r="C201">
        <v>0</v>
      </c>
      <c r="D201">
        <v>35.72</v>
      </c>
      <c r="E201">
        <v>1.1000000000000001E-3</v>
      </c>
      <c r="F201">
        <v>0</v>
      </c>
      <c r="G201">
        <v>0</v>
      </c>
      <c r="H201">
        <v>31.18</v>
      </c>
      <c r="I201">
        <v>0</v>
      </c>
      <c r="J201">
        <v>31.84</v>
      </c>
      <c r="K201">
        <v>0</v>
      </c>
      <c r="L201">
        <v>1.5299999999999999E-2</v>
      </c>
      <c r="M201">
        <v>0.12379999999999999</v>
      </c>
      <c r="N201">
        <v>98.880300000000005</v>
      </c>
      <c r="O201" t="s">
        <v>222</v>
      </c>
      <c r="P201" t="s">
        <v>157</v>
      </c>
      <c r="Q201">
        <f>I201-(K201*Standards!$I$15)</f>
        <v>0</v>
      </c>
    </row>
    <row r="202" spans="1:23">
      <c r="A202">
        <v>29</v>
      </c>
      <c r="B202">
        <v>1.7500000000000002E-2</v>
      </c>
      <c r="C202">
        <v>0</v>
      </c>
      <c r="D202">
        <v>35.24</v>
      </c>
      <c r="E202">
        <v>1.6000000000000001E-3</v>
      </c>
      <c r="F202">
        <v>0</v>
      </c>
      <c r="G202">
        <v>0</v>
      </c>
      <c r="H202">
        <v>34.15</v>
      </c>
      <c r="I202">
        <v>2.81E-2</v>
      </c>
      <c r="J202">
        <v>35.99</v>
      </c>
      <c r="K202">
        <v>0</v>
      </c>
      <c r="L202">
        <v>6.54E-2</v>
      </c>
      <c r="M202">
        <v>0.12640000000000001</v>
      </c>
      <c r="N202">
        <v>105.6189</v>
      </c>
      <c r="O202" t="s">
        <v>223</v>
      </c>
      <c r="P202" t="s">
        <v>33</v>
      </c>
      <c r="Q202">
        <f>I202-(K202*Standards!$I$15)</f>
        <v>2.81E-2</v>
      </c>
      <c r="R202" t="s">
        <v>33</v>
      </c>
      <c r="S202">
        <f>COUNT(Q202:Q219,Q964:Q965)</f>
        <v>20</v>
      </c>
      <c r="T202">
        <f>MAX(L202:L219,L964:L965)</f>
        <v>0.28179999999999999</v>
      </c>
      <c r="U202">
        <f>AVERAGE(L202:L219,L964:L965)</f>
        <v>5.3544999999999995E-2</v>
      </c>
      <c r="V202">
        <f>10000*MAX(Q202:Q219,Q964:Q965)</f>
        <v>281</v>
      </c>
      <c r="W202">
        <f>10000*AVERAGE(Q202:Q219,Q964:Q965)</f>
        <v>166.39999999999998</v>
      </c>
    </row>
    <row r="203" spans="1:23">
      <c r="A203">
        <v>27</v>
      </c>
      <c r="B203">
        <v>2.9000000000000001E-2</v>
      </c>
      <c r="C203">
        <v>0</v>
      </c>
      <c r="D203">
        <v>35.29</v>
      </c>
      <c r="E203">
        <v>0</v>
      </c>
      <c r="F203">
        <v>0</v>
      </c>
      <c r="G203">
        <v>5.0000000000000001E-4</v>
      </c>
      <c r="H203">
        <v>34.07</v>
      </c>
      <c r="I203">
        <v>1.41E-2</v>
      </c>
      <c r="J203">
        <v>35.770000000000003</v>
      </c>
      <c r="K203">
        <v>0</v>
      </c>
      <c r="L203">
        <v>0</v>
      </c>
      <c r="M203">
        <v>0.13750000000000001</v>
      </c>
      <c r="N203">
        <v>105.31100000000001</v>
      </c>
      <c r="O203" t="s">
        <v>223</v>
      </c>
      <c r="P203" t="s">
        <v>33</v>
      </c>
      <c r="Q203">
        <f>I203-(K203*Standards!$I$15)</f>
        <v>1.41E-2</v>
      </c>
    </row>
    <row r="204" spans="1:23">
      <c r="A204">
        <v>17</v>
      </c>
      <c r="B204">
        <v>3.3500000000000002E-2</v>
      </c>
      <c r="C204">
        <v>0</v>
      </c>
      <c r="D204">
        <v>35.19</v>
      </c>
      <c r="E204">
        <v>6.8999999999999999E-3</v>
      </c>
      <c r="F204">
        <v>0</v>
      </c>
      <c r="G204">
        <v>0</v>
      </c>
      <c r="H204">
        <v>33.71</v>
      </c>
      <c r="I204">
        <v>1.9400000000000001E-2</v>
      </c>
      <c r="J204">
        <v>35.770000000000003</v>
      </c>
      <c r="K204">
        <v>0</v>
      </c>
      <c r="L204">
        <v>4.2099999999999999E-2</v>
      </c>
      <c r="M204">
        <v>0.1222</v>
      </c>
      <c r="N204">
        <v>104.89400000000001</v>
      </c>
      <c r="O204" t="s">
        <v>223</v>
      </c>
      <c r="P204" t="s">
        <v>33</v>
      </c>
      <c r="Q204">
        <f>I204-(K204*Standards!$I$15)</f>
        <v>1.9400000000000001E-2</v>
      </c>
    </row>
    <row r="205" spans="1:23">
      <c r="A205">
        <v>32</v>
      </c>
      <c r="B205">
        <v>5.4000000000000003E-3</v>
      </c>
      <c r="C205">
        <v>0</v>
      </c>
      <c r="D205">
        <v>35.21</v>
      </c>
      <c r="E205">
        <v>3.5000000000000001E-3</v>
      </c>
      <c r="F205">
        <v>0</v>
      </c>
      <c r="G205">
        <v>0</v>
      </c>
      <c r="H205">
        <v>33.83</v>
      </c>
      <c r="I205">
        <v>1.7100000000000001E-2</v>
      </c>
      <c r="J205">
        <v>35.659999999999997</v>
      </c>
      <c r="K205">
        <v>0</v>
      </c>
      <c r="L205">
        <v>2.2800000000000001E-2</v>
      </c>
      <c r="M205">
        <v>0.13930000000000001</v>
      </c>
      <c r="N205">
        <v>104.88800000000001</v>
      </c>
      <c r="O205" t="s">
        <v>223</v>
      </c>
      <c r="P205" t="s">
        <v>33</v>
      </c>
      <c r="Q205">
        <f>I205-(K205*Standards!$I$15)</f>
        <v>1.7100000000000001E-2</v>
      </c>
    </row>
    <row r="206" spans="1:23">
      <c r="A206">
        <v>26</v>
      </c>
      <c r="B206">
        <v>1.7999999999999999E-2</v>
      </c>
      <c r="C206">
        <v>0</v>
      </c>
      <c r="D206">
        <v>35.340000000000003</v>
      </c>
      <c r="E206">
        <v>3.0999999999999999E-3</v>
      </c>
      <c r="F206">
        <v>0</v>
      </c>
      <c r="G206">
        <v>0</v>
      </c>
      <c r="H206">
        <v>33.840000000000003</v>
      </c>
      <c r="I206">
        <v>2.29E-2</v>
      </c>
      <c r="J206">
        <v>35.64</v>
      </c>
      <c r="K206">
        <v>0</v>
      </c>
      <c r="L206">
        <v>2.86E-2</v>
      </c>
      <c r="M206">
        <v>0.1157</v>
      </c>
      <c r="N206">
        <v>105.00830000000001</v>
      </c>
      <c r="O206" t="s">
        <v>223</v>
      </c>
      <c r="P206" t="s">
        <v>33</v>
      </c>
      <c r="Q206">
        <f>I206-(K206*Standards!$I$15)</f>
        <v>2.29E-2</v>
      </c>
    </row>
    <row r="207" spans="1:23">
      <c r="A207">
        <v>18</v>
      </c>
      <c r="B207">
        <v>1.6500000000000001E-2</v>
      </c>
      <c r="C207">
        <v>0</v>
      </c>
      <c r="D207">
        <v>35.119999999999997</v>
      </c>
      <c r="E207">
        <v>0</v>
      </c>
      <c r="F207">
        <v>0</v>
      </c>
      <c r="G207">
        <v>0</v>
      </c>
      <c r="H207">
        <v>33.78</v>
      </c>
      <c r="I207">
        <v>1.8800000000000001E-2</v>
      </c>
      <c r="J207">
        <v>35.61</v>
      </c>
      <c r="K207">
        <v>0</v>
      </c>
      <c r="L207">
        <v>3.6499999999999998E-2</v>
      </c>
      <c r="M207">
        <v>0.1229</v>
      </c>
      <c r="N207">
        <v>104.7046</v>
      </c>
      <c r="O207" t="s">
        <v>223</v>
      </c>
      <c r="P207" t="s">
        <v>33</v>
      </c>
      <c r="Q207">
        <f>I207-(K207*Standards!$I$15)</f>
        <v>1.8800000000000001E-2</v>
      </c>
    </row>
    <row r="208" spans="1:23">
      <c r="A208">
        <v>6</v>
      </c>
      <c r="B208">
        <v>3.6999999999999998E-2</v>
      </c>
      <c r="C208">
        <v>0</v>
      </c>
      <c r="D208">
        <v>35.700000000000003</v>
      </c>
      <c r="E208">
        <v>0</v>
      </c>
      <c r="F208">
        <v>0</v>
      </c>
      <c r="G208">
        <v>0</v>
      </c>
      <c r="H208">
        <v>33.270000000000003</v>
      </c>
      <c r="I208">
        <v>2.4199999999999999E-2</v>
      </c>
      <c r="J208">
        <v>35.58</v>
      </c>
      <c r="K208">
        <v>0</v>
      </c>
      <c r="L208">
        <v>1.09E-2</v>
      </c>
      <c r="M208">
        <v>0.1232</v>
      </c>
      <c r="N208">
        <v>104.7453</v>
      </c>
      <c r="O208" t="s">
        <v>223</v>
      </c>
      <c r="P208" t="s">
        <v>33</v>
      </c>
      <c r="Q208">
        <f>I208-(K208*Standards!$I$15)</f>
        <v>2.4199999999999999E-2</v>
      </c>
    </row>
    <row r="209" spans="1:23">
      <c r="A209">
        <v>11</v>
      </c>
      <c r="B209">
        <v>2.0299999999999999E-2</v>
      </c>
      <c r="C209">
        <v>0</v>
      </c>
      <c r="D209">
        <v>35.15</v>
      </c>
      <c r="E209">
        <v>0</v>
      </c>
      <c r="F209">
        <v>0</v>
      </c>
      <c r="G209">
        <v>0</v>
      </c>
      <c r="H209">
        <v>33.799999999999997</v>
      </c>
      <c r="I209">
        <v>1.8499999999999999E-2</v>
      </c>
      <c r="J209">
        <v>35.54</v>
      </c>
      <c r="K209">
        <v>0</v>
      </c>
      <c r="L209">
        <v>3.6600000000000001E-2</v>
      </c>
      <c r="M209">
        <v>0.1396</v>
      </c>
      <c r="N209">
        <v>104.705</v>
      </c>
      <c r="O209" t="s">
        <v>223</v>
      </c>
      <c r="P209" t="s">
        <v>33</v>
      </c>
      <c r="Q209">
        <f>I209-(K209*Standards!$I$15)</f>
        <v>1.8499999999999999E-2</v>
      </c>
    </row>
    <row r="210" spans="1:23">
      <c r="A210">
        <v>10</v>
      </c>
      <c r="B210">
        <v>1.89E-2</v>
      </c>
      <c r="C210">
        <v>0</v>
      </c>
      <c r="D210">
        <v>35.11</v>
      </c>
      <c r="E210">
        <v>0</v>
      </c>
      <c r="F210">
        <v>0</v>
      </c>
      <c r="G210">
        <v>0</v>
      </c>
      <c r="H210">
        <v>33.74</v>
      </c>
      <c r="I210">
        <v>1.9800000000000002E-2</v>
      </c>
      <c r="J210">
        <v>35.51</v>
      </c>
      <c r="K210">
        <v>0</v>
      </c>
      <c r="L210">
        <v>2.9999999999999997E-4</v>
      </c>
      <c r="M210">
        <v>0.1134</v>
      </c>
      <c r="N210">
        <v>104.5123</v>
      </c>
      <c r="O210" t="s">
        <v>223</v>
      </c>
      <c r="P210" t="s">
        <v>33</v>
      </c>
      <c r="Q210">
        <f>I210-(K210*Standards!$I$15)</f>
        <v>1.9800000000000002E-2</v>
      </c>
    </row>
    <row r="211" spans="1:23">
      <c r="A211">
        <v>7</v>
      </c>
      <c r="B211">
        <v>1.5900000000000001E-2</v>
      </c>
      <c r="C211">
        <v>0</v>
      </c>
      <c r="D211">
        <v>35.06</v>
      </c>
      <c r="E211">
        <v>0</v>
      </c>
      <c r="F211">
        <v>0</v>
      </c>
      <c r="G211">
        <v>0</v>
      </c>
      <c r="H211">
        <v>33.26</v>
      </c>
      <c r="I211">
        <v>1.77E-2</v>
      </c>
      <c r="J211">
        <v>35.49</v>
      </c>
      <c r="K211">
        <v>0</v>
      </c>
      <c r="L211">
        <v>1.0699999999999999E-2</v>
      </c>
      <c r="M211">
        <v>0.1361</v>
      </c>
      <c r="N211">
        <v>103.9903</v>
      </c>
      <c r="O211" t="s">
        <v>223</v>
      </c>
      <c r="P211" t="s">
        <v>33</v>
      </c>
      <c r="Q211">
        <f>I211-(K211*Standards!$I$15)</f>
        <v>1.77E-2</v>
      </c>
    </row>
    <row r="212" spans="1:23">
      <c r="A212">
        <v>8</v>
      </c>
      <c r="B212">
        <v>1.77E-2</v>
      </c>
      <c r="C212">
        <v>0</v>
      </c>
      <c r="D212">
        <v>35.32</v>
      </c>
      <c r="E212">
        <v>2.5000000000000001E-3</v>
      </c>
      <c r="F212">
        <v>0</v>
      </c>
      <c r="G212">
        <v>0</v>
      </c>
      <c r="H212">
        <v>33.22</v>
      </c>
      <c r="I212">
        <v>2.1499999999999998E-2</v>
      </c>
      <c r="J212">
        <v>35.36</v>
      </c>
      <c r="K212">
        <v>0</v>
      </c>
      <c r="L212">
        <v>0.28179999999999999</v>
      </c>
      <c r="M212">
        <v>0.10340000000000001</v>
      </c>
      <c r="N212">
        <v>104.32680000000001</v>
      </c>
      <c r="O212" t="s">
        <v>223</v>
      </c>
      <c r="P212" t="s">
        <v>33</v>
      </c>
      <c r="Q212">
        <f>I212-(K212*Standards!$I$15)</f>
        <v>2.1499999999999998E-2</v>
      </c>
    </row>
    <row r="213" spans="1:23">
      <c r="A213">
        <v>2</v>
      </c>
      <c r="B213">
        <v>3.4299999999999997E-2</v>
      </c>
      <c r="C213">
        <v>0</v>
      </c>
      <c r="D213">
        <v>35.229999999999997</v>
      </c>
      <c r="E213">
        <v>3.5000000000000001E-3</v>
      </c>
      <c r="F213">
        <v>0</v>
      </c>
      <c r="G213">
        <v>0</v>
      </c>
      <c r="H213">
        <v>33</v>
      </c>
      <c r="I213">
        <v>1.6799999999999999E-2</v>
      </c>
      <c r="J213">
        <v>35.19</v>
      </c>
      <c r="K213">
        <v>0</v>
      </c>
      <c r="L213">
        <v>2.5399999999999999E-2</v>
      </c>
      <c r="M213">
        <v>0.123</v>
      </c>
      <c r="N213">
        <v>103.623</v>
      </c>
      <c r="O213" t="s">
        <v>223</v>
      </c>
      <c r="P213" t="s">
        <v>33</v>
      </c>
      <c r="Q213">
        <f>I213-(K213*Standards!$I$15)</f>
        <v>1.6799999999999999E-2</v>
      </c>
    </row>
    <row r="214" spans="1:23">
      <c r="A214">
        <v>3</v>
      </c>
      <c r="B214">
        <v>2.1700000000000001E-2</v>
      </c>
      <c r="C214">
        <v>0</v>
      </c>
      <c r="D214">
        <v>35.32</v>
      </c>
      <c r="E214">
        <v>2.2000000000000001E-3</v>
      </c>
      <c r="F214">
        <v>0</v>
      </c>
      <c r="G214">
        <v>0</v>
      </c>
      <c r="H214">
        <v>33.130000000000003</v>
      </c>
      <c r="I214">
        <v>2.2100000000000002E-2</v>
      </c>
      <c r="J214">
        <v>35.08</v>
      </c>
      <c r="K214">
        <v>0</v>
      </c>
      <c r="L214">
        <v>0.10290000000000001</v>
      </c>
      <c r="M214">
        <v>0.1002</v>
      </c>
      <c r="N214">
        <v>103.7791</v>
      </c>
      <c r="O214" t="s">
        <v>223</v>
      </c>
      <c r="P214" t="s">
        <v>33</v>
      </c>
      <c r="Q214">
        <f>I214-(K214*Standards!$I$15)</f>
        <v>2.2100000000000002E-2</v>
      </c>
    </row>
    <row r="215" spans="1:23">
      <c r="A215">
        <v>4</v>
      </c>
      <c r="B215">
        <v>3.5400000000000001E-2</v>
      </c>
      <c r="C215">
        <v>0</v>
      </c>
      <c r="D215">
        <v>35.19</v>
      </c>
      <c r="E215">
        <v>0</v>
      </c>
      <c r="F215">
        <v>0</v>
      </c>
      <c r="G215">
        <v>0</v>
      </c>
      <c r="H215">
        <v>32.64</v>
      </c>
      <c r="I215">
        <v>2.07E-2</v>
      </c>
      <c r="J215">
        <v>35.06</v>
      </c>
      <c r="K215">
        <v>0</v>
      </c>
      <c r="L215">
        <v>0.2054</v>
      </c>
      <c r="M215">
        <v>0.1268</v>
      </c>
      <c r="N215">
        <v>103.2783</v>
      </c>
      <c r="O215" t="s">
        <v>223</v>
      </c>
      <c r="P215" t="s">
        <v>33</v>
      </c>
      <c r="Q215">
        <f>I215-(K215*Standards!$I$15)</f>
        <v>2.07E-2</v>
      </c>
    </row>
    <row r="216" spans="1:23">
      <c r="A216">
        <v>53</v>
      </c>
      <c r="B216">
        <v>1.9099999999999999E-2</v>
      </c>
      <c r="C216">
        <v>0</v>
      </c>
      <c r="D216">
        <v>34.79</v>
      </c>
      <c r="E216">
        <v>4.1000000000000003E-3</v>
      </c>
      <c r="F216">
        <v>0</v>
      </c>
      <c r="G216">
        <v>2E-3</v>
      </c>
      <c r="H216">
        <v>33.79</v>
      </c>
      <c r="I216">
        <v>9.7999999999999997E-3</v>
      </c>
      <c r="J216">
        <v>35.67</v>
      </c>
      <c r="K216">
        <v>0</v>
      </c>
      <c r="L216">
        <v>5.1999999999999998E-2</v>
      </c>
      <c r="M216">
        <v>0.12770000000000001</v>
      </c>
      <c r="N216">
        <v>104.46469999999999</v>
      </c>
      <c r="O216" t="s">
        <v>224</v>
      </c>
      <c r="P216" t="s">
        <v>33</v>
      </c>
      <c r="Q216">
        <f>I216-(K216*Standards!$I$15)</f>
        <v>9.7999999999999997E-3</v>
      </c>
    </row>
    <row r="217" spans="1:23">
      <c r="A217">
        <v>54</v>
      </c>
      <c r="B217">
        <v>1.11E-2</v>
      </c>
      <c r="C217">
        <v>0</v>
      </c>
      <c r="D217">
        <v>34.68</v>
      </c>
      <c r="E217">
        <v>4.7000000000000002E-3</v>
      </c>
      <c r="F217">
        <v>0</v>
      </c>
      <c r="G217">
        <v>0</v>
      </c>
      <c r="H217">
        <v>33.979999999999997</v>
      </c>
      <c r="I217">
        <v>8.6E-3</v>
      </c>
      <c r="J217">
        <v>35.65</v>
      </c>
      <c r="K217">
        <v>0</v>
      </c>
      <c r="L217">
        <v>3.1399999999999997E-2</v>
      </c>
      <c r="M217">
        <v>0.1389</v>
      </c>
      <c r="N217">
        <v>104.5046</v>
      </c>
      <c r="O217" t="s">
        <v>224</v>
      </c>
      <c r="P217" t="s">
        <v>33</v>
      </c>
      <c r="Q217">
        <f>I217-(K217*Standards!$I$15)</f>
        <v>8.6E-3</v>
      </c>
    </row>
    <row r="218" spans="1:23">
      <c r="A218">
        <v>48</v>
      </c>
      <c r="B218">
        <v>3.2000000000000002E-3</v>
      </c>
      <c r="C218">
        <v>0</v>
      </c>
      <c r="D218">
        <v>34.78</v>
      </c>
      <c r="E218">
        <v>2.5000000000000001E-3</v>
      </c>
      <c r="F218">
        <v>0</v>
      </c>
      <c r="G218">
        <v>0</v>
      </c>
      <c r="H218">
        <v>33.58</v>
      </c>
      <c r="I218">
        <v>1.1599999999999999E-2</v>
      </c>
      <c r="J218">
        <v>35.31</v>
      </c>
      <c r="K218">
        <v>0</v>
      </c>
      <c r="L218">
        <v>2.81E-2</v>
      </c>
      <c r="M218">
        <v>0.13059999999999999</v>
      </c>
      <c r="N218">
        <v>103.8459</v>
      </c>
      <c r="O218" t="s">
        <v>224</v>
      </c>
      <c r="P218" t="s">
        <v>33</v>
      </c>
      <c r="Q218">
        <f>I218-(K218*Standards!$I$15)</f>
        <v>1.1599999999999999E-2</v>
      </c>
    </row>
    <row r="219" spans="1:23">
      <c r="A219">
        <v>49</v>
      </c>
      <c r="B219">
        <v>1.11E-2</v>
      </c>
      <c r="C219">
        <v>0</v>
      </c>
      <c r="D219">
        <v>34.630000000000003</v>
      </c>
      <c r="E219">
        <v>1.1900000000000001E-2</v>
      </c>
      <c r="F219">
        <v>0</v>
      </c>
      <c r="G219">
        <v>0</v>
      </c>
      <c r="H219">
        <v>33.1</v>
      </c>
      <c r="I219">
        <v>9.5999999999999992E-3</v>
      </c>
      <c r="J219">
        <v>35.14</v>
      </c>
      <c r="K219">
        <v>0</v>
      </c>
      <c r="L219">
        <v>1.5299999999999999E-2</v>
      </c>
      <c r="M219">
        <v>0.14399999999999999</v>
      </c>
      <c r="N219">
        <v>103.06180000000001</v>
      </c>
      <c r="O219" t="s">
        <v>224</v>
      </c>
      <c r="P219" t="s">
        <v>33</v>
      </c>
      <c r="Q219">
        <f>I219-(K219*Standards!$I$15)</f>
        <v>9.5999999999999992E-3</v>
      </c>
    </row>
    <row r="220" spans="1:23">
      <c r="A220">
        <v>13</v>
      </c>
      <c r="B220">
        <v>0</v>
      </c>
      <c r="C220">
        <v>0</v>
      </c>
      <c r="D220">
        <v>35.659999999999997</v>
      </c>
      <c r="E220">
        <v>5.8700000000000002E-2</v>
      </c>
      <c r="F220">
        <v>0</v>
      </c>
      <c r="G220">
        <v>0</v>
      </c>
      <c r="H220">
        <v>31.56</v>
      </c>
      <c r="I220">
        <v>0</v>
      </c>
      <c r="J220">
        <v>35.200000000000003</v>
      </c>
      <c r="K220">
        <v>0</v>
      </c>
      <c r="L220">
        <v>3.9300000000000002E-2</v>
      </c>
      <c r="M220">
        <v>0.13020000000000001</v>
      </c>
      <c r="N220">
        <v>102.6481</v>
      </c>
      <c r="O220" t="s">
        <v>225</v>
      </c>
      <c r="P220" t="s">
        <v>36</v>
      </c>
      <c r="Q220">
        <f>I220-(K220*Standards!$I$15)</f>
        <v>0</v>
      </c>
      <c r="R220" t="s">
        <v>36</v>
      </c>
      <c r="S220">
        <f>COUNT(Q220:Q232)</f>
        <v>13</v>
      </c>
      <c r="T220">
        <f>MAX(L220:L232)</f>
        <v>7.1199999999999999E-2</v>
      </c>
      <c r="U220">
        <f>AVERAGE(L220:L232)</f>
        <v>4.2030769230769233E-2</v>
      </c>
      <c r="V220">
        <f>10000*MAX(Q220:Q232)</f>
        <v>21</v>
      </c>
      <c r="W220">
        <f>10000*AVERAGE(Q220:Q232)</f>
        <v>2.8461538461538463</v>
      </c>
    </row>
    <row r="221" spans="1:23">
      <c r="A221">
        <v>12</v>
      </c>
      <c r="B221">
        <v>0</v>
      </c>
      <c r="C221">
        <v>0</v>
      </c>
      <c r="D221">
        <v>35.659999999999997</v>
      </c>
      <c r="E221">
        <v>6.13E-2</v>
      </c>
      <c r="F221">
        <v>0</v>
      </c>
      <c r="G221">
        <v>0</v>
      </c>
      <c r="H221">
        <v>31.79</v>
      </c>
      <c r="I221">
        <v>0</v>
      </c>
      <c r="J221">
        <v>34.979999999999997</v>
      </c>
      <c r="K221">
        <v>0</v>
      </c>
      <c r="L221">
        <v>7.1199999999999999E-2</v>
      </c>
      <c r="M221">
        <v>0.129</v>
      </c>
      <c r="N221">
        <v>102.6914</v>
      </c>
      <c r="O221" t="s">
        <v>225</v>
      </c>
      <c r="P221" t="s">
        <v>36</v>
      </c>
      <c r="Q221">
        <f>I221-(K221*Standards!$I$15)</f>
        <v>0</v>
      </c>
    </row>
    <row r="222" spans="1:23">
      <c r="A222">
        <v>25</v>
      </c>
      <c r="B222">
        <v>0</v>
      </c>
      <c r="C222">
        <v>0</v>
      </c>
      <c r="D222">
        <v>35.380000000000003</v>
      </c>
      <c r="E222">
        <v>5.3499999999999999E-2</v>
      </c>
      <c r="F222">
        <v>0</v>
      </c>
      <c r="G222">
        <v>0</v>
      </c>
      <c r="H222">
        <v>31.37</v>
      </c>
      <c r="I222">
        <v>0</v>
      </c>
      <c r="J222">
        <v>34.9</v>
      </c>
      <c r="K222">
        <v>0</v>
      </c>
      <c r="L222">
        <v>4.82E-2</v>
      </c>
      <c r="M222">
        <v>0.108</v>
      </c>
      <c r="N222">
        <v>101.8597</v>
      </c>
      <c r="O222" t="s">
        <v>225</v>
      </c>
      <c r="P222" t="s">
        <v>36</v>
      </c>
      <c r="Q222">
        <f>I222-(K222*Standards!$I$15)</f>
        <v>0</v>
      </c>
    </row>
    <row r="223" spans="1:23">
      <c r="A223">
        <v>41</v>
      </c>
      <c r="B223">
        <v>0</v>
      </c>
      <c r="C223">
        <v>0</v>
      </c>
      <c r="D223">
        <v>35.46</v>
      </c>
      <c r="E223">
        <v>4.7800000000000002E-2</v>
      </c>
      <c r="F223">
        <v>0</v>
      </c>
      <c r="G223">
        <v>0</v>
      </c>
      <c r="H223">
        <v>31.23</v>
      </c>
      <c r="I223">
        <v>0</v>
      </c>
      <c r="J223">
        <v>34.9</v>
      </c>
      <c r="K223">
        <v>0</v>
      </c>
      <c r="L223">
        <v>4.65E-2</v>
      </c>
      <c r="M223">
        <v>0.12939999999999999</v>
      </c>
      <c r="N223">
        <v>101.81359999999999</v>
      </c>
      <c r="O223" t="s">
        <v>225</v>
      </c>
      <c r="P223" t="s">
        <v>36</v>
      </c>
      <c r="Q223">
        <f>I223-(K223*Standards!$I$15)</f>
        <v>0</v>
      </c>
    </row>
    <row r="224" spans="1:23">
      <c r="A224">
        <v>1</v>
      </c>
      <c r="B224">
        <v>0</v>
      </c>
      <c r="C224">
        <v>0</v>
      </c>
      <c r="D224">
        <v>35.479999999999997</v>
      </c>
      <c r="E224">
        <v>0</v>
      </c>
      <c r="F224">
        <v>0</v>
      </c>
      <c r="G224">
        <v>0</v>
      </c>
      <c r="H224">
        <v>31.5</v>
      </c>
      <c r="I224">
        <v>0</v>
      </c>
      <c r="J224">
        <v>34.89</v>
      </c>
      <c r="K224">
        <v>0</v>
      </c>
      <c r="L224">
        <v>3.6900000000000002E-2</v>
      </c>
      <c r="M224">
        <v>0.1396</v>
      </c>
      <c r="N224">
        <v>102.04640000000001</v>
      </c>
      <c r="O224" t="s">
        <v>225</v>
      </c>
      <c r="P224" t="s">
        <v>36</v>
      </c>
      <c r="Q224">
        <f>I224-(K224*Standards!$I$15)</f>
        <v>0</v>
      </c>
    </row>
    <row r="225" spans="1:23">
      <c r="A225">
        <v>3</v>
      </c>
      <c r="B225">
        <v>1.4E-3</v>
      </c>
      <c r="C225">
        <v>0</v>
      </c>
      <c r="D225">
        <v>35.479999999999997</v>
      </c>
      <c r="E225">
        <v>0</v>
      </c>
      <c r="F225">
        <v>0</v>
      </c>
      <c r="G225">
        <v>2.0999999999999999E-3</v>
      </c>
      <c r="H225">
        <v>31.2</v>
      </c>
      <c r="I225">
        <v>2.0999999999999999E-3</v>
      </c>
      <c r="J225">
        <v>34.85</v>
      </c>
      <c r="K225">
        <v>0</v>
      </c>
      <c r="L225">
        <v>4.3499999999999997E-2</v>
      </c>
      <c r="M225">
        <v>0.12959999999999999</v>
      </c>
      <c r="N225">
        <v>101.7086</v>
      </c>
      <c r="O225" t="s">
        <v>225</v>
      </c>
      <c r="P225" t="s">
        <v>36</v>
      </c>
      <c r="Q225">
        <f>I225-(K225*Standards!$I$15)</f>
        <v>2.0999999999999999E-3</v>
      </c>
    </row>
    <row r="226" spans="1:23">
      <c r="A226">
        <v>2</v>
      </c>
      <c r="B226">
        <v>4.0000000000000001E-3</v>
      </c>
      <c r="C226">
        <v>0</v>
      </c>
      <c r="D226">
        <v>35.090000000000003</v>
      </c>
      <c r="E226">
        <v>0</v>
      </c>
      <c r="F226">
        <v>0</v>
      </c>
      <c r="G226">
        <v>0</v>
      </c>
      <c r="H226">
        <v>31.15</v>
      </c>
      <c r="I226">
        <v>0</v>
      </c>
      <c r="J226">
        <v>34.840000000000003</v>
      </c>
      <c r="K226">
        <v>0</v>
      </c>
      <c r="L226">
        <v>5.04E-2</v>
      </c>
      <c r="M226">
        <v>0.13009999999999999</v>
      </c>
      <c r="N226">
        <v>101.26439999999999</v>
      </c>
      <c r="O226" t="s">
        <v>225</v>
      </c>
      <c r="P226" t="s">
        <v>36</v>
      </c>
      <c r="Q226">
        <f>I226-(K226*Standards!$I$15)</f>
        <v>0</v>
      </c>
    </row>
    <row r="227" spans="1:23">
      <c r="A227">
        <v>30</v>
      </c>
      <c r="B227">
        <v>0</v>
      </c>
      <c r="C227">
        <v>0</v>
      </c>
      <c r="D227">
        <v>35.4</v>
      </c>
      <c r="E227">
        <v>6.9400000000000003E-2</v>
      </c>
      <c r="F227">
        <v>0</v>
      </c>
      <c r="G227">
        <v>0</v>
      </c>
      <c r="H227">
        <v>31.28</v>
      </c>
      <c r="I227">
        <v>0</v>
      </c>
      <c r="J227">
        <v>34.82</v>
      </c>
      <c r="K227">
        <v>0</v>
      </c>
      <c r="L227">
        <v>4.7699999999999999E-2</v>
      </c>
      <c r="M227">
        <v>0.13880000000000001</v>
      </c>
      <c r="N227">
        <v>101.7559</v>
      </c>
      <c r="O227" t="s">
        <v>225</v>
      </c>
      <c r="P227" t="s">
        <v>36</v>
      </c>
      <c r="Q227">
        <f>I227-(K227*Standards!$I$15)</f>
        <v>0</v>
      </c>
    </row>
    <row r="228" spans="1:23">
      <c r="A228">
        <v>37</v>
      </c>
      <c r="B228">
        <v>1E-3</v>
      </c>
      <c r="C228">
        <v>0</v>
      </c>
      <c r="D228">
        <v>35.270000000000003</v>
      </c>
      <c r="E228">
        <v>7.8399999999999997E-2</v>
      </c>
      <c r="F228">
        <v>0</v>
      </c>
      <c r="G228">
        <v>0</v>
      </c>
      <c r="H228">
        <v>31.29</v>
      </c>
      <c r="I228">
        <v>0</v>
      </c>
      <c r="J228">
        <v>34.81</v>
      </c>
      <c r="K228">
        <v>0</v>
      </c>
      <c r="L228">
        <v>2.4799999999999999E-2</v>
      </c>
      <c r="M228">
        <v>0.1242</v>
      </c>
      <c r="N228">
        <v>101.5984</v>
      </c>
      <c r="O228" t="s">
        <v>225</v>
      </c>
      <c r="P228" t="s">
        <v>36</v>
      </c>
      <c r="Q228">
        <f>I228-(K228*Standards!$I$15)</f>
        <v>0</v>
      </c>
    </row>
    <row r="229" spans="1:23">
      <c r="A229">
        <v>27</v>
      </c>
      <c r="B229">
        <v>0</v>
      </c>
      <c r="C229">
        <v>0</v>
      </c>
      <c r="D229">
        <v>35.46</v>
      </c>
      <c r="E229">
        <v>1.2200000000000001E-2</v>
      </c>
      <c r="F229">
        <v>0</v>
      </c>
      <c r="G229">
        <v>2.9999999999999997E-4</v>
      </c>
      <c r="H229">
        <v>31.65</v>
      </c>
      <c r="I229">
        <v>0</v>
      </c>
      <c r="J229">
        <v>34.76</v>
      </c>
      <c r="K229">
        <v>0</v>
      </c>
      <c r="L229">
        <v>3.4599999999999999E-2</v>
      </c>
      <c r="M229">
        <v>0.12239999999999999</v>
      </c>
      <c r="N229">
        <v>102.0394</v>
      </c>
      <c r="O229" t="s">
        <v>225</v>
      </c>
      <c r="P229" t="s">
        <v>36</v>
      </c>
      <c r="Q229">
        <f>I229-(K229*Standards!$I$15)</f>
        <v>0</v>
      </c>
    </row>
    <row r="230" spans="1:23">
      <c r="A230">
        <v>38</v>
      </c>
      <c r="B230">
        <v>0</v>
      </c>
      <c r="C230">
        <v>0</v>
      </c>
      <c r="D230">
        <v>35.549999999999997</v>
      </c>
      <c r="E230">
        <v>1.0999999999999999E-2</v>
      </c>
      <c r="F230">
        <v>0</v>
      </c>
      <c r="G230">
        <v>0</v>
      </c>
      <c r="H230">
        <v>30.98</v>
      </c>
      <c r="I230">
        <v>1.6000000000000001E-3</v>
      </c>
      <c r="J230">
        <v>34.72</v>
      </c>
      <c r="K230">
        <v>0</v>
      </c>
      <c r="L230">
        <v>2.01E-2</v>
      </c>
      <c r="M230">
        <v>0.12690000000000001</v>
      </c>
      <c r="N230">
        <v>101.4096</v>
      </c>
      <c r="O230" t="s">
        <v>225</v>
      </c>
      <c r="P230" t="s">
        <v>36</v>
      </c>
      <c r="Q230">
        <f>I230-(K230*Standards!$I$15)</f>
        <v>1.6000000000000001E-3</v>
      </c>
    </row>
    <row r="231" spans="1:23">
      <c r="A231">
        <v>40</v>
      </c>
      <c r="B231">
        <v>5.1000000000000004E-3</v>
      </c>
      <c r="C231">
        <v>0</v>
      </c>
      <c r="D231">
        <v>35.57</v>
      </c>
      <c r="E231">
        <v>5.3100000000000001E-2</v>
      </c>
      <c r="F231">
        <v>0</v>
      </c>
      <c r="G231">
        <v>0</v>
      </c>
      <c r="H231">
        <v>31.23</v>
      </c>
      <c r="I231">
        <v>0</v>
      </c>
      <c r="J231">
        <v>34.71</v>
      </c>
      <c r="K231">
        <v>0</v>
      </c>
      <c r="L231">
        <v>4.0800000000000003E-2</v>
      </c>
      <c r="M231">
        <v>0.1162</v>
      </c>
      <c r="N231">
        <v>101.7252</v>
      </c>
      <c r="O231" t="s">
        <v>225</v>
      </c>
      <c r="P231" t="s">
        <v>36</v>
      </c>
      <c r="Q231">
        <f>I231-(K231*Standards!$I$15)</f>
        <v>0</v>
      </c>
    </row>
    <row r="232" spans="1:23">
      <c r="A232">
        <v>39</v>
      </c>
      <c r="B232">
        <v>0</v>
      </c>
      <c r="C232">
        <v>0</v>
      </c>
      <c r="D232">
        <v>35.909999999999997</v>
      </c>
      <c r="E232">
        <v>7.4899999999999994E-2</v>
      </c>
      <c r="F232">
        <v>0</v>
      </c>
      <c r="G232">
        <v>1.2999999999999999E-3</v>
      </c>
      <c r="H232">
        <v>31.08</v>
      </c>
      <c r="I232">
        <v>0</v>
      </c>
      <c r="J232">
        <v>34.53</v>
      </c>
      <c r="K232">
        <v>0</v>
      </c>
      <c r="L232">
        <v>4.24E-2</v>
      </c>
      <c r="M232">
        <v>0.10639999999999999</v>
      </c>
      <c r="N232">
        <v>101.7449</v>
      </c>
      <c r="O232" t="s">
        <v>225</v>
      </c>
      <c r="P232" t="s">
        <v>36</v>
      </c>
      <c r="Q232">
        <f>I232-(K232*Standards!$I$15)</f>
        <v>0</v>
      </c>
    </row>
    <row r="233" spans="1:23">
      <c r="A233">
        <v>75</v>
      </c>
      <c r="B233">
        <v>0</v>
      </c>
      <c r="C233">
        <v>0</v>
      </c>
      <c r="D233">
        <v>35.17</v>
      </c>
      <c r="E233">
        <v>7.0000000000000001E-3</v>
      </c>
      <c r="F233">
        <v>0</v>
      </c>
      <c r="G233">
        <v>6.9999999999999999E-4</v>
      </c>
      <c r="H233">
        <v>31</v>
      </c>
      <c r="I233">
        <v>3.5700000000000003E-2</v>
      </c>
      <c r="J233">
        <v>31.02</v>
      </c>
      <c r="K233">
        <v>0</v>
      </c>
      <c r="L233">
        <v>5.2200000000000003E-2</v>
      </c>
      <c r="M233">
        <v>8.9899999999999994E-2</v>
      </c>
      <c r="N233">
        <v>97.375500000000002</v>
      </c>
      <c r="O233" t="s">
        <v>226</v>
      </c>
      <c r="P233" t="s">
        <v>83</v>
      </c>
      <c r="Q233">
        <f>I233-(K233*Standards!$I$15)</f>
        <v>3.5700000000000003E-2</v>
      </c>
      <c r="R233" t="s">
        <v>83</v>
      </c>
      <c r="S233">
        <f>COUNT(Q233:Q248)</f>
        <v>16</v>
      </c>
      <c r="T233">
        <f>MAX(L233:L248)</f>
        <v>0.3599</v>
      </c>
      <c r="U233">
        <f>AVERAGE(L233:L248)</f>
        <v>7.9024999999999998E-2</v>
      </c>
      <c r="V233">
        <f>10000*MAX(Q233:Q248)</f>
        <v>357</v>
      </c>
      <c r="W233">
        <f>10000*AVERAGE(Q233:Q248)</f>
        <v>148.56250000000003</v>
      </c>
    </row>
    <row r="234" spans="1:23">
      <c r="A234">
        <v>76</v>
      </c>
      <c r="B234">
        <v>0</v>
      </c>
      <c r="C234">
        <v>0</v>
      </c>
      <c r="D234">
        <v>35.4</v>
      </c>
      <c r="E234">
        <v>5.4999999999999997E-3</v>
      </c>
      <c r="F234">
        <v>0</v>
      </c>
      <c r="G234">
        <v>0</v>
      </c>
      <c r="H234">
        <v>30.83</v>
      </c>
      <c r="I234">
        <v>3.04E-2</v>
      </c>
      <c r="J234">
        <v>31.19</v>
      </c>
      <c r="K234">
        <v>0</v>
      </c>
      <c r="L234">
        <v>4.3499999999999997E-2</v>
      </c>
      <c r="M234">
        <v>0.1187</v>
      </c>
      <c r="N234">
        <v>97.618200000000002</v>
      </c>
      <c r="O234" t="s">
        <v>226</v>
      </c>
      <c r="P234" t="s">
        <v>83</v>
      </c>
      <c r="Q234">
        <f>I234-(K234*Standards!$I$15)</f>
        <v>3.04E-2</v>
      </c>
    </row>
    <row r="235" spans="1:23">
      <c r="A235">
        <v>93</v>
      </c>
      <c r="B235">
        <v>0</v>
      </c>
      <c r="C235">
        <v>0</v>
      </c>
      <c r="D235">
        <v>34.86</v>
      </c>
      <c r="E235">
        <v>1.66E-2</v>
      </c>
      <c r="F235">
        <v>0</v>
      </c>
      <c r="G235">
        <v>0</v>
      </c>
      <c r="H235">
        <v>30.22</v>
      </c>
      <c r="I235">
        <v>2.3099999999999999E-2</v>
      </c>
      <c r="J235">
        <v>33.450000000000003</v>
      </c>
      <c r="K235">
        <v>0</v>
      </c>
      <c r="L235">
        <v>7.5499999999999998E-2</v>
      </c>
      <c r="M235">
        <v>0.1173</v>
      </c>
      <c r="N235">
        <v>98.762600000000006</v>
      </c>
      <c r="O235" t="s">
        <v>226</v>
      </c>
      <c r="P235" t="s">
        <v>83</v>
      </c>
      <c r="Q235">
        <f>I235-(K235*Standards!$I$15)</f>
        <v>2.3099999999999999E-2</v>
      </c>
    </row>
    <row r="236" spans="1:23">
      <c r="A236">
        <v>98</v>
      </c>
      <c r="B236">
        <v>0</v>
      </c>
      <c r="C236">
        <v>0</v>
      </c>
      <c r="D236">
        <v>35.090000000000003</v>
      </c>
      <c r="E236">
        <v>5.1000000000000004E-3</v>
      </c>
      <c r="F236">
        <v>0</v>
      </c>
      <c r="G236">
        <v>0</v>
      </c>
      <c r="H236">
        <v>30.01</v>
      </c>
      <c r="I236">
        <v>2.23E-2</v>
      </c>
      <c r="J236">
        <v>33.97</v>
      </c>
      <c r="K236">
        <v>0</v>
      </c>
      <c r="L236">
        <v>7.0800000000000002E-2</v>
      </c>
      <c r="M236">
        <v>0.13389999999999999</v>
      </c>
      <c r="N236">
        <v>99.302199999999999</v>
      </c>
      <c r="O236" t="s">
        <v>226</v>
      </c>
      <c r="P236" t="s">
        <v>83</v>
      </c>
      <c r="Q236">
        <f>I236-(K236*Standards!$I$15)</f>
        <v>2.23E-2</v>
      </c>
    </row>
    <row r="237" spans="1:23">
      <c r="A237">
        <v>70</v>
      </c>
      <c r="B237">
        <v>5.1000000000000004E-3</v>
      </c>
      <c r="C237">
        <v>0</v>
      </c>
      <c r="D237">
        <v>35.32</v>
      </c>
      <c r="E237">
        <v>0</v>
      </c>
      <c r="F237">
        <v>0</v>
      </c>
      <c r="G237">
        <v>0</v>
      </c>
      <c r="H237">
        <v>30.68</v>
      </c>
      <c r="I237">
        <v>2.1999999999999999E-2</v>
      </c>
      <c r="J237">
        <v>31.14</v>
      </c>
      <c r="K237">
        <v>0</v>
      </c>
      <c r="L237">
        <v>6.3399999999999998E-2</v>
      </c>
      <c r="M237">
        <v>0.1169</v>
      </c>
      <c r="N237">
        <v>97.347499999999997</v>
      </c>
      <c r="O237" t="s">
        <v>226</v>
      </c>
      <c r="P237" t="s">
        <v>83</v>
      </c>
      <c r="Q237">
        <f>I237-(K237*Standards!$I$15)</f>
        <v>2.1999999999999999E-2</v>
      </c>
    </row>
    <row r="238" spans="1:23">
      <c r="A238">
        <v>92</v>
      </c>
      <c r="B238">
        <v>0</v>
      </c>
      <c r="C238">
        <v>0</v>
      </c>
      <c r="D238">
        <v>35.35</v>
      </c>
      <c r="E238">
        <v>6.3E-3</v>
      </c>
      <c r="F238">
        <v>0</v>
      </c>
      <c r="G238">
        <v>0</v>
      </c>
      <c r="H238">
        <v>30.06</v>
      </c>
      <c r="I238">
        <v>2.06E-2</v>
      </c>
      <c r="J238">
        <v>34.04</v>
      </c>
      <c r="K238">
        <v>0</v>
      </c>
      <c r="L238">
        <v>6.9599999999999995E-2</v>
      </c>
      <c r="M238">
        <v>0.1487</v>
      </c>
      <c r="N238">
        <v>99.695300000000003</v>
      </c>
      <c r="O238" t="s">
        <v>226</v>
      </c>
      <c r="P238" t="s">
        <v>83</v>
      </c>
      <c r="Q238">
        <f>I238-(K238*Standards!$I$15)</f>
        <v>2.06E-2</v>
      </c>
    </row>
    <row r="239" spans="1:23">
      <c r="A239">
        <v>88</v>
      </c>
      <c r="B239">
        <v>5.4999999999999997E-3</v>
      </c>
      <c r="C239">
        <v>0</v>
      </c>
      <c r="D239">
        <v>35.049999999999997</v>
      </c>
      <c r="E239">
        <v>2.9000000000000001E-2</v>
      </c>
      <c r="F239">
        <v>0</v>
      </c>
      <c r="G239">
        <v>0</v>
      </c>
      <c r="H239">
        <v>30.1</v>
      </c>
      <c r="I239">
        <v>1.7100000000000001E-2</v>
      </c>
      <c r="J239">
        <v>32.01</v>
      </c>
      <c r="K239">
        <v>0</v>
      </c>
      <c r="L239">
        <v>4.07E-2</v>
      </c>
      <c r="M239">
        <v>0.12920000000000001</v>
      </c>
      <c r="N239">
        <v>97.381600000000006</v>
      </c>
      <c r="O239" t="s">
        <v>226</v>
      </c>
      <c r="P239" t="s">
        <v>83</v>
      </c>
      <c r="Q239">
        <f>I239-(K239*Standards!$I$15)</f>
        <v>1.7100000000000001E-2</v>
      </c>
    </row>
    <row r="240" spans="1:23">
      <c r="A240">
        <v>94</v>
      </c>
      <c r="B240">
        <v>0</v>
      </c>
      <c r="C240">
        <v>0</v>
      </c>
      <c r="D240">
        <v>35.380000000000003</v>
      </c>
      <c r="E240">
        <v>1.5299999999999999E-2</v>
      </c>
      <c r="F240">
        <v>0</v>
      </c>
      <c r="G240">
        <v>0</v>
      </c>
      <c r="H240">
        <v>30.01</v>
      </c>
      <c r="I240">
        <v>1.6299999999999999E-2</v>
      </c>
      <c r="J240">
        <v>33.89</v>
      </c>
      <c r="K240">
        <v>0</v>
      </c>
      <c r="L240">
        <v>0.109</v>
      </c>
      <c r="M240">
        <v>0.1145</v>
      </c>
      <c r="N240">
        <v>99.535200000000003</v>
      </c>
      <c r="O240" t="s">
        <v>226</v>
      </c>
      <c r="P240" t="s">
        <v>83</v>
      </c>
      <c r="Q240">
        <f>I240-(K240*Standards!$I$15)</f>
        <v>1.6299999999999999E-2</v>
      </c>
    </row>
    <row r="241" spans="1:23">
      <c r="A241">
        <v>89</v>
      </c>
      <c r="B241">
        <v>0</v>
      </c>
      <c r="C241">
        <v>0</v>
      </c>
      <c r="D241">
        <v>35.43</v>
      </c>
      <c r="E241">
        <v>0</v>
      </c>
      <c r="F241">
        <v>0</v>
      </c>
      <c r="G241">
        <v>0</v>
      </c>
      <c r="H241">
        <v>30.61</v>
      </c>
      <c r="I241">
        <v>1.38E-2</v>
      </c>
      <c r="J241">
        <v>32.44</v>
      </c>
      <c r="K241">
        <v>0</v>
      </c>
      <c r="L241">
        <v>2.3099999999999999E-2</v>
      </c>
      <c r="M241">
        <v>0.1401</v>
      </c>
      <c r="N241">
        <v>98.6571</v>
      </c>
      <c r="O241" t="s">
        <v>226</v>
      </c>
      <c r="P241" t="s">
        <v>83</v>
      </c>
      <c r="Q241">
        <f>I241-(K241*Standards!$I$15)</f>
        <v>1.38E-2</v>
      </c>
    </row>
    <row r="242" spans="1:23">
      <c r="A242">
        <v>74</v>
      </c>
      <c r="B242">
        <v>0</v>
      </c>
      <c r="C242">
        <v>0</v>
      </c>
      <c r="D242">
        <v>35.78</v>
      </c>
      <c r="E242">
        <v>7.7999999999999996E-3</v>
      </c>
      <c r="F242">
        <v>0</v>
      </c>
      <c r="G242">
        <v>0</v>
      </c>
      <c r="H242">
        <v>30.66</v>
      </c>
      <c r="I242">
        <v>1.2699999999999999E-2</v>
      </c>
      <c r="J242">
        <v>31.41</v>
      </c>
      <c r="K242">
        <v>0</v>
      </c>
      <c r="L242">
        <v>0.1187</v>
      </c>
      <c r="M242">
        <v>0.1346</v>
      </c>
      <c r="N242">
        <v>98.123800000000003</v>
      </c>
      <c r="O242" t="s">
        <v>226</v>
      </c>
      <c r="P242" t="s">
        <v>83</v>
      </c>
      <c r="Q242">
        <f>I242-(K242*Standards!$I$15)</f>
        <v>1.2699999999999999E-2</v>
      </c>
    </row>
    <row r="243" spans="1:23">
      <c r="A243">
        <v>66</v>
      </c>
      <c r="B243">
        <v>0</v>
      </c>
      <c r="C243">
        <v>0</v>
      </c>
      <c r="D243">
        <v>35.200000000000003</v>
      </c>
      <c r="E243">
        <v>1.0500000000000001E-2</v>
      </c>
      <c r="F243">
        <v>0</v>
      </c>
      <c r="G243">
        <v>0</v>
      </c>
      <c r="H243">
        <v>30.34</v>
      </c>
      <c r="I243">
        <v>1.26E-2</v>
      </c>
      <c r="J243">
        <v>32.03</v>
      </c>
      <c r="K243">
        <v>0</v>
      </c>
      <c r="L243">
        <v>6.0400000000000002E-2</v>
      </c>
      <c r="M243">
        <v>0.1124</v>
      </c>
      <c r="N243">
        <v>97.766000000000005</v>
      </c>
      <c r="O243" t="s">
        <v>226</v>
      </c>
      <c r="P243" t="s">
        <v>83</v>
      </c>
      <c r="Q243">
        <f>I243-(K243*Standards!$I$15)</f>
        <v>1.26E-2</v>
      </c>
    </row>
    <row r="244" spans="1:23">
      <c r="A244">
        <v>67</v>
      </c>
      <c r="B244">
        <v>1.6999999999999999E-3</v>
      </c>
      <c r="C244">
        <v>0</v>
      </c>
      <c r="D244">
        <v>35.380000000000003</v>
      </c>
      <c r="E244">
        <v>1.2999999999999999E-3</v>
      </c>
      <c r="F244">
        <v>0</v>
      </c>
      <c r="G244">
        <v>0</v>
      </c>
      <c r="H244">
        <v>30.66</v>
      </c>
      <c r="I244">
        <v>6.1999999999999998E-3</v>
      </c>
      <c r="J244">
        <v>32.04</v>
      </c>
      <c r="K244">
        <v>0</v>
      </c>
      <c r="L244">
        <v>4.9299999999999997E-2</v>
      </c>
      <c r="M244">
        <v>0.1124</v>
      </c>
      <c r="N244">
        <v>98.251000000000005</v>
      </c>
      <c r="O244" t="s">
        <v>226</v>
      </c>
      <c r="P244" t="s">
        <v>83</v>
      </c>
      <c r="Q244">
        <f>I244-(K244*Standards!$I$15)</f>
        <v>6.1999999999999998E-3</v>
      </c>
    </row>
    <row r="245" spans="1:23">
      <c r="A245">
        <v>63</v>
      </c>
      <c r="B245">
        <v>4.7000000000000002E-3</v>
      </c>
      <c r="C245">
        <v>0</v>
      </c>
      <c r="D245">
        <v>35.130000000000003</v>
      </c>
      <c r="E245">
        <v>4.5999999999999999E-3</v>
      </c>
      <c r="F245">
        <v>0</v>
      </c>
      <c r="G245">
        <v>0</v>
      </c>
      <c r="H245">
        <v>30.62</v>
      </c>
      <c r="I245">
        <v>2.2000000000000001E-3</v>
      </c>
      <c r="J245">
        <v>33.630000000000003</v>
      </c>
      <c r="K245">
        <v>0</v>
      </c>
      <c r="L245">
        <v>3.6600000000000001E-2</v>
      </c>
      <c r="M245">
        <v>0.13719999999999999</v>
      </c>
      <c r="N245">
        <v>99.565299999999993</v>
      </c>
      <c r="O245" t="s">
        <v>226</v>
      </c>
      <c r="P245" t="s">
        <v>83</v>
      </c>
      <c r="Q245">
        <f>I245-(K245*Standards!$I$15)</f>
        <v>2.2000000000000001E-3</v>
      </c>
    </row>
    <row r="246" spans="1:23">
      <c r="A246">
        <v>69</v>
      </c>
      <c r="B246">
        <v>8.9999999999999993E-3</v>
      </c>
      <c r="C246">
        <v>0</v>
      </c>
      <c r="D246">
        <v>35.31</v>
      </c>
      <c r="E246">
        <v>8.9999999999999993E-3</v>
      </c>
      <c r="F246">
        <v>0</v>
      </c>
      <c r="G246">
        <v>0</v>
      </c>
      <c r="H246">
        <v>30.68</v>
      </c>
      <c r="I246">
        <v>1.8E-3</v>
      </c>
      <c r="J246">
        <v>30.72</v>
      </c>
      <c r="K246">
        <v>0</v>
      </c>
      <c r="L246">
        <v>0.3599</v>
      </c>
      <c r="M246">
        <v>0.108</v>
      </c>
      <c r="N246">
        <v>97.197800000000001</v>
      </c>
      <c r="O246" t="s">
        <v>226</v>
      </c>
      <c r="P246" t="s">
        <v>83</v>
      </c>
      <c r="Q246">
        <f>I246-(K246*Standards!$I$15)</f>
        <v>1.8E-3</v>
      </c>
    </row>
    <row r="247" spans="1:23">
      <c r="A247">
        <v>62</v>
      </c>
      <c r="B247">
        <v>0</v>
      </c>
      <c r="C247">
        <v>0</v>
      </c>
      <c r="D247">
        <v>35.18</v>
      </c>
      <c r="E247">
        <v>1.6000000000000001E-3</v>
      </c>
      <c r="F247">
        <v>0</v>
      </c>
      <c r="G247">
        <v>0</v>
      </c>
      <c r="H247">
        <v>30.81</v>
      </c>
      <c r="I247">
        <v>8.9999999999999998E-4</v>
      </c>
      <c r="J247">
        <v>33.79</v>
      </c>
      <c r="K247">
        <v>0</v>
      </c>
      <c r="L247">
        <v>4.7100000000000003E-2</v>
      </c>
      <c r="M247">
        <v>0.13120000000000001</v>
      </c>
      <c r="N247">
        <v>99.960899999999995</v>
      </c>
      <c r="O247" t="s">
        <v>226</v>
      </c>
      <c r="P247" t="s">
        <v>83</v>
      </c>
      <c r="Q247">
        <f>I247-(K247*Standards!$I$15)</f>
        <v>8.9999999999999998E-4</v>
      </c>
    </row>
    <row r="248" spans="1:23">
      <c r="A248">
        <v>65</v>
      </c>
      <c r="B248">
        <v>0</v>
      </c>
      <c r="C248">
        <v>0</v>
      </c>
      <c r="D248">
        <v>35.159999999999997</v>
      </c>
      <c r="E248">
        <v>2E-3</v>
      </c>
      <c r="F248">
        <v>0</v>
      </c>
      <c r="G248">
        <v>0</v>
      </c>
      <c r="H248">
        <v>30.85</v>
      </c>
      <c r="I248">
        <v>0</v>
      </c>
      <c r="J248">
        <v>31.81</v>
      </c>
      <c r="K248">
        <v>0</v>
      </c>
      <c r="L248">
        <v>4.4600000000000001E-2</v>
      </c>
      <c r="M248">
        <v>0.13389999999999999</v>
      </c>
      <c r="N248">
        <v>98.000600000000006</v>
      </c>
      <c r="O248" t="s">
        <v>226</v>
      </c>
      <c r="P248" t="s">
        <v>83</v>
      </c>
      <c r="Q248">
        <f>I248-(K248*Standards!$I$15)</f>
        <v>0</v>
      </c>
    </row>
    <row r="249" spans="1:23">
      <c r="A249">
        <v>82</v>
      </c>
      <c r="B249">
        <v>0</v>
      </c>
      <c r="C249">
        <v>0</v>
      </c>
      <c r="D249">
        <v>35.56</v>
      </c>
      <c r="E249">
        <v>4.4999999999999997E-3</v>
      </c>
      <c r="F249">
        <v>0</v>
      </c>
      <c r="G249">
        <v>0</v>
      </c>
      <c r="H249">
        <v>31.01</v>
      </c>
      <c r="I249">
        <v>0</v>
      </c>
      <c r="J249">
        <v>33.25</v>
      </c>
      <c r="K249">
        <v>0</v>
      </c>
      <c r="L249">
        <v>4.6899999999999997E-2</v>
      </c>
      <c r="M249">
        <v>0.13300000000000001</v>
      </c>
      <c r="N249">
        <v>100.0043</v>
      </c>
      <c r="O249" t="s">
        <v>227</v>
      </c>
      <c r="P249" t="s">
        <v>60</v>
      </c>
      <c r="Q249">
        <f>I249-(K249*Standards!$I$15)</f>
        <v>0</v>
      </c>
      <c r="R249" t="s">
        <v>60</v>
      </c>
      <c r="S249" s="18">
        <f>COUNT(Q249:Q262,Q966:Q976)</f>
        <v>25</v>
      </c>
      <c r="T249" s="18">
        <f>MAX(L249:L262,L966:L976)</f>
        <v>0.86119999999999997</v>
      </c>
      <c r="U249" s="18">
        <f>AVERAGE(L249:L262,L966:L976)</f>
        <v>0.13730799999999999</v>
      </c>
      <c r="V249">
        <f>10000*MAX(Q249:Q262,Q966:Q976)</f>
        <v>438.16790000000003</v>
      </c>
      <c r="W249">
        <f>10000*AVERAGE(Q249:Q262,Q966:Q976)</f>
        <v>102.28671600000001</v>
      </c>
    </row>
    <row r="250" spans="1:23">
      <c r="A250">
        <v>81</v>
      </c>
      <c r="B250">
        <v>0</v>
      </c>
      <c r="C250">
        <v>0</v>
      </c>
      <c r="D250">
        <v>35.51</v>
      </c>
      <c r="E250">
        <v>1.0800000000000001E-2</v>
      </c>
      <c r="F250">
        <v>0</v>
      </c>
      <c r="G250">
        <v>0</v>
      </c>
      <c r="H250">
        <v>31.01</v>
      </c>
      <c r="I250">
        <v>0</v>
      </c>
      <c r="J250">
        <v>33.18</v>
      </c>
      <c r="K250">
        <v>0</v>
      </c>
      <c r="L250">
        <v>4.7100000000000003E-2</v>
      </c>
      <c r="M250">
        <v>0.1082</v>
      </c>
      <c r="N250">
        <v>99.866100000000003</v>
      </c>
      <c r="O250" t="s">
        <v>227</v>
      </c>
      <c r="P250" t="s">
        <v>60</v>
      </c>
      <c r="Q250">
        <f>I250-(K250*Standards!$I$15)</f>
        <v>0</v>
      </c>
    </row>
    <row r="251" spans="1:23">
      <c r="A251">
        <v>99</v>
      </c>
      <c r="B251">
        <v>0</v>
      </c>
      <c r="C251">
        <v>0</v>
      </c>
      <c r="D251">
        <v>35.61</v>
      </c>
      <c r="E251">
        <v>6.8999999999999999E-3</v>
      </c>
      <c r="F251">
        <v>0</v>
      </c>
      <c r="G251">
        <v>0</v>
      </c>
      <c r="H251">
        <v>31.21</v>
      </c>
      <c r="I251">
        <v>6.4000000000000003E-3</v>
      </c>
      <c r="J251">
        <v>30.73</v>
      </c>
      <c r="K251">
        <v>0</v>
      </c>
      <c r="L251">
        <v>2.7799999999999998E-2</v>
      </c>
      <c r="M251">
        <v>0.1295</v>
      </c>
      <c r="N251">
        <v>97.720699999999994</v>
      </c>
      <c r="O251" t="s">
        <v>227</v>
      </c>
      <c r="P251" t="s">
        <v>60</v>
      </c>
      <c r="Q251">
        <f>I251-(K251*Standards!$I$15)</f>
        <v>6.4000000000000003E-3</v>
      </c>
    </row>
    <row r="252" spans="1:23">
      <c r="A252">
        <v>100</v>
      </c>
      <c r="B252">
        <v>0</v>
      </c>
      <c r="C252">
        <v>0</v>
      </c>
      <c r="D252">
        <v>35.6</v>
      </c>
      <c r="E252">
        <v>0</v>
      </c>
      <c r="F252">
        <v>1.9E-3</v>
      </c>
      <c r="G252">
        <v>0</v>
      </c>
      <c r="H252">
        <v>31.56</v>
      </c>
      <c r="I252">
        <v>1.8E-3</v>
      </c>
      <c r="J252">
        <v>30.71</v>
      </c>
      <c r="K252">
        <v>0</v>
      </c>
      <c r="L252">
        <v>4.2700000000000002E-2</v>
      </c>
      <c r="M252">
        <v>0.1051</v>
      </c>
      <c r="N252">
        <v>98.021600000000007</v>
      </c>
      <c r="O252" t="s">
        <v>227</v>
      </c>
      <c r="P252" t="s">
        <v>60</v>
      </c>
      <c r="Q252">
        <f>I252-(K252*Standards!$I$15)</f>
        <v>1.8E-3</v>
      </c>
    </row>
    <row r="253" spans="1:23">
      <c r="A253">
        <v>98</v>
      </c>
      <c r="B253">
        <v>5.0000000000000001E-4</v>
      </c>
      <c r="C253">
        <v>0</v>
      </c>
      <c r="D253">
        <v>35.65</v>
      </c>
      <c r="E253">
        <v>9.4000000000000004E-3</v>
      </c>
      <c r="F253">
        <v>0</v>
      </c>
      <c r="G253">
        <v>0</v>
      </c>
      <c r="H253">
        <v>31.47</v>
      </c>
      <c r="I253">
        <v>0</v>
      </c>
      <c r="J253">
        <v>30.65</v>
      </c>
      <c r="K253">
        <v>0</v>
      </c>
      <c r="L253">
        <v>1.46E-2</v>
      </c>
      <c r="M253">
        <v>0.1236</v>
      </c>
      <c r="N253">
        <v>97.918199999999999</v>
      </c>
      <c r="O253" t="s">
        <v>227</v>
      </c>
      <c r="P253" t="s">
        <v>60</v>
      </c>
      <c r="Q253">
        <f>I253-(K253*Standards!$I$15)</f>
        <v>0</v>
      </c>
    </row>
    <row r="254" spans="1:23">
      <c r="A254">
        <v>97</v>
      </c>
      <c r="B254">
        <v>0</v>
      </c>
      <c r="C254">
        <v>0</v>
      </c>
      <c r="D254">
        <v>35.6</v>
      </c>
      <c r="E254">
        <v>1.6500000000000001E-2</v>
      </c>
      <c r="F254">
        <v>1.6999999999999999E-3</v>
      </c>
      <c r="G254">
        <v>0</v>
      </c>
      <c r="H254">
        <v>31.29</v>
      </c>
      <c r="I254">
        <v>8.9999999999999998E-4</v>
      </c>
      <c r="J254">
        <v>30.6</v>
      </c>
      <c r="K254">
        <v>0</v>
      </c>
      <c r="L254">
        <v>3.7999999999999999E-2</v>
      </c>
      <c r="M254">
        <v>0.1507</v>
      </c>
      <c r="N254">
        <v>97.697900000000004</v>
      </c>
      <c r="O254" t="s">
        <v>227</v>
      </c>
      <c r="P254" t="s">
        <v>60</v>
      </c>
      <c r="Q254">
        <f>I254-(K254*Standards!$I$15)</f>
        <v>8.9999999999999998E-4</v>
      </c>
    </row>
    <row r="255" spans="1:23">
      <c r="A255">
        <v>94</v>
      </c>
      <c r="B255">
        <v>0</v>
      </c>
      <c r="C255">
        <v>0</v>
      </c>
      <c r="D255">
        <v>35.53</v>
      </c>
      <c r="E255">
        <v>8.3999999999999995E-3</v>
      </c>
      <c r="F255">
        <v>0</v>
      </c>
      <c r="G255">
        <v>0</v>
      </c>
      <c r="H255">
        <v>31.56</v>
      </c>
      <c r="I255">
        <v>6.1999999999999998E-3</v>
      </c>
      <c r="J255">
        <v>30.57</v>
      </c>
      <c r="K255">
        <v>0</v>
      </c>
      <c r="L255">
        <v>3.9899999999999998E-2</v>
      </c>
      <c r="M255">
        <v>0.10630000000000001</v>
      </c>
      <c r="N255">
        <v>97.820899999999995</v>
      </c>
      <c r="O255" t="s">
        <v>227</v>
      </c>
      <c r="P255" t="s">
        <v>60</v>
      </c>
      <c r="Q255">
        <f>I255-(K255*Standards!$I$15)</f>
        <v>6.1999999999999998E-3</v>
      </c>
    </row>
    <row r="256" spans="1:23">
      <c r="A256">
        <v>95</v>
      </c>
      <c r="B256">
        <v>1E-3</v>
      </c>
      <c r="C256">
        <v>0</v>
      </c>
      <c r="D256">
        <v>35.590000000000003</v>
      </c>
      <c r="E256">
        <v>5.4000000000000003E-3</v>
      </c>
      <c r="F256">
        <v>0</v>
      </c>
      <c r="G256">
        <v>0</v>
      </c>
      <c r="H256">
        <v>31.48</v>
      </c>
      <c r="I256">
        <v>1.6999999999999999E-3</v>
      </c>
      <c r="J256">
        <v>30.52</v>
      </c>
      <c r="K256">
        <v>0</v>
      </c>
      <c r="L256">
        <v>4.2500000000000003E-2</v>
      </c>
      <c r="M256">
        <v>0.1343</v>
      </c>
      <c r="N256">
        <v>97.775000000000006</v>
      </c>
      <c r="O256" t="s">
        <v>227</v>
      </c>
      <c r="P256" t="s">
        <v>60</v>
      </c>
      <c r="Q256">
        <f>I256-(K256*Standards!$I$15)</f>
        <v>1.6999999999999999E-3</v>
      </c>
    </row>
    <row r="257" spans="1:23">
      <c r="A257">
        <v>96</v>
      </c>
      <c r="B257">
        <v>7.1000000000000004E-3</v>
      </c>
      <c r="C257">
        <v>0</v>
      </c>
      <c r="D257">
        <v>35.549999999999997</v>
      </c>
      <c r="E257">
        <v>0</v>
      </c>
      <c r="F257">
        <v>0</v>
      </c>
      <c r="G257">
        <v>0</v>
      </c>
      <c r="H257">
        <v>31.3</v>
      </c>
      <c r="I257">
        <v>0</v>
      </c>
      <c r="J257">
        <v>30.49</v>
      </c>
      <c r="K257">
        <v>0</v>
      </c>
      <c r="L257">
        <v>4.3700000000000003E-2</v>
      </c>
      <c r="M257">
        <v>0.1208</v>
      </c>
      <c r="N257">
        <v>97.511700000000005</v>
      </c>
      <c r="O257" t="s">
        <v>227</v>
      </c>
      <c r="P257" t="s">
        <v>60</v>
      </c>
      <c r="Q257">
        <f>I257-(K257*Standards!$I$15)</f>
        <v>0</v>
      </c>
    </row>
    <row r="258" spans="1:23">
      <c r="A258">
        <v>43</v>
      </c>
      <c r="B258">
        <v>0</v>
      </c>
      <c r="C258">
        <v>0</v>
      </c>
      <c r="D258">
        <v>35.74</v>
      </c>
      <c r="E258">
        <v>1.04E-2</v>
      </c>
      <c r="F258">
        <v>0</v>
      </c>
      <c r="G258">
        <v>0</v>
      </c>
      <c r="H258">
        <v>31.02</v>
      </c>
      <c r="I258">
        <v>4.4999999999999997E-3</v>
      </c>
      <c r="J258">
        <v>34.94</v>
      </c>
      <c r="K258">
        <v>0</v>
      </c>
      <c r="L258">
        <v>9.1999999999999998E-3</v>
      </c>
      <c r="M258">
        <v>0.1124</v>
      </c>
      <c r="N258">
        <v>101.8364</v>
      </c>
      <c r="O258" t="s">
        <v>228</v>
      </c>
      <c r="P258" t="s">
        <v>60</v>
      </c>
      <c r="Q258">
        <f>I258-(K258*Standards!$I$15)</f>
        <v>4.4999999999999997E-3</v>
      </c>
    </row>
    <row r="259" spans="1:23">
      <c r="A259">
        <v>44</v>
      </c>
      <c r="B259">
        <v>0</v>
      </c>
      <c r="C259">
        <v>0</v>
      </c>
      <c r="D259">
        <v>35.79</v>
      </c>
      <c r="E259">
        <v>2.0500000000000001E-2</v>
      </c>
      <c r="F259">
        <v>0</v>
      </c>
      <c r="G259">
        <v>0</v>
      </c>
      <c r="H259">
        <v>31.02</v>
      </c>
      <c r="I259">
        <v>0</v>
      </c>
      <c r="J259">
        <v>34.71</v>
      </c>
      <c r="K259">
        <v>0</v>
      </c>
      <c r="L259">
        <v>2.7E-2</v>
      </c>
      <c r="M259">
        <v>0.13569999999999999</v>
      </c>
      <c r="N259">
        <v>101.70310000000001</v>
      </c>
      <c r="O259" t="s">
        <v>228</v>
      </c>
      <c r="P259" t="s">
        <v>60</v>
      </c>
      <c r="Q259">
        <f>I259-(K259*Standards!$I$15)</f>
        <v>0</v>
      </c>
    </row>
    <row r="260" spans="1:23">
      <c r="A260">
        <v>46</v>
      </c>
      <c r="B260">
        <v>3.5000000000000001E-3</v>
      </c>
      <c r="C260">
        <v>0</v>
      </c>
      <c r="D260">
        <v>35.65</v>
      </c>
      <c r="E260">
        <v>1.4999999999999999E-2</v>
      </c>
      <c r="F260">
        <v>0</v>
      </c>
      <c r="G260">
        <v>0</v>
      </c>
      <c r="H260">
        <v>31.06</v>
      </c>
      <c r="I260">
        <v>0</v>
      </c>
      <c r="J260">
        <v>34.69</v>
      </c>
      <c r="K260">
        <v>0</v>
      </c>
      <c r="L260">
        <v>2.8000000000000001E-2</v>
      </c>
      <c r="M260">
        <v>0.14460000000000001</v>
      </c>
      <c r="N260">
        <v>101.59099999999999</v>
      </c>
      <c r="O260" t="s">
        <v>228</v>
      </c>
      <c r="P260" t="s">
        <v>60</v>
      </c>
      <c r="Q260">
        <f>I260-(K260*Standards!$I$15)</f>
        <v>0</v>
      </c>
    </row>
    <row r="261" spans="1:23">
      <c r="A261">
        <v>45</v>
      </c>
      <c r="B261">
        <v>0</v>
      </c>
      <c r="C261">
        <v>0</v>
      </c>
      <c r="D261">
        <v>35.659999999999997</v>
      </c>
      <c r="E261">
        <v>9.9000000000000008E-3</v>
      </c>
      <c r="F261">
        <v>0</v>
      </c>
      <c r="G261">
        <v>0</v>
      </c>
      <c r="H261">
        <v>30.89</v>
      </c>
      <c r="I261">
        <v>0</v>
      </c>
      <c r="J261">
        <v>34.619999999999997</v>
      </c>
      <c r="K261">
        <v>0</v>
      </c>
      <c r="L261">
        <v>0.1855</v>
      </c>
      <c r="M261">
        <v>0.12180000000000001</v>
      </c>
      <c r="N261">
        <v>101.4872</v>
      </c>
      <c r="O261" t="s">
        <v>228</v>
      </c>
      <c r="P261" t="s">
        <v>60</v>
      </c>
      <c r="Q261">
        <f>I261-(K261*Standards!$I$15)</f>
        <v>0</v>
      </c>
    </row>
    <row r="262" spans="1:23">
      <c r="A262">
        <v>42</v>
      </c>
      <c r="B262">
        <v>0</v>
      </c>
      <c r="C262">
        <v>0</v>
      </c>
      <c r="D262">
        <v>35.630000000000003</v>
      </c>
      <c r="E262">
        <v>1.9099999999999999E-2</v>
      </c>
      <c r="F262">
        <v>0</v>
      </c>
      <c r="G262">
        <v>0</v>
      </c>
      <c r="H262">
        <v>30.95</v>
      </c>
      <c r="I262">
        <v>3.8999999999999998E-3</v>
      </c>
      <c r="J262">
        <v>34.56</v>
      </c>
      <c r="K262">
        <v>0</v>
      </c>
      <c r="L262">
        <v>0.05</v>
      </c>
      <c r="M262">
        <v>0.13089999999999999</v>
      </c>
      <c r="N262">
        <v>101.3439</v>
      </c>
      <c r="O262" t="s">
        <v>228</v>
      </c>
      <c r="P262" t="s">
        <v>60</v>
      </c>
      <c r="Q262">
        <f>I262-(K262*Standards!$I$15)</f>
        <v>3.8999999999999998E-3</v>
      </c>
    </row>
    <row r="263" spans="1:23">
      <c r="A263">
        <v>88</v>
      </c>
      <c r="B263">
        <v>0</v>
      </c>
      <c r="C263">
        <v>0</v>
      </c>
      <c r="D263">
        <v>35.380000000000003</v>
      </c>
      <c r="E263">
        <v>9.2999999999999992E-3</v>
      </c>
      <c r="F263">
        <v>0</v>
      </c>
      <c r="G263">
        <v>0</v>
      </c>
      <c r="H263">
        <v>30.5</v>
      </c>
      <c r="I263">
        <v>0</v>
      </c>
      <c r="J263">
        <v>33.68</v>
      </c>
      <c r="K263">
        <v>0</v>
      </c>
      <c r="L263">
        <v>1.56</v>
      </c>
      <c r="M263">
        <v>0.1414</v>
      </c>
      <c r="N263">
        <v>101.2706</v>
      </c>
      <c r="O263" t="s">
        <v>229</v>
      </c>
      <c r="P263" t="s">
        <v>81</v>
      </c>
      <c r="Q263">
        <f>I263-(K263*Standards!$I$15)</f>
        <v>0</v>
      </c>
      <c r="R263" t="s">
        <v>81</v>
      </c>
      <c r="S263">
        <f>COUNT(Q263:Q266)</f>
        <v>4</v>
      </c>
      <c r="T263" s="18">
        <f>MAX(L263:L266)</f>
        <v>1.84</v>
      </c>
      <c r="U263" s="18">
        <f>AVERAGE(L263:L266)</f>
        <v>1.6624999999999999</v>
      </c>
      <c r="V263">
        <f>10000*MAX(Q263:Q266)</f>
        <v>0</v>
      </c>
      <c r="W263">
        <f>10000*AVERAGE(Q263:Q266)</f>
        <v>0</v>
      </c>
    </row>
    <row r="264" spans="1:23">
      <c r="A264">
        <v>78</v>
      </c>
      <c r="B264">
        <v>0</v>
      </c>
      <c r="C264">
        <v>0</v>
      </c>
      <c r="D264">
        <v>35.67</v>
      </c>
      <c r="E264">
        <v>2.5999999999999999E-3</v>
      </c>
      <c r="F264">
        <v>0</v>
      </c>
      <c r="G264">
        <v>0</v>
      </c>
      <c r="H264">
        <v>30.46</v>
      </c>
      <c r="I264">
        <v>0</v>
      </c>
      <c r="J264">
        <v>33.53</v>
      </c>
      <c r="K264">
        <v>0</v>
      </c>
      <c r="L264">
        <v>1.7</v>
      </c>
      <c r="M264">
        <v>0.1439</v>
      </c>
      <c r="N264">
        <v>101.5064</v>
      </c>
      <c r="O264" t="s">
        <v>229</v>
      </c>
      <c r="P264" t="s">
        <v>81</v>
      </c>
      <c r="Q264">
        <f>I264-(K264*Standards!$I$15)</f>
        <v>0</v>
      </c>
    </row>
    <row r="265" spans="1:23">
      <c r="A265">
        <v>87</v>
      </c>
      <c r="B265">
        <v>0</v>
      </c>
      <c r="C265">
        <v>0</v>
      </c>
      <c r="D265">
        <v>35.770000000000003</v>
      </c>
      <c r="E265">
        <v>7.9000000000000008E-3</v>
      </c>
      <c r="F265">
        <v>0</v>
      </c>
      <c r="G265">
        <v>0</v>
      </c>
      <c r="H265">
        <v>30.4</v>
      </c>
      <c r="I265">
        <v>0</v>
      </c>
      <c r="J265">
        <v>33.44</v>
      </c>
      <c r="K265">
        <v>0</v>
      </c>
      <c r="L265">
        <v>1.55</v>
      </c>
      <c r="M265">
        <v>0.14080000000000001</v>
      </c>
      <c r="N265">
        <v>101.3087</v>
      </c>
      <c r="O265" t="s">
        <v>229</v>
      </c>
      <c r="P265" t="s">
        <v>81</v>
      </c>
      <c r="Q265">
        <f>I265-(K265*Standards!$I$15)</f>
        <v>0</v>
      </c>
    </row>
    <row r="266" spans="1:23">
      <c r="A266">
        <v>76</v>
      </c>
      <c r="B266">
        <v>2.8E-3</v>
      </c>
      <c r="C266">
        <v>0</v>
      </c>
      <c r="D266">
        <v>35.69</v>
      </c>
      <c r="E266">
        <v>3.8999999999999998E-3</v>
      </c>
      <c r="F266">
        <v>0</v>
      </c>
      <c r="G266">
        <v>0</v>
      </c>
      <c r="H266">
        <v>30.36</v>
      </c>
      <c r="I266">
        <v>0</v>
      </c>
      <c r="J266">
        <v>33.19</v>
      </c>
      <c r="K266">
        <v>0</v>
      </c>
      <c r="L266">
        <v>1.84</v>
      </c>
      <c r="M266">
        <v>0.12690000000000001</v>
      </c>
      <c r="N266">
        <v>101.2135</v>
      </c>
      <c r="O266" t="s">
        <v>229</v>
      </c>
      <c r="P266" t="s">
        <v>81</v>
      </c>
      <c r="Q266">
        <f>I266-(K266*Standards!$I$15)</f>
        <v>0</v>
      </c>
    </row>
    <row r="267" spans="1:23">
      <c r="A267">
        <v>47</v>
      </c>
      <c r="B267">
        <v>1.1999999999999999E-3</v>
      </c>
      <c r="C267">
        <v>0</v>
      </c>
      <c r="D267">
        <v>35.46</v>
      </c>
      <c r="E267">
        <v>0</v>
      </c>
      <c r="F267">
        <v>0</v>
      </c>
      <c r="G267">
        <v>0</v>
      </c>
      <c r="H267">
        <v>31.16</v>
      </c>
      <c r="I267">
        <v>0.1046</v>
      </c>
      <c r="J267">
        <v>34.06</v>
      </c>
      <c r="K267">
        <v>0</v>
      </c>
      <c r="L267">
        <v>5.4300000000000001E-2</v>
      </c>
      <c r="M267">
        <v>0.12770000000000001</v>
      </c>
      <c r="N267">
        <v>100.96769999999999</v>
      </c>
      <c r="O267" t="s">
        <v>230</v>
      </c>
      <c r="P267" t="s">
        <v>79</v>
      </c>
      <c r="Q267">
        <f>I267-(K267*Standards!$I$15)</f>
        <v>0.1046</v>
      </c>
      <c r="R267" t="s">
        <v>231</v>
      </c>
      <c r="S267" s="18">
        <f>COUNT(Q267:Q287)</f>
        <v>21</v>
      </c>
      <c r="T267" s="18">
        <f>MAX(L267:L287)</f>
        <v>0.10150000000000001</v>
      </c>
      <c r="U267" s="18">
        <f>AVERAGE(L267:L287)</f>
        <v>4.0842857142857153E-2</v>
      </c>
      <c r="V267">
        <f>10000*MAX(Q267:Q287)</f>
        <v>1331</v>
      </c>
      <c r="W267">
        <f>10000*AVERAGE(Q267:Q287)</f>
        <v>1143.0952380952383</v>
      </c>
    </row>
    <row r="268" spans="1:23">
      <c r="A268">
        <v>48</v>
      </c>
      <c r="B268">
        <v>0</v>
      </c>
      <c r="C268">
        <v>0</v>
      </c>
      <c r="D268">
        <v>35.340000000000003</v>
      </c>
      <c r="E268">
        <v>0</v>
      </c>
      <c r="F268">
        <v>0</v>
      </c>
      <c r="G268">
        <v>0</v>
      </c>
      <c r="H268">
        <v>30.98</v>
      </c>
      <c r="I268">
        <v>0.1076</v>
      </c>
      <c r="J268">
        <v>34.450000000000003</v>
      </c>
      <c r="K268">
        <v>0</v>
      </c>
      <c r="L268">
        <v>0.10150000000000001</v>
      </c>
      <c r="M268">
        <v>0.1244</v>
      </c>
      <c r="N268">
        <v>101.10339999999999</v>
      </c>
      <c r="O268" t="s">
        <v>230</v>
      </c>
      <c r="P268" t="s">
        <v>79</v>
      </c>
      <c r="Q268">
        <f>I268-(K268*Standards!$I$15)</f>
        <v>0.1076</v>
      </c>
    </row>
    <row r="269" spans="1:23">
      <c r="A269">
        <v>49</v>
      </c>
      <c r="B269">
        <v>0</v>
      </c>
      <c r="C269">
        <v>0</v>
      </c>
      <c r="D269">
        <v>35.39</v>
      </c>
      <c r="E269">
        <v>1.06E-2</v>
      </c>
      <c r="F269">
        <v>3.2399999999999998E-2</v>
      </c>
      <c r="G269">
        <v>1.4E-3</v>
      </c>
      <c r="H269">
        <v>30.91</v>
      </c>
      <c r="I269">
        <v>0.11650000000000001</v>
      </c>
      <c r="J269">
        <v>34.44</v>
      </c>
      <c r="K269">
        <v>0</v>
      </c>
      <c r="L269">
        <v>1.72E-2</v>
      </c>
      <c r="M269">
        <v>0.12759999999999999</v>
      </c>
      <c r="N269">
        <v>101.04559999999999</v>
      </c>
      <c r="O269" t="s">
        <v>230</v>
      </c>
      <c r="P269" t="s">
        <v>79</v>
      </c>
      <c r="Q269">
        <f>I269-(K269*Standards!$I$15)</f>
        <v>0.11650000000000001</v>
      </c>
    </row>
    <row r="270" spans="1:23">
      <c r="A270">
        <v>50</v>
      </c>
      <c r="B270">
        <v>0</v>
      </c>
      <c r="C270">
        <v>0</v>
      </c>
      <c r="D270">
        <v>35.42</v>
      </c>
      <c r="E270">
        <v>0</v>
      </c>
      <c r="F270">
        <v>0</v>
      </c>
      <c r="G270">
        <v>0</v>
      </c>
      <c r="H270">
        <v>30.57</v>
      </c>
      <c r="I270">
        <v>0.11310000000000001</v>
      </c>
      <c r="J270">
        <v>34.49</v>
      </c>
      <c r="K270">
        <v>0</v>
      </c>
      <c r="L270">
        <v>3.9699999999999999E-2</v>
      </c>
      <c r="M270">
        <v>0.1164</v>
      </c>
      <c r="N270">
        <v>100.7491</v>
      </c>
      <c r="O270" t="s">
        <v>230</v>
      </c>
      <c r="P270" t="s">
        <v>79</v>
      </c>
      <c r="Q270">
        <f>I270-(K270*Standards!$I$15)</f>
        <v>0.11310000000000001</v>
      </c>
    </row>
    <row r="271" spans="1:23">
      <c r="A271">
        <v>51</v>
      </c>
      <c r="B271">
        <v>0</v>
      </c>
      <c r="C271">
        <v>0</v>
      </c>
      <c r="D271">
        <v>35.53</v>
      </c>
      <c r="E271">
        <v>0</v>
      </c>
      <c r="F271">
        <v>1.4500000000000001E-2</v>
      </c>
      <c r="G271">
        <v>0</v>
      </c>
      <c r="H271">
        <v>30.87</v>
      </c>
      <c r="I271">
        <v>0.1086</v>
      </c>
      <c r="J271">
        <v>34.64</v>
      </c>
      <c r="K271">
        <v>0</v>
      </c>
      <c r="L271">
        <v>2.35E-2</v>
      </c>
      <c r="M271">
        <v>0.13539999999999999</v>
      </c>
      <c r="N271">
        <v>101.3219</v>
      </c>
      <c r="O271" t="s">
        <v>230</v>
      </c>
      <c r="P271" t="s">
        <v>79</v>
      </c>
      <c r="Q271">
        <f>I271-(K271*Standards!$I$15)</f>
        <v>0.1086</v>
      </c>
    </row>
    <row r="272" spans="1:23">
      <c r="A272">
        <v>52</v>
      </c>
      <c r="B272">
        <v>0</v>
      </c>
      <c r="C272">
        <v>0</v>
      </c>
      <c r="D272">
        <v>35.200000000000003</v>
      </c>
      <c r="E272">
        <v>0</v>
      </c>
      <c r="F272">
        <v>0</v>
      </c>
      <c r="G272">
        <v>0</v>
      </c>
      <c r="H272">
        <v>30.92</v>
      </c>
      <c r="I272">
        <v>0.112</v>
      </c>
      <c r="J272">
        <v>34.630000000000003</v>
      </c>
      <c r="K272">
        <v>0</v>
      </c>
      <c r="L272">
        <v>5.96E-2</v>
      </c>
      <c r="M272">
        <v>0.1105</v>
      </c>
      <c r="N272">
        <v>101.032</v>
      </c>
      <c r="O272" t="s">
        <v>230</v>
      </c>
      <c r="P272" t="s">
        <v>79</v>
      </c>
      <c r="Q272">
        <f>I272-(K272*Standards!$I$15)</f>
        <v>0.112</v>
      </c>
    </row>
    <row r="273" spans="1:23">
      <c r="A273">
        <v>53</v>
      </c>
      <c r="B273">
        <v>5.4000000000000003E-3</v>
      </c>
      <c r="C273">
        <v>0</v>
      </c>
      <c r="D273">
        <v>35.299999999999997</v>
      </c>
      <c r="E273">
        <v>0</v>
      </c>
      <c r="F273">
        <v>0</v>
      </c>
      <c r="G273">
        <v>1.6999999999999999E-3</v>
      </c>
      <c r="H273">
        <v>30.87</v>
      </c>
      <c r="I273">
        <v>0.1061</v>
      </c>
      <c r="J273">
        <v>34.64</v>
      </c>
      <c r="K273">
        <v>0</v>
      </c>
      <c r="L273">
        <v>2.3E-2</v>
      </c>
      <c r="M273">
        <v>0.1333</v>
      </c>
      <c r="N273">
        <v>101.0795</v>
      </c>
      <c r="O273" t="s">
        <v>230</v>
      </c>
      <c r="P273" t="s">
        <v>79</v>
      </c>
      <c r="Q273">
        <f>I273-(K273*Standards!$I$15)</f>
        <v>0.1061</v>
      </c>
    </row>
    <row r="274" spans="1:23">
      <c r="A274">
        <v>54</v>
      </c>
      <c r="B274">
        <v>0</v>
      </c>
      <c r="C274">
        <v>0</v>
      </c>
      <c r="D274">
        <v>35.479999999999997</v>
      </c>
      <c r="E274">
        <v>0</v>
      </c>
      <c r="F274">
        <v>0</v>
      </c>
      <c r="G274">
        <v>6.0000000000000001E-3</v>
      </c>
      <c r="H274">
        <v>31.13</v>
      </c>
      <c r="I274">
        <v>0.1061</v>
      </c>
      <c r="J274">
        <v>34.78</v>
      </c>
      <c r="K274">
        <v>0</v>
      </c>
      <c r="L274">
        <v>3.8699999999999998E-2</v>
      </c>
      <c r="M274">
        <v>0.1071</v>
      </c>
      <c r="N274">
        <v>101.6478</v>
      </c>
      <c r="O274" t="s">
        <v>230</v>
      </c>
      <c r="P274" t="s">
        <v>79</v>
      </c>
      <c r="Q274">
        <f>I274-(K274*Standards!$I$15)</f>
        <v>0.1061</v>
      </c>
    </row>
    <row r="275" spans="1:23">
      <c r="A275">
        <v>55</v>
      </c>
      <c r="B275">
        <v>0</v>
      </c>
      <c r="C275">
        <v>0</v>
      </c>
      <c r="D275">
        <v>35.39</v>
      </c>
      <c r="E275">
        <v>0</v>
      </c>
      <c r="F275">
        <v>0</v>
      </c>
      <c r="G275">
        <v>5.0000000000000001E-4</v>
      </c>
      <c r="H275">
        <v>30.64</v>
      </c>
      <c r="I275">
        <v>0.1182</v>
      </c>
      <c r="J275">
        <v>34.74</v>
      </c>
      <c r="K275">
        <v>0</v>
      </c>
      <c r="L275">
        <v>2.2100000000000002E-2</v>
      </c>
      <c r="M275">
        <v>0.11119999999999999</v>
      </c>
      <c r="N275">
        <v>101.0219</v>
      </c>
      <c r="O275" t="s">
        <v>230</v>
      </c>
      <c r="P275" t="s">
        <v>79</v>
      </c>
      <c r="Q275">
        <f>I275-(K275*Standards!$I$15)</f>
        <v>0.1182</v>
      </c>
    </row>
    <row r="276" spans="1:23">
      <c r="A276">
        <v>56</v>
      </c>
      <c r="B276">
        <v>0</v>
      </c>
      <c r="C276">
        <v>0</v>
      </c>
      <c r="D276">
        <v>35.71</v>
      </c>
      <c r="E276">
        <v>0</v>
      </c>
      <c r="F276">
        <v>0</v>
      </c>
      <c r="G276">
        <v>0</v>
      </c>
      <c r="H276">
        <v>30.91</v>
      </c>
      <c r="I276">
        <v>0.1167</v>
      </c>
      <c r="J276">
        <v>34.69</v>
      </c>
      <c r="K276">
        <v>0</v>
      </c>
      <c r="L276">
        <v>4.3200000000000002E-2</v>
      </c>
      <c r="M276">
        <v>0.1114</v>
      </c>
      <c r="N276">
        <v>101.5812</v>
      </c>
      <c r="O276" t="s">
        <v>230</v>
      </c>
      <c r="P276" t="s">
        <v>79</v>
      </c>
      <c r="Q276">
        <f>I276-(K276*Standards!$I$15)</f>
        <v>0.1167</v>
      </c>
    </row>
    <row r="277" spans="1:23">
      <c r="A277">
        <v>57</v>
      </c>
      <c r="B277">
        <v>0</v>
      </c>
      <c r="C277">
        <v>0</v>
      </c>
      <c r="D277">
        <v>35.61</v>
      </c>
      <c r="E277">
        <v>0</v>
      </c>
      <c r="F277">
        <v>0</v>
      </c>
      <c r="G277">
        <v>0</v>
      </c>
      <c r="H277">
        <v>30.95</v>
      </c>
      <c r="I277">
        <v>0.1167</v>
      </c>
      <c r="J277">
        <v>34.61</v>
      </c>
      <c r="K277">
        <v>0</v>
      </c>
      <c r="L277">
        <v>3.9800000000000002E-2</v>
      </c>
      <c r="M277">
        <v>0.12509999999999999</v>
      </c>
      <c r="N277">
        <v>101.4515</v>
      </c>
      <c r="O277" t="s">
        <v>230</v>
      </c>
      <c r="P277" t="s">
        <v>79</v>
      </c>
      <c r="Q277">
        <f>I277-(K277*Standards!$I$15)</f>
        <v>0.1167</v>
      </c>
    </row>
    <row r="278" spans="1:23">
      <c r="A278">
        <v>58</v>
      </c>
      <c r="B278">
        <v>0</v>
      </c>
      <c r="C278">
        <v>0</v>
      </c>
      <c r="D278">
        <v>35.31</v>
      </c>
      <c r="E278">
        <v>0</v>
      </c>
      <c r="F278">
        <v>0</v>
      </c>
      <c r="G278">
        <v>0</v>
      </c>
      <c r="H278">
        <v>30.63</v>
      </c>
      <c r="I278">
        <v>0.12709999999999999</v>
      </c>
      <c r="J278">
        <v>34.340000000000003</v>
      </c>
      <c r="K278">
        <v>0</v>
      </c>
      <c r="L278">
        <v>9.69E-2</v>
      </c>
      <c r="M278">
        <v>0.1152</v>
      </c>
      <c r="N278">
        <v>100.6191</v>
      </c>
      <c r="O278" t="s">
        <v>230</v>
      </c>
      <c r="P278" t="s">
        <v>79</v>
      </c>
      <c r="Q278">
        <f>I278-(K278*Standards!$I$15)</f>
        <v>0.12709999999999999</v>
      </c>
    </row>
    <row r="279" spans="1:23">
      <c r="A279">
        <v>60</v>
      </c>
      <c r="B279">
        <v>0</v>
      </c>
      <c r="C279">
        <v>0</v>
      </c>
      <c r="D279">
        <v>35.32</v>
      </c>
      <c r="E279">
        <v>4.1000000000000003E-3</v>
      </c>
      <c r="F279">
        <v>0</v>
      </c>
      <c r="G279">
        <v>0</v>
      </c>
      <c r="H279">
        <v>31.21</v>
      </c>
      <c r="I279">
        <v>0.1069</v>
      </c>
      <c r="J279">
        <v>34.25</v>
      </c>
      <c r="K279">
        <v>0</v>
      </c>
      <c r="L279">
        <v>3.0099999999999998E-2</v>
      </c>
      <c r="M279">
        <v>9.3399999999999997E-2</v>
      </c>
      <c r="N279">
        <v>101.0145</v>
      </c>
      <c r="O279" t="s">
        <v>230</v>
      </c>
      <c r="P279" t="s">
        <v>79</v>
      </c>
      <c r="Q279">
        <f>I279-(K279*Standards!$I$15)</f>
        <v>0.1069</v>
      </c>
    </row>
    <row r="280" spans="1:23">
      <c r="A280">
        <v>82</v>
      </c>
      <c r="B280">
        <v>0</v>
      </c>
      <c r="C280">
        <v>0</v>
      </c>
      <c r="D280">
        <v>35.4</v>
      </c>
      <c r="E280">
        <v>0</v>
      </c>
      <c r="F280">
        <v>5.4000000000000003E-3</v>
      </c>
      <c r="G280">
        <v>0</v>
      </c>
      <c r="H280">
        <v>30.71</v>
      </c>
      <c r="I280">
        <v>0.1178</v>
      </c>
      <c r="J280">
        <v>34.35</v>
      </c>
      <c r="K280">
        <v>0</v>
      </c>
      <c r="L280">
        <v>3.1399999999999997E-2</v>
      </c>
      <c r="M280">
        <v>0.1265</v>
      </c>
      <c r="N280">
        <v>100.7411</v>
      </c>
      <c r="O280" t="s">
        <v>230</v>
      </c>
      <c r="P280" t="s">
        <v>79</v>
      </c>
      <c r="Q280">
        <f>I280-(K280*Standards!$I$15)</f>
        <v>0.1178</v>
      </c>
    </row>
    <row r="281" spans="1:23">
      <c r="A281">
        <v>83</v>
      </c>
      <c r="B281">
        <v>0</v>
      </c>
      <c r="C281">
        <v>0</v>
      </c>
      <c r="D281">
        <v>35.51</v>
      </c>
      <c r="E281">
        <v>0</v>
      </c>
      <c r="F281">
        <v>0</v>
      </c>
      <c r="G281">
        <v>0</v>
      </c>
      <c r="H281">
        <v>30.87</v>
      </c>
      <c r="I281">
        <v>0.1169</v>
      </c>
      <c r="J281">
        <v>34.479999999999997</v>
      </c>
      <c r="K281">
        <v>0</v>
      </c>
      <c r="L281">
        <v>0</v>
      </c>
      <c r="M281">
        <v>0.1212</v>
      </c>
      <c r="N281">
        <v>101.098</v>
      </c>
      <c r="O281" t="s">
        <v>230</v>
      </c>
      <c r="P281" t="s">
        <v>79</v>
      </c>
      <c r="Q281">
        <f>I281-(K281*Standards!$I$15)</f>
        <v>0.1169</v>
      </c>
    </row>
    <row r="282" spans="1:23">
      <c r="A282">
        <v>84</v>
      </c>
      <c r="B282">
        <v>0</v>
      </c>
      <c r="C282">
        <v>0</v>
      </c>
      <c r="D282">
        <v>35.340000000000003</v>
      </c>
      <c r="E282">
        <v>0</v>
      </c>
      <c r="F282">
        <v>0</v>
      </c>
      <c r="G282">
        <v>2.2000000000000001E-3</v>
      </c>
      <c r="H282">
        <v>30.99</v>
      </c>
      <c r="I282">
        <v>0.1246</v>
      </c>
      <c r="J282">
        <v>34.659999999999997</v>
      </c>
      <c r="K282">
        <v>0</v>
      </c>
      <c r="L282">
        <v>5.11E-2</v>
      </c>
      <c r="M282">
        <v>0.1348</v>
      </c>
      <c r="N282">
        <v>101.3027</v>
      </c>
      <c r="O282" t="s">
        <v>230</v>
      </c>
      <c r="P282" t="s">
        <v>79</v>
      </c>
      <c r="Q282">
        <f>I282-(K282*Standards!$I$15)</f>
        <v>0.1246</v>
      </c>
    </row>
    <row r="283" spans="1:23">
      <c r="A283">
        <v>85</v>
      </c>
      <c r="B283">
        <v>0</v>
      </c>
      <c r="C283">
        <v>0</v>
      </c>
      <c r="D283">
        <v>35.33</v>
      </c>
      <c r="E283">
        <v>0</v>
      </c>
      <c r="F283">
        <v>8.9999999999999998E-4</v>
      </c>
      <c r="G283">
        <v>0</v>
      </c>
      <c r="H283">
        <v>30.51</v>
      </c>
      <c r="I283">
        <v>0.1331</v>
      </c>
      <c r="J283">
        <v>34.29</v>
      </c>
      <c r="K283">
        <v>0</v>
      </c>
      <c r="L283">
        <v>4.99E-2</v>
      </c>
      <c r="M283">
        <v>0.12870000000000001</v>
      </c>
      <c r="N283">
        <v>100.4426</v>
      </c>
      <c r="O283" t="s">
        <v>230</v>
      </c>
      <c r="P283" t="s">
        <v>79</v>
      </c>
      <c r="Q283">
        <f>I283-(K283*Standards!$I$15)</f>
        <v>0.1331</v>
      </c>
    </row>
    <row r="284" spans="1:23">
      <c r="A284">
        <v>86</v>
      </c>
      <c r="B284">
        <v>0</v>
      </c>
      <c r="C284">
        <v>0</v>
      </c>
      <c r="D284">
        <v>35.28</v>
      </c>
      <c r="E284">
        <v>0</v>
      </c>
      <c r="F284">
        <v>0</v>
      </c>
      <c r="G284">
        <v>0</v>
      </c>
      <c r="H284">
        <v>30.87</v>
      </c>
      <c r="I284">
        <v>0.11849999999999999</v>
      </c>
      <c r="J284">
        <v>34.590000000000003</v>
      </c>
      <c r="K284">
        <v>0</v>
      </c>
      <c r="L284">
        <v>1.4E-2</v>
      </c>
      <c r="M284">
        <v>0.1341</v>
      </c>
      <c r="N284">
        <v>101.00660000000001</v>
      </c>
      <c r="O284" t="s">
        <v>230</v>
      </c>
      <c r="P284" t="s">
        <v>79</v>
      </c>
      <c r="Q284">
        <f>I284-(K284*Standards!$I$15)</f>
        <v>0.11849999999999999</v>
      </c>
    </row>
    <row r="285" spans="1:23">
      <c r="A285">
        <v>87</v>
      </c>
      <c r="B285">
        <v>1.6000000000000001E-3</v>
      </c>
      <c r="C285">
        <v>0</v>
      </c>
      <c r="D285">
        <v>35.340000000000003</v>
      </c>
      <c r="E285">
        <v>0</v>
      </c>
      <c r="F285">
        <v>0</v>
      </c>
      <c r="G285">
        <v>0</v>
      </c>
      <c r="H285">
        <v>30.7</v>
      </c>
      <c r="I285">
        <v>0.112</v>
      </c>
      <c r="J285">
        <v>34.5</v>
      </c>
      <c r="K285">
        <v>0</v>
      </c>
      <c r="L285">
        <v>2.2800000000000001E-2</v>
      </c>
      <c r="M285">
        <v>0.13400000000000001</v>
      </c>
      <c r="N285">
        <v>100.8103</v>
      </c>
      <c r="O285" t="s">
        <v>230</v>
      </c>
      <c r="P285" t="s">
        <v>79</v>
      </c>
      <c r="Q285">
        <f>I285-(K285*Standards!$I$15)</f>
        <v>0.112</v>
      </c>
    </row>
    <row r="286" spans="1:23">
      <c r="A286">
        <v>88</v>
      </c>
      <c r="B286">
        <v>0</v>
      </c>
      <c r="C286">
        <v>0</v>
      </c>
      <c r="D286">
        <v>35.69</v>
      </c>
      <c r="E286">
        <v>0</v>
      </c>
      <c r="F286">
        <v>8.9999999999999998E-4</v>
      </c>
      <c r="G286">
        <v>0</v>
      </c>
      <c r="H286">
        <v>31.12</v>
      </c>
      <c r="I286">
        <v>0.11119999999999999</v>
      </c>
      <c r="J286">
        <v>34.380000000000003</v>
      </c>
      <c r="K286">
        <v>0</v>
      </c>
      <c r="L286">
        <v>1.0500000000000001E-2</v>
      </c>
      <c r="M286">
        <v>0.13569999999999999</v>
      </c>
      <c r="N286">
        <v>101.4482</v>
      </c>
      <c r="O286" t="s">
        <v>230</v>
      </c>
      <c r="P286" t="s">
        <v>79</v>
      </c>
      <c r="Q286">
        <f>I286-(K286*Standards!$I$15)</f>
        <v>0.11119999999999999</v>
      </c>
    </row>
    <row r="287" spans="1:23">
      <c r="A287">
        <v>112</v>
      </c>
      <c r="B287">
        <v>0</v>
      </c>
      <c r="C287">
        <v>0</v>
      </c>
      <c r="D287">
        <v>35.36</v>
      </c>
      <c r="E287">
        <v>0</v>
      </c>
      <c r="F287">
        <v>0</v>
      </c>
      <c r="G287">
        <v>0</v>
      </c>
      <c r="H287">
        <v>31</v>
      </c>
      <c r="I287">
        <v>0.1062</v>
      </c>
      <c r="J287">
        <v>34.65</v>
      </c>
      <c r="K287">
        <v>0</v>
      </c>
      <c r="L287">
        <v>8.8400000000000006E-2</v>
      </c>
      <c r="M287">
        <v>0.1295</v>
      </c>
      <c r="N287">
        <v>101.33410000000001</v>
      </c>
      <c r="O287" t="s">
        <v>232</v>
      </c>
      <c r="P287" t="s">
        <v>79</v>
      </c>
      <c r="Q287">
        <f>I287-(K287*Standards!$I$15)</f>
        <v>0.1062</v>
      </c>
    </row>
    <row r="288" spans="1:23">
      <c r="A288">
        <v>8</v>
      </c>
      <c r="B288">
        <v>0</v>
      </c>
      <c r="C288">
        <v>0</v>
      </c>
      <c r="D288">
        <v>35.479999999999997</v>
      </c>
      <c r="E288">
        <v>1.77E-2</v>
      </c>
      <c r="F288">
        <v>0</v>
      </c>
      <c r="G288">
        <v>0</v>
      </c>
      <c r="H288">
        <v>31.16</v>
      </c>
      <c r="I288">
        <v>3.04E-2</v>
      </c>
      <c r="J288">
        <v>35.130000000000003</v>
      </c>
      <c r="K288">
        <v>0</v>
      </c>
      <c r="L288">
        <v>5.8099999999999999E-2</v>
      </c>
      <c r="M288">
        <v>0.12670000000000001</v>
      </c>
      <c r="N288">
        <f t="shared" ref="N288:N309" si="0">SUM(B288:M288)</f>
        <v>102.00289999999998</v>
      </c>
      <c r="O288" t="s">
        <v>233</v>
      </c>
      <c r="P288" t="s">
        <v>44</v>
      </c>
      <c r="Q288">
        <f>I288-(K288*Standards!$I$15)</f>
        <v>3.04E-2</v>
      </c>
      <c r="R288" t="s">
        <v>44</v>
      </c>
      <c r="S288" s="18">
        <f>COUNT(Q288:Q309,Q475:Q521,Q579:Q641)</f>
        <v>132</v>
      </c>
      <c r="T288" s="18">
        <f>MAX(L288:L309,L475:L521,L579:L641)</f>
        <v>0.40660000000000002</v>
      </c>
      <c r="U288" s="18">
        <f>AVERAGE(L288:L309,L475:L521,L579:L641)</f>
        <v>6.8350000000000036E-2</v>
      </c>
      <c r="V288">
        <f>10000*MAX(Q288:Q309,Q475:Q521,Q579:Q6478)</f>
        <v>1147</v>
      </c>
      <c r="W288">
        <f>10000*AVERAGE(Q288:Q309,Q475:Q521,Q579:Q641)</f>
        <v>157.36363636363635</v>
      </c>
    </row>
    <row r="289" spans="1:17">
      <c r="A289">
        <v>7</v>
      </c>
      <c r="B289">
        <v>0</v>
      </c>
      <c r="C289">
        <v>0</v>
      </c>
      <c r="D289">
        <v>35.479999999999997</v>
      </c>
      <c r="E289">
        <v>3.1600000000000003E-2</v>
      </c>
      <c r="F289">
        <v>0</v>
      </c>
      <c r="G289">
        <v>0</v>
      </c>
      <c r="H289">
        <v>31.64</v>
      </c>
      <c r="I289">
        <v>1.9199999999999998E-2</v>
      </c>
      <c r="J289">
        <v>35.17</v>
      </c>
      <c r="K289">
        <v>0</v>
      </c>
      <c r="L289">
        <v>4.3999999999999997E-2</v>
      </c>
      <c r="M289">
        <v>0.11849999999999999</v>
      </c>
      <c r="N289">
        <f t="shared" si="0"/>
        <v>102.5033</v>
      </c>
      <c r="O289" t="s">
        <v>233</v>
      </c>
      <c r="P289" t="s">
        <v>44</v>
      </c>
      <c r="Q289">
        <f>I289-(K289*Standards!$I$15)</f>
        <v>1.9199999999999998E-2</v>
      </c>
    </row>
    <row r="290" spans="1:17">
      <c r="A290">
        <v>9</v>
      </c>
      <c r="B290">
        <v>0</v>
      </c>
      <c r="C290">
        <v>0</v>
      </c>
      <c r="D290">
        <v>35.6</v>
      </c>
      <c r="E290">
        <v>2.4799999999999999E-2</v>
      </c>
      <c r="F290">
        <v>0</v>
      </c>
      <c r="G290">
        <v>0</v>
      </c>
      <c r="H290">
        <v>31.41</v>
      </c>
      <c r="I290">
        <v>1.72E-2</v>
      </c>
      <c r="J290">
        <v>35.07</v>
      </c>
      <c r="K290">
        <v>0</v>
      </c>
      <c r="L290">
        <v>3.1399999999999997E-2</v>
      </c>
      <c r="M290">
        <v>0.14729999999999999</v>
      </c>
      <c r="N290">
        <f t="shared" si="0"/>
        <v>102.30070000000002</v>
      </c>
      <c r="O290" t="s">
        <v>233</v>
      </c>
      <c r="P290" t="s">
        <v>44</v>
      </c>
      <c r="Q290">
        <f>I290-(K290*Standards!$I$15)</f>
        <v>1.72E-2</v>
      </c>
    </row>
    <row r="291" spans="1:17">
      <c r="A291">
        <v>10</v>
      </c>
      <c r="B291">
        <v>0</v>
      </c>
      <c r="C291">
        <v>0</v>
      </c>
      <c r="D291">
        <v>35.46</v>
      </c>
      <c r="E291">
        <v>2.8899999999999999E-2</v>
      </c>
      <c r="F291">
        <v>0</v>
      </c>
      <c r="G291">
        <v>0</v>
      </c>
      <c r="H291">
        <v>31.61</v>
      </c>
      <c r="I291">
        <v>1.6400000000000001E-2</v>
      </c>
      <c r="J291">
        <v>34.880000000000003</v>
      </c>
      <c r="K291">
        <v>0</v>
      </c>
      <c r="L291">
        <v>2.7E-2</v>
      </c>
      <c r="M291">
        <v>0.1162</v>
      </c>
      <c r="N291">
        <f t="shared" si="0"/>
        <v>102.13850000000002</v>
      </c>
      <c r="O291" t="s">
        <v>233</v>
      </c>
      <c r="P291" t="s">
        <v>44</v>
      </c>
      <c r="Q291">
        <f>I291-(K291*Standards!$I$15)</f>
        <v>1.6400000000000001E-2</v>
      </c>
    </row>
    <row r="292" spans="1:17">
      <c r="A292">
        <v>11</v>
      </c>
      <c r="B292">
        <v>0</v>
      </c>
      <c r="C292">
        <v>0</v>
      </c>
      <c r="D292">
        <v>35.4</v>
      </c>
      <c r="E292">
        <v>2.5700000000000001E-2</v>
      </c>
      <c r="F292">
        <v>0</v>
      </c>
      <c r="G292">
        <v>0</v>
      </c>
      <c r="H292">
        <v>31.32</v>
      </c>
      <c r="I292">
        <v>4.8999999999999998E-3</v>
      </c>
      <c r="J292">
        <v>35.01</v>
      </c>
      <c r="K292">
        <v>0</v>
      </c>
      <c r="L292">
        <v>6.0999999999999999E-2</v>
      </c>
      <c r="M292">
        <v>0.12540000000000001</v>
      </c>
      <c r="N292">
        <f t="shared" si="0"/>
        <v>101.94700000000002</v>
      </c>
      <c r="O292" t="s">
        <v>233</v>
      </c>
      <c r="P292" t="s">
        <v>44</v>
      </c>
      <c r="Q292">
        <f>I292-(K292*Standards!$I$15)</f>
        <v>4.8999999999999998E-3</v>
      </c>
    </row>
    <row r="293" spans="1:17">
      <c r="A293">
        <v>13</v>
      </c>
      <c r="B293">
        <v>0</v>
      </c>
      <c r="C293">
        <v>0</v>
      </c>
      <c r="D293">
        <v>35.42</v>
      </c>
      <c r="E293">
        <v>1.4999999999999999E-2</v>
      </c>
      <c r="F293">
        <v>0</v>
      </c>
      <c r="G293">
        <v>0</v>
      </c>
      <c r="H293">
        <v>31.22</v>
      </c>
      <c r="I293">
        <v>1.1999999999999999E-3</v>
      </c>
      <c r="J293">
        <v>35.14</v>
      </c>
      <c r="K293">
        <v>0</v>
      </c>
      <c r="L293">
        <v>4.5900000000000003E-2</v>
      </c>
      <c r="M293">
        <v>0.1321</v>
      </c>
      <c r="N293">
        <f t="shared" si="0"/>
        <v>101.9742</v>
      </c>
      <c r="O293" t="s">
        <v>233</v>
      </c>
      <c r="P293" t="s">
        <v>44</v>
      </c>
      <c r="Q293">
        <f>I293-(K293*Standards!$I$15)</f>
        <v>1.1999999999999999E-3</v>
      </c>
    </row>
    <row r="294" spans="1:17">
      <c r="A294">
        <v>16</v>
      </c>
      <c r="B294">
        <v>0</v>
      </c>
      <c r="C294">
        <v>0</v>
      </c>
      <c r="D294">
        <v>35.369999999999997</v>
      </c>
      <c r="E294">
        <v>1.89E-2</v>
      </c>
      <c r="F294">
        <v>0</v>
      </c>
      <c r="G294">
        <v>0</v>
      </c>
      <c r="H294">
        <v>31.22</v>
      </c>
      <c r="I294">
        <v>8.9999999999999998E-4</v>
      </c>
      <c r="J294">
        <v>35.090000000000003</v>
      </c>
      <c r="K294">
        <v>0</v>
      </c>
      <c r="L294">
        <v>5.11E-2</v>
      </c>
      <c r="M294">
        <v>0.13900000000000001</v>
      </c>
      <c r="N294">
        <f t="shared" si="0"/>
        <v>101.88990000000001</v>
      </c>
      <c r="O294" t="s">
        <v>233</v>
      </c>
      <c r="P294" t="s">
        <v>44</v>
      </c>
      <c r="Q294">
        <f>I294-(K294*Standards!$I$15)</f>
        <v>8.9999999999999998E-4</v>
      </c>
    </row>
    <row r="295" spans="1:17">
      <c r="A295">
        <v>14</v>
      </c>
      <c r="B295">
        <v>0</v>
      </c>
      <c r="C295">
        <v>0</v>
      </c>
      <c r="D295">
        <v>35.49</v>
      </c>
      <c r="E295">
        <v>1.6799999999999999E-2</v>
      </c>
      <c r="F295">
        <v>0</v>
      </c>
      <c r="G295">
        <v>0</v>
      </c>
      <c r="H295">
        <v>31.48</v>
      </c>
      <c r="I295">
        <v>0</v>
      </c>
      <c r="J295">
        <v>34.93</v>
      </c>
      <c r="K295">
        <v>0</v>
      </c>
      <c r="L295">
        <v>8.5000000000000006E-2</v>
      </c>
      <c r="M295">
        <v>0.13339999999999999</v>
      </c>
      <c r="N295">
        <f t="shared" si="0"/>
        <v>102.13519999999998</v>
      </c>
      <c r="O295" t="s">
        <v>233</v>
      </c>
      <c r="P295" t="s">
        <v>44</v>
      </c>
      <c r="Q295">
        <f>I295-(K295*Standards!$I$15)</f>
        <v>0</v>
      </c>
    </row>
    <row r="296" spans="1:17">
      <c r="A296">
        <v>20</v>
      </c>
      <c r="B296">
        <v>8.9999999999999998E-4</v>
      </c>
      <c r="C296">
        <v>0</v>
      </c>
      <c r="D296">
        <v>35.4</v>
      </c>
      <c r="E296">
        <v>3.8999999999999998E-3</v>
      </c>
      <c r="F296">
        <v>0</v>
      </c>
      <c r="G296">
        <v>0</v>
      </c>
      <c r="H296">
        <v>31.27</v>
      </c>
      <c r="I296">
        <v>0</v>
      </c>
      <c r="J296">
        <v>34.96</v>
      </c>
      <c r="K296">
        <v>0</v>
      </c>
      <c r="L296">
        <v>1.9900000000000001E-2</v>
      </c>
      <c r="M296">
        <v>0.111</v>
      </c>
      <c r="N296">
        <f t="shared" si="0"/>
        <v>101.76570000000002</v>
      </c>
      <c r="O296" t="s">
        <v>233</v>
      </c>
      <c r="P296" t="s">
        <v>44</v>
      </c>
      <c r="Q296">
        <f>I296-(K296*Standards!$I$15)</f>
        <v>0</v>
      </c>
    </row>
    <row r="297" spans="1:17">
      <c r="A297">
        <v>21</v>
      </c>
      <c r="B297">
        <v>0</v>
      </c>
      <c r="C297">
        <v>0</v>
      </c>
      <c r="D297">
        <v>35.31</v>
      </c>
      <c r="E297">
        <v>1.8100000000000002E-2</v>
      </c>
      <c r="F297">
        <v>0</v>
      </c>
      <c r="G297">
        <v>0</v>
      </c>
      <c r="H297">
        <v>31.1</v>
      </c>
      <c r="I297">
        <v>0</v>
      </c>
      <c r="J297">
        <v>35.049999999999997</v>
      </c>
      <c r="K297">
        <v>0</v>
      </c>
      <c r="L297">
        <v>4.2700000000000002E-2</v>
      </c>
      <c r="M297">
        <v>0.1313</v>
      </c>
      <c r="N297">
        <f t="shared" si="0"/>
        <v>101.65209999999999</v>
      </c>
      <c r="O297" t="s">
        <v>233</v>
      </c>
      <c r="P297" t="s">
        <v>44</v>
      </c>
      <c r="Q297">
        <f>I297-(K297*Standards!$I$15)</f>
        <v>0</v>
      </c>
    </row>
    <row r="298" spans="1:17">
      <c r="A298">
        <v>17</v>
      </c>
      <c r="B298">
        <v>0</v>
      </c>
      <c r="C298">
        <v>0</v>
      </c>
      <c r="D298">
        <v>35.44</v>
      </c>
      <c r="E298">
        <v>2.3900000000000001E-2</v>
      </c>
      <c r="F298">
        <v>0</v>
      </c>
      <c r="G298">
        <v>0</v>
      </c>
      <c r="H298">
        <v>31.03</v>
      </c>
      <c r="I298">
        <v>0</v>
      </c>
      <c r="J298">
        <v>34.950000000000003</v>
      </c>
      <c r="K298">
        <v>0</v>
      </c>
      <c r="L298">
        <v>4.9599999999999998E-2</v>
      </c>
      <c r="M298">
        <v>0.14749999999999999</v>
      </c>
      <c r="N298">
        <f t="shared" si="0"/>
        <v>101.64099999999999</v>
      </c>
      <c r="O298" t="s">
        <v>233</v>
      </c>
      <c r="P298" t="s">
        <v>44</v>
      </c>
      <c r="Q298">
        <f>I298-(K298*Standards!$I$15)</f>
        <v>0</v>
      </c>
    </row>
    <row r="299" spans="1:17">
      <c r="A299">
        <v>5</v>
      </c>
      <c r="B299">
        <v>0</v>
      </c>
      <c r="C299">
        <v>0</v>
      </c>
      <c r="D299">
        <v>35.42</v>
      </c>
      <c r="E299">
        <v>2.3E-2</v>
      </c>
      <c r="F299">
        <v>0</v>
      </c>
      <c r="G299">
        <v>0</v>
      </c>
      <c r="H299">
        <v>31.49</v>
      </c>
      <c r="I299">
        <v>1.8800000000000001E-2</v>
      </c>
      <c r="J299">
        <v>34.74</v>
      </c>
      <c r="K299">
        <v>0</v>
      </c>
      <c r="L299">
        <v>4.4499999999999998E-2</v>
      </c>
      <c r="M299">
        <v>0.1255</v>
      </c>
      <c r="N299">
        <f t="shared" si="0"/>
        <v>101.8618</v>
      </c>
      <c r="O299" t="s">
        <v>234</v>
      </c>
      <c r="P299" t="s">
        <v>44</v>
      </c>
      <c r="Q299">
        <f>I299-(K299*Standards!$I$15)</f>
        <v>1.8800000000000001E-2</v>
      </c>
    </row>
    <row r="300" spans="1:17">
      <c r="A300">
        <v>32</v>
      </c>
      <c r="B300">
        <v>0</v>
      </c>
      <c r="C300">
        <v>0</v>
      </c>
      <c r="D300">
        <v>34.770000000000003</v>
      </c>
      <c r="E300">
        <v>2.2700000000000001E-2</v>
      </c>
      <c r="F300">
        <v>0</v>
      </c>
      <c r="G300">
        <v>0</v>
      </c>
      <c r="H300">
        <v>30.47</v>
      </c>
      <c r="I300">
        <v>3.5000000000000001E-3</v>
      </c>
      <c r="J300">
        <v>34.11</v>
      </c>
      <c r="K300">
        <v>0</v>
      </c>
      <c r="L300">
        <v>7.3800000000000004E-2</v>
      </c>
      <c r="M300">
        <v>0.13189999999999999</v>
      </c>
      <c r="N300">
        <f t="shared" si="0"/>
        <v>99.581900000000005</v>
      </c>
      <c r="O300" t="s">
        <v>235</v>
      </c>
      <c r="P300" t="s">
        <v>44</v>
      </c>
      <c r="Q300">
        <f>I300-(K300*Standards!$I$15)</f>
        <v>3.5000000000000001E-3</v>
      </c>
    </row>
    <row r="301" spans="1:17">
      <c r="A301">
        <v>36</v>
      </c>
      <c r="B301">
        <v>7.3000000000000001E-3</v>
      </c>
      <c r="C301">
        <v>0</v>
      </c>
      <c r="D301">
        <v>34.68</v>
      </c>
      <c r="E301">
        <v>2.7900000000000001E-2</v>
      </c>
      <c r="F301">
        <v>0</v>
      </c>
      <c r="G301">
        <v>0</v>
      </c>
      <c r="H301">
        <v>30.7</v>
      </c>
      <c r="I301">
        <v>2.3E-3</v>
      </c>
      <c r="J301">
        <v>33.950000000000003</v>
      </c>
      <c r="K301">
        <v>0</v>
      </c>
      <c r="L301">
        <v>3.73E-2</v>
      </c>
      <c r="M301">
        <v>0.127</v>
      </c>
      <c r="N301">
        <f t="shared" si="0"/>
        <v>99.531800000000004</v>
      </c>
      <c r="O301" t="s">
        <v>235</v>
      </c>
      <c r="P301" t="s">
        <v>44</v>
      </c>
      <c r="Q301">
        <f>I301-(K301*Standards!$I$15)</f>
        <v>2.3E-3</v>
      </c>
    </row>
    <row r="302" spans="1:17">
      <c r="A302">
        <v>41</v>
      </c>
      <c r="B302">
        <v>1.34E-2</v>
      </c>
      <c r="C302">
        <v>0</v>
      </c>
      <c r="D302">
        <v>34.630000000000003</v>
      </c>
      <c r="E302">
        <v>2.01E-2</v>
      </c>
      <c r="F302">
        <v>0</v>
      </c>
      <c r="G302">
        <v>0</v>
      </c>
      <c r="H302">
        <v>30.53</v>
      </c>
      <c r="I302">
        <v>2E-3</v>
      </c>
      <c r="J302">
        <v>33.83</v>
      </c>
      <c r="K302">
        <v>0</v>
      </c>
      <c r="L302">
        <v>0.10680000000000001</v>
      </c>
      <c r="M302">
        <v>0.11550000000000001</v>
      </c>
      <c r="N302">
        <f t="shared" si="0"/>
        <v>99.247799999999998</v>
      </c>
      <c r="O302" t="s">
        <v>236</v>
      </c>
      <c r="P302" t="s">
        <v>44</v>
      </c>
      <c r="Q302">
        <f>I302-(K302*Standards!$I$15)</f>
        <v>2E-3</v>
      </c>
    </row>
    <row r="303" spans="1:17">
      <c r="A303">
        <v>49</v>
      </c>
      <c r="B303">
        <v>0</v>
      </c>
      <c r="C303">
        <v>0</v>
      </c>
      <c r="D303">
        <v>34.700000000000003</v>
      </c>
      <c r="E303">
        <v>3.2800000000000003E-2</v>
      </c>
      <c r="F303">
        <v>0</v>
      </c>
      <c r="G303">
        <v>0</v>
      </c>
      <c r="H303">
        <v>30.51</v>
      </c>
      <c r="I303">
        <v>0</v>
      </c>
      <c r="J303">
        <v>34.17</v>
      </c>
      <c r="K303">
        <v>0</v>
      </c>
      <c r="L303">
        <v>7.7700000000000005E-2</v>
      </c>
      <c r="M303">
        <v>0.12720000000000001</v>
      </c>
      <c r="N303">
        <f t="shared" si="0"/>
        <v>99.617699999999999</v>
      </c>
      <c r="O303" t="s">
        <v>236</v>
      </c>
      <c r="P303" t="s">
        <v>44</v>
      </c>
      <c r="Q303">
        <f>I303-(K303*Standards!$I$15)</f>
        <v>0</v>
      </c>
    </row>
    <row r="304" spans="1:17">
      <c r="A304">
        <v>48</v>
      </c>
      <c r="B304">
        <v>0</v>
      </c>
      <c r="C304">
        <v>0</v>
      </c>
      <c r="D304">
        <v>34.72</v>
      </c>
      <c r="E304">
        <v>3.8399999999999997E-2</v>
      </c>
      <c r="F304">
        <v>0</v>
      </c>
      <c r="G304">
        <v>0</v>
      </c>
      <c r="H304">
        <v>30.46</v>
      </c>
      <c r="I304">
        <v>0</v>
      </c>
      <c r="J304">
        <v>33.979999999999997</v>
      </c>
      <c r="K304">
        <v>0</v>
      </c>
      <c r="L304">
        <v>2.69E-2</v>
      </c>
      <c r="M304">
        <v>0.12379999999999999</v>
      </c>
      <c r="N304">
        <f t="shared" si="0"/>
        <v>99.349099999999993</v>
      </c>
      <c r="O304" t="s">
        <v>236</v>
      </c>
      <c r="P304" t="s">
        <v>44</v>
      </c>
      <c r="Q304">
        <f>I304-(K304*Standards!$I$15)</f>
        <v>0</v>
      </c>
    </row>
    <row r="305" spans="1:23">
      <c r="A305">
        <v>52</v>
      </c>
      <c r="B305">
        <v>3.0000000000000001E-3</v>
      </c>
      <c r="C305">
        <v>0</v>
      </c>
      <c r="D305">
        <v>34.979999999999997</v>
      </c>
      <c r="E305">
        <v>1.9099999999999999E-2</v>
      </c>
      <c r="F305">
        <v>0</v>
      </c>
      <c r="G305">
        <v>0</v>
      </c>
      <c r="H305">
        <v>30.41</v>
      </c>
      <c r="I305">
        <v>5.4999999999999997E-3</v>
      </c>
      <c r="J305">
        <v>34</v>
      </c>
      <c r="K305">
        <v>0</v>
      </c>
      <c r="L305">
        <v>4.2900000000000001E-2</v>
      </c>
      <c r="M305">
        <v>0.12640000000000001</v>
      </c>
      <c r="N305">
        <f t="shared" si="0"/>
        <v>99.5869</v>
      </c>
      <c r="O305" t="s">
        <v>237</v>
      </c>
      <c r="P305" t="s">
        <v>44</v>
      </c>
      <c r="Q305">
        <f>I305-(K305*Standards!$I$15)</f>
        <v>5.4999999999999997E-3</v>
      </c>
    </row>
    <row r="306" spans="1:23">
      <c r="A306">
        <v>57</v>
      </c>
      <c r="B306">
        <v>0</v>
      </c>
      <c r="C306">
        <v>0</v>
      </c>
      <c r="D306">
        <v>35.04</v>
      </c>
      <c r="E306">
        <v>1.83E-2</v>
      </c>
      <c r="F306">
        <v>0</v>
      </c>
      <c r="G306">
        <v>0</v>
      </c>
      <c r="H306">
        <v>30.53</v>
      </c>
      <c r="I306">
        <v>1.06E-2</v>
      </c>
      <c r="J306">
        <v>34.18</v>
      </c>
      <c r="K306">
        <v>0</v>
      </c>
      <c r="L306">
        <v>6.0100000000000001E-2</v>
      </c>
      <c r="M306">
        <v>0.114</v>
      </c>
      <c r="N306">
        <f t="shared" si="0"/>
        <v>99.953000000000003</v>
      </c>
      <c r="O306" t="s">
        <v>238</v>
      </c>
      <c r="P306" t="s">
        <v>44</v>
      </c>
      <c r="Q306">
        <f>I306-(K306*Standards!$I$15)</f>
        <v>1.06E-2</v>
      </c>
    </row>
    <row r="307" spans="1:23">
      <c r="A307">
        <v>56</v>
      </c>
      <c r="B307">
        <v>0</v>
      </c>
      <c r="C307">
        <v>0</v>
      </c>
      <c r="D307">
        <v>34.89</v>
      </c>
      <c r="E307">
        <v>2.7300000000000001E-2</v>
      </c>
      <c r="F307">
        <v>0</v>
      </c>
      <c r="G307">
        <v>0</v>
      </c>
      <c r="H307">
        <v>30.62</v>
      </c>
      <c r="I307">
        <v>8.8999999999999999E-3</v>
      </c>
      <c r="J307">
        <v>34.14</v>
      </c>
      <c r="K307">
        <v>0</v>
      </c>
      <c r="L307">
        <v>6.1699999999999998E-2</v>
      </c>
      <c r="M307">
        <v>0.13539999999999999</v>
      </c>
      <c r="N307">
        <f t="shared" si="0"/>
        <v>99.883300000000006</v>
      </c>
      <c r="O307" t="s">
        <v>238</v>
      </c>
      <c r="P307" t="s">
        <v>44</v>
      </c>
      <c r="Q307">
        <f>I307-(K307*Standards!$I$15)</f>
        <v>8.8999999999999999E-3</v>
      </c>
    </row>
    <row r="308" spans="1:23">
      <c r="A308">
        <v>59</v>
      </c>
      <c r="B308">
        <v>0</v>
      </c>
      <c r="C308">
        <v>0</v>
      </c>
      <c r="D308">
        <v>34.94</v>
      </c>
      <c r="E308">
        <v>1.8700000000000001E-2</v>
      </c>
      <c r="F308">
        <v>0</v>
      </c>
      <c r="G308">
        <v>0</v>
      </c>
      <c r="H308">
        <v>30.39</v>
      </c>
      <c r="I308">
        <v>3.3999999999999998E-3</v>
      </c>
      <c r="J308">
        <v>33.979999999999997</v>
      </c>
      <c r="K308">
        <v>0</v>
      </c>
      <c r="L308">
        <v>4.2200000000000001E-2</v>
      </c>
      <c r="M308">
        <v>0.1212</v>
      </c>
      <c r="N308">
        <f t="shared" si="0"/>
        <v>99.495499999999993</v>
      </c>
      <c r="O308" t="s">
        <v>238</v>
      </c>
      <c r="P308" t="s">
        <v>44</v>
      </c>
      <c r="Q308">
        <f>I308-(K308*Standards!$I$15)</f>
        <v>3.3999999999999998E-3</v>
      </c>
    </row>
    <row r="309" spans="1:23">
      <c r="A309">
        <v>58</v>
      </c>
      <c r="B309">
        <v>0</v>
      </c>
      <c r="C309">
        <v>0</v>
      </c>
      <c r="D309">
        <v>35.049999999999997</v>
      </c>
      <c r="E309">
        <v>2.9100000000000001E-2</v>
      </c>
      <c r="F309">
        <v>0</v>
      </c>
      <c r="G309">
        <v>0</v>
      </c>
      <c r="H309">
        <v>30.41</v>
      </c>
      <c r="I309">
        <v>0</v>
      </c>
      <c r="J309">
        <v>33.86</v>
      </c>
      <c r="K309">
        <v>0</v>
      </c>
      <c r="L309">
        <v>5.1799999999999999E-2</v>
      </c>
      <c r="M309">
        <v>0.10630000000000001</v>
      </c>
      <c r="N309">
        <f t="shared" si="0"/>
        <v>99.507199999999997</v>
      </c>
      <c r="O309" t="s">
        <v>238</v>
      </c>
      <c r="P309" t="s">
        <v>44</v>
      </c>
      <c r="Q309">
        <f>I309-(K309*Standards!$I$15)</f>
        <v>0</v>
      </c>
    </row>
    <row r="310" spans="1:23">
      <c r="A310">
        <v>111</v>
      </c>
      <c r="B310">
        <v>0</v>
      </c>
      <c r="C310">
        <v>0</v>
      </c>
      <c r="D310">
        <v>35.6</v>
      </c>
      <c r="E310">
        <v>1.1999999999999999E-3</v>
      </c>
      <c r="F310">
        <v>0</v>
      </c>
      <c r="G310">
        <v>0</v>
      </c>
      <c r="H310">
        <v>29.6</v>
      </c>
      <c r="I310">
        <v>2.9600000000000001E-2</v>
      </c>
      <c r="J310">
        <v>33.840000000000003</v>
      </c>
      <c r="K310">
        <v>0</v>
      </c>
      <c r="L310">
        <v>2.75E-2</v>
      </c>
      <c r="M310">
        <v>0.1047</v>
      </c>
      <c r="N310">
        <v>99.203000000000003</v>
      </c>
      <c r="O310" t="s">
        <v>239</v>
      </c>
      <c r="P310" t="s">
        <v>240</v>
      </c>
      <c r="Q310">
        <f>I310-(K310*Standards!$I$15)</f>
        <v>2.9600000000000001E-2</v>
      </c>
      <c r="R310" t="s">
        <v>240</v>
      </c>
      <c r="S310" s="18">
        <f>COUNT(Q310:Q318)</f>
        <v>9</v>
      </c>
      <c r="T310" s="18">
        <f>MAX(L310:L318)</f>
        <v>5.5599999999999997E-2</v>
      </c>
      <c r="U310" s="18">
        <f>AVERAGE(L310:L318)</f>
        <v>3.6277777777777784E-2</v>
      </c>
      <c r="V310">
        <f>10000*MAX(Q310:Q318)</f>
        <v>296</v>
      </c>
      <c r="W310">
        <f>10000*AVERAGE(Q310:Q318)</f>
        <v>86.555555555555557</v>
      </c>
    </row>
    <row r="311" spans="1:23">
      <c r="A311">
        <v>101</v>
      </c>
      <c r="B311">
        <v>0</v>
      </c>
      <c r="C311">
        <v>0</v>
      </c>
      <c r="D311">
        <v>35.32</v>
      </c>
      <c r="E311">
        <v>1.6999999999999999E-3</v>
      </c>
      <c r="F311">
        <v>0</v>
      </c>
      <c r="G311">
        <v>0</v>
      </c>
      <c r="H311">
        <v>30.37</v>
      </c>
      <c r="I311">
        <v>1.1900000000000001E-2</v>
      </c>
      <c r="J311">
        <v>32.409999999999997</v>
      </c>
      <c r="K311">
        <v>0</v>
      </c>
      <c r="L311">
        <v>2.2100000000000002E-2</v>
      </c>
      <c r="M311">
        <v>0.13730000000000001</v>
      </c>
      <c r="N311">
        <v>98.273099999999999</v>
      </c>
      <c r="O311" t="s">
        <v>239</v>
      </c>
      <c r="P311" t="s">
        <v>240</v>
      </c>
      <c r="Q311">
        <f>I311-(K311*Standards!$I$15)</f>
        <v>1.1900000000000001E-2</v>
      </c>
    </row>
    <row r="312" spans="1:23">
      <c r="A312">
        <v>108</v>
      </c>
      <c r="B312">
        <v>0</v>
      </c>
      <c r="C312">
        <v>0</v>
      </c>
      <c r="D312">
        <v>35.39</v>
      </c>
      <c r="E312">
        <v>1.4500000000000001E-2</v>
      </c>
      <c r="F312">
        <v>0</v>
      </c>
      <c r="G312">
        <v>0</v>
      </c>
      <c r="H312">
        <v>30.26</v>
      </c>
      <c r="I312">
        <v>1.11E-2</v>
      </c>
      <c r="J312">
        <v>32.28</v>
      </c>
      <c r="K312">
        <v>0</v>
      </c>
      <c r="L312">
        <v>2.7099999999999999E-2</v>
      </c>
      <c r="M312">
        <v>0.1502</v>
      </c>
      <c r="N312">
        <v>98.132900000000006</v>
      </c>
      <c r="O312" t="s">
        <v>239</v>
      </c>
      <c r="P312" t="s">
        <v>240</v>
      </c>
      <c r="Q312">
        <f>I312-(K312*Standards!$I$15)</f>
        <v>1.11E-2</v>
      </c>
    </row>
    <row r="313" spans="1:23">
      <c r="A313">
        <v>106</v>
      </c>
      <c r="B313">
        <v>0</v>
      </c>
      <c r="C313">
        <v>0</v>
      </c>
      <c r="D313">
        <v>35.44</v>
      </c>
      <c r="E313">
        <v>4.0000000000000001E-3</v>
      </c>
      <c r="F313">
        <v>0</v>
      </c>
      <c r="G313">
        <v>0</v>
      </c>
      <c r="H313">
        <v>30.03</v>
      </c>
      <c r="I313">
        <v>9.4000000000000004E-3</v>
      </c>
      <c r="J313">
        <v>33.11</v>
      </c>
      <c r="K313">
        <v>0</v>
      </c>
      <c r="L313">
        <v>2.0799999999999999E-2</v>
      </c>
      <c r="M313">
        <v>9.2700000000000005E-2</v>
      </c>
      <c r="N313">
        <v>98.706900000000005</v>
      </c>
      <c r="O313" t="s">
        <v>239</v>
      </c>
      <c r="P313" t="s">
        <v>240</v>
      </c>
      <c r="Q313">
        <f>I313-(K313*Standards!$I$15)</f>
        <v>9.4000000000000004E-3</v>
      </c>
    </row>
    <row r="314" spans="1:23">
      <c r="A314">
        <v>104</v>
      </c>
      <c r="B314">
        <v>0</v>
      </c>
      <c r="C314">
        <v>0</v>
      </c>
      <c r="D314">
        <v>35.92</v>
      </c>
      <c r="E314">
        <v>0</v>
      </c>
      <c r="F314">
        <v>4.4999999999999997E-3</v>
      </c>
      <c r="G314">
        <v>0</v>
      </c>
      <c r="H314">
        <v>29.95</v>
      </c>
      <c r="I314">
        <v>5.1999999999999998E-3</v>
      </c>
      <c r="J314">
        <v>33.44</v>
      </c>
      <c r="K314">
        <v>0</v>
      </c>
      <c r="L314">
        <v>4.2799999999999998E-2</v>
      </c>
      <c r="M314">
        <v>0.11890000000000001</v>
      </c>
      <c r="N314">
        <v>99.481499999999997</v>
      </c>
      <c r="O314" t="s">
        <v>239</v>
      </c>
      <c r="P314" t="s">
        <v>240</v>
      </c>
      <c r="Q314">
        <f>I314-(K314*Standards!$I$15)</f>
        <v>5.1999999999999998E-3</v>
      </c>
    </row>
    <row r="315" spans="1:23">
      <c r="A315">
        <v>102</v>
      </c>
      <c r="B315">
        <v>0</v>
      </c>
      <c r="C315">
        <v>0</v>
      </c>
      <c r="D315">
        <v>35.36</v>
      </c>
      <c r="E315">
        <v>0</v>
      </c>
      <c r="F315">
        <v>0</v>
      </c>
      <c r="G315">
        <v>0</v>
      </c>
      <c r="H315">
        <v>30.16</v>
      </c>
      <c r="I315">
        <v>4.3E-3</v>
      </c>
      <c r="J315">
        <v>33</v>
      </c>
      <c r="K315">
        <v>0</v>
      </c>
      <c r="L315">
        <v>5.5599999999999997E-2</v>
      </c>
      <c r="M315">
        <v>9.9900000000000003E-2</v>
      </c>
      <c r="N315">
        <v>98.679900000000004</v>
      </c>
      <c r="O315" t="s">
        <v>239</v>
      </c>
      <c r="P315" t="s">
        <v>240</v>
      </c>
      <c r="Q315">
        <f>I315-(K315*Standards!$I$15)</f>
        <v>4.3E-3</v>
      </c>
    </row>
    <row r="316" spans="1:23">
      <c r="A316">
        <v>105</v>
      </c>
      <c r="B316">
        <v>0</v>
      </c>
      <c r="C316">
        <v>0</v>
      </c>
      <c r="D316">
        <v>35.56</v>
      </c>
      <c r="E316">
        <v>8.2000000000000007E-3</v>
      </c>
      <c r="F316">
        <v>0</v>
      </c>
      <c r="G316">
        <v>0</v>
      </c>
      <c r="H316">
        <v>29.9</v>
      </c>
      <c r="I316">
        <v>3.8E-3</v>
      </c>
      <c r="J316">
        <v>33.47</v>
      </c>
      <c r="K316">
        <v>0</v>
      </c>
      <c r="L316">
        <v>3.4000000000000002E-2</v>
      </c>
      <c r="M316">
        <v>0.12590000000000001</v>
      </c>
      <c r="N316">
        <v>99.102000000000004</v>
      </c>
      <c r="O316" t="s">
        <v>239</v>
      </c>
      <c r="P316" t="s">
        <v>240</v>
      </c>
      <c r="Q316">
        <f>I316-(K316*Standards!$I$15)</f>
        <v>3.8E-3</v>
      </c>
    </row>
    <row r="317" spans="1:23">
      <c r="A317">
        <v>109</v>
      </c>
      <c r="B317">
        <v>0</v>
      </c>
      <c r="C317">
        <v>0</v>
      </c>
      <c r="D317">
        <v>35.340000000000003</v>
      </c>
      <c r="E317">
        <v>0</v>
      </c>
      <c r="F317">
        <v>0</v>
      </c>
      <c r="G317">
        <v>0</v>
      </c>
      <c r="H317">
        <v>30.27</v>
      </c>
      <c r="I317">
        <v>2E-3</v>
      </c>
      <c r="J317">
        <v>32.130000000000003</v>
      </c>
      <c r="K317">
        <v>0</v>
      </c>
      <c r="L317">
        <v>4.4900000000000002E-2</v>
      </c>
      <c r="M317">
        <v>0.1265</v>
      </c>
      <c r="N317">
        <v>97.913499999999999</v>
      </c>
      <c r="O317" t="s">
        <v>239</v>
      </c>
      <c r="P317" t="s">
        <v>240</v>
      </c>
      <c r="Q317">
        <f>I317-(K317*Standards!$I$15)</f>
        <v>2E-3</v>
      </c>
    </row>
    <row r="318" spans="1:23">
      <c r="A318">
        <v>110</v>
      </c>
      <c r="B318">
        <v>0</v>
      </c>
      <c r="C318">
        <v>0</v>
      </c>
      <c r="D318">
        <v>35.42</v>
      </c>
      <c r="E318">
        <v>0</v>
      </c>
      <c r="F318">
        <v>0</v>
      </c>
      <c r="G318">
        <v>0</v>
      </c>
      <c r="H318">
        <v>30.15</v>
      </c>
      <c r="I318">
        <v>5.9999999999999995E-4</v>
      </c>
      <c r="J318">
        <v>32.19</v>
      </c>
      <c r="K318">
        <v>0</v>
      </c>
      <c r="L318">
        <v>5.1700000000000003E-2</v>
      </c>
      <c r="M318">
        <v>0.13500000000000001</v>
      </c>
      <c r="N318">
        <v>97.947400000000002</v>
      </c>
      <c r="O318" t="s">
        <v>239</v>
      </c>
      <c r="P318" t="s">
        <v>240</v>
      </c>
      <c r="Q318">
        <f>I318-(K318*Standards!$I$15)</f>
        <v>5.9999999999999995E-4</v>
      </c>
    </row>
    <row r="319" spans="1:23">
      <c r="A319">
        <v>289</v>
      </c>
      <c r="B319">
        <v>0</v>
      </c>
      <c r="C319">
        <v>0</v>
      </c>
      <c r="D319">
        <v>35.18</v>
      </c>
      <c r="E319">
        <v>0</v>
      </c>
      <c r="F319">
        <v>0</v>
      </c>
      <c r="G319">
        <v>0</v>
      </c>
      <c r="H319">
        <v>30.75</v>
      </c>
      <c r="I319">
        <v>9.4700000000000006E-2</v>
      </c>
      <c r="J319">
        <v>31.56</v>
      </c>
      <c r="K319">
        <v>0</v>
      </c>
      <c r="L319">
        <v>8.9399999999999993E-2</v>
      </c>
      <c r="M319">
        <v>0.1263</v>
      </c>
      <c r="N319">
        <v>97.8005</v>
      </c>
      <c r="O319" t="s">
        <v>241</v>
      </c>
      <c r="P319" t="s">
        <v>49</v>
      </c>
      <c r="Q319">
        <f>I319-(K319*Standards!$I$15)</f>
        <v>9.4700000000000006E-2</v>
      </c>
      <c r="R319" t="s">
        <v>49</v>
      </c>
      <c r="S319" s="18">
        <f>COUNT(Q319:Q346)</f>
        <v>28</v>
      </c>
      <c r="T319" s="18">
        <f>MAX(L319:L325,L329:L346)</f>
        <v>8.9399999999999993E-2</v>
      </c>
      <c r="U319" s="18">
        <f>AVERAGE(L319:L325,L329:L346)</f>
        <v>2.5227999999999997E-2</v>
      </c>
      <c r="V319">
        <f>10000*MAX(Q319:Q346)</f>
        <v>947.00000000000011</v>
      </c>
      <c r="W319">
        <f>10000*AVERAGE(Q319:Q346)</f>
        <v>342.32142857142861</v>
      </c>
    </row>
    <row r="320" spans="1:23">
      <c r="A320">
        <v>287</v>
      </c>
      <c r="B320">
        <v>0</v>
      </c>
      <c r="C320">
        <v>0</v>
      </c>
      <c r="D320">
        <v>35.200000000000003</v>
      </c>
      <c r="E320">
        <v>1.03E-2</v>
      </c>
      <c r="F320">
        <v>0</v>
      </c>
      <c r="G320">
        <v>0</v>
      </c>
      <c r="H320">
        <v>30.92</v>
      </c>
      <c r="I320">
        <v>9.1800000000000007E-2</v>
      </c>
      <c r="J320">
        <v>31.44</v>
      </c>
      <c r="K320">
        <v>0</v>
      </c>
      <c r="L320">
        <v>3.1099999999999999E-2</v>
      </c>
      <c r="M320">
        <v>0.104</v>
      </c>
      <c r="N320">
        <v>97.797200000000004</v>
      </c>
      <c r="O320" t="s">
        <v>241</v>
      </c>
      <c r="P320" t="s">
        <v>49</v>
      </c>
      <c r="Q320">
        <f>I320-(K320*Standards!$I$15)</f>
        <v>9.1800000000000007E-2</v>
      </c>
    </row>
    <row r="321" spans="1:17">
      <c r="A321">
        <v>286</v>
      </c>
      <c r="B321">
        <v>0</v>
      </c>
      <c r="C321">
        <v>0</v>
      </c>
      <c r="D321">
        <v>35.229999999999997</v>
      </c>
      <c r="E321">
        <v>4.1999999999999997E-3</v>
      </c>
      <c r="F321">
        <v>0</v>
      </c>
      <c r="G321">
        <v>0</v>
      </c>
      <c r="H321">
        <v>30.87</v>
      </c>
      <c r="I321">
        <v>8.1500000000000003E-2</v>
      </c>
      <c r="J321">
        <v>31.25</v>
      </c>
      <c r="K321">
        <v>0</v>
      </c>
      <c r="L321">
        <v>1.77E-2</v>
      </c>
      <c r="M321">
        <v>9.0899999999999995E-2</v>
      </c>
      <c r="N321">
        <v>97.544300000000007</v>
      </c>
      <c r="O321" t="s">
        <v>241</v>
      </c>
      <c r="P321" t="s">
        <v>49</v>
      </c>
      <c r="Q321">
        <f>I321-(K321*Standards!$I$15)</f>
        <v>8.1500000000000003E-2</v>
      </c>
    </row>
    <row r="322" spans="1:17">
      <c r="A322">
        <v>288</v>
      </c>
      <c r="B322">
        <v>0</v>
      </c>
      <c r="C322">
        <v>0</v>
      </c>
      <c r="D322">
        <v>35.090000000000003</v>
      </c>
      <c r="E322">
        <v>0</v>
      </c>
      <c r="F322">
        <v>0</v>
      </c>
      <c r="G322">
        <v>0</v>
      </c>
      <c r="H322">
        <v>30.85</v>
      </c>
      <c r="I322">
        <v>6.7299999999999999E-2</v>
      </c>
      <c r="J322">
        <v>30.96</v>
      </c>
      <c r="K322">
        <v>0</v>
      </c>
      <c r="L322">
        <v>1.1299999999999999E-2</v>
      </c>
      <c r="M322">
        <v>0.1012</v>
      </c>
      <c r="N322">
        <v>97.079800000000006</v>
      </c>
      <c r="O322" t="s">
        <v>241</v>
      </c>
      <c r="P322" t="s">
        <v>49</v>
      </c>
      <c r="Q322">
        <f>I322-(K322*Standards!$I$15)</f>
        <v>6.7299999999999999E-2</v>
      </c>
    </row>
    <row r="323" spans="1:17">
      <c r="A323">
        <v>290</v>
      </c>
      <c r="B323">
        <v>0</v>
      </c>
      <c r="C323">
        <v>0</v>
      </c>
      <c r="D323">
        <v>35.18</v>
      </c>
      <c r="E323">
        <v>2.9999999999999997E-4</v>
      </c>
      <c r="F323">
        <v>0</v>
      </c>
      <c r="G323">
        <v>0</v>
      </c>
      <c r="H323">
        <v>30.68</v>
      </c>
      <c r="I323">
        <v>6.6500000000000004E-2</v>
      </c>
      <c r="J323">
        <v>31.11</v>
      </c>
      <c r="K323">
        <v>0</v>
      </c>
      <c r="L323">
        <v>1.84E-2</v>
      </c>
      <c r="M323">
        <v>8.3099999999999993E-2</v>
      </c>
      <c r="N323">
        <v>97.138400000000004</v>
      </c>
      <c r="O323" t="s">
        <v>241</v>
      </c>
      <c r="P323" t="s">
        <v>49</v>
      </c>
      <c r="Q323">
        <f>I323-(K323*Standards!$I$15)</f>
        <v>6.6500000000000004E-2</v>
      </c>
    </row>
    <row r="324" spans="1:17">
      <c r="A324">
        <v>270</v>
      </c>
      <c r="B324">
        <v>1.5E-3</v>
      </c>
      <c r="C324">
        <v>0</v>
      </c>
      <c r="D324">
        <v>35.26</v>
      </c>
      <c r="E324">
        <v>4.5999999999999999E-3</v>
      </c>
      <c r="F324">
        <v>0</v>
      </c>
      <c r="G324">
        <v>0</v>
      </c>
      <c r="H324">
        <v>31.16</v>
      </c>
      <c r="I324">
        <v>4.2900000000000001E-2</v>
      </c>
      <c r="J324">
        <v>30.64</v>
      </c>
      <c r="K324">
        <v>0</v>
      </c>
      <c r="L324">
        <v>7.9000000000000008E-3</v>
      </c>
      <c r="M324">
        <v>0.11219999999999999</v>
      </c>
      <c r="N324">
        <v>97.229100000000003</v>
      </c>
      <c r="O324" t="s">
        <v>241</v>
      </c>
      <c r="P324" t="s">
        <v>49</v>
      </c>
      <c r="Q324">
        <f>I324-(K324*Standards!$I$15)</f>
        <v>4.2900000000000001E-2</v>
      </c>
    </row>
    <row r="325" spans="1:17">
      <c r="A325">
        <v>272</v>
      </c>
      <c r="B325">
        <v>2.2000000000000001E-3</v>
      </c>
      <c r="C325">
        <v>0</v>
      </c>
      <c r="D325">
        <v>35.229999999999997</v>
      </c>
      <c r="E325">
        <v>0</v>
      </c>
      <c r="F325">
        <v>0</v>
      </c>
      <c r="G325">
        <v>0</v>
      </c>
      <c r="H325">
        <v>30.95</v>
      </c>
      <c r="I325">
        <v>1E-4</v>
      </c>
      <c r="J325">
        <v>30.52</v>
      </c>
      <c r="K325">
        <v>0</v>
      </c>
      <c r="L325">
        <v>4.5400000000000003E-2</v>
      </c>
      <c r="M325">
        <v>7.6700000000000004E-2</v>
      </c>
      <c r="N325">
        <v>96.8245</v>
      </c>
      <c r="O325" t="s">
        <v>241</v>
      </c>
      <c r="P325" t="s">
        <v>49</v>
      </c>
      <c r="Q325">
        <f>I325-(K325*Standards!$I$15)</f>
        <v>1E-4</v>
      </c>
    </row>
    <row r="326" spans="1:17">
      <c r="A326">
        <v>273</v>
      </c>
      <c r="B326">
        <v>0</v>
      </c>
      <c r="C326">
        <v>0</v>
      </c>
      <c r="D326">
        <v>35.229999999999997</v>
      </c>
      <c r="E326">
        <v>8.9999999999999998E-4</v>
      </c>
      <c r="F326">
        <v>0</v>
      </c>
      <c r="G326">
        <v>0</v>
      </c>
      <c r="H326">
        <v>31.12</v>
      </c>
      <c r="I326">
        <v>0</v>
      </c>
      <c r="J326">
        <v>31.15</v>
      </c>
      <c r="K326">
        <v>0</v>
      </c>
      <c r="L326">
        <v>3.0499999999999999E-2</v>
      </c>
      <c r="M326">
        <v>9.8199999999999996E-2</v>
      </c>
      <c r="N326">
        <v>97.6297</v>
      </c>
      <c r="O326" t="s">
        <v>241</v>
      </c>
      <c r="P326" t="s">
        <v>49</v>
      </c>
      <c r="Q326">
        <f>I326-(K326*Standards!$I$15)</f>
        <v>0</v>
      </c>
    </row>
    <row r="327" spans="1:17">
      <c r="A327">
        <v>314</v>
      </c>
      <c r="B327">
        <v>0</v>
      </c>
      <c r="C327">
        <v>0</v>
      </c>
      <c r="D327">
        <v>34.82</v>
      </c>
      <c r="E327">
        <v>0.1724</v>
      </c>
      <c r="F327">
        <v>0</v>
      </c>
      <c r="G327">
        <v>0</v>
      </c>
      <c r="H327">
        <v>29.58</v>
      </c>
      <c r="I327">
        <v>4.6600000000000003E-2</v>
      </c>
      <c r="J327">
        <v>31.46</v>
      </c>
      <c r="K327">
        <v>0</v>
      </c>
      <c r="L327">
        <v>1.52</v>
      </c>
      <c r="M327">
        <v>0.11070000000000001</v>
      </c>
      <c r="N327">
        <v>97.709800000000001</v>
      </c>
      <c r="O327" t="s">
        <v>242</v>
      </c>
      <c r="P327" t="s">
        <v>49</v>
      </c>
      <c r="Q327">
        <f>I327-(K327*Standards!$I$15)</f>
        <v>4.6600000000000003E-2</v>
      </c>
    </row>
    <row r="328" spans="1:17">
      <c r="A328">
        <v>313</v>
      </c>
      <c r="B328">
        <v>0</v>
      </c>
      <c r="C328">
        <v>0</v>
      </c>
      <c r="D328">
        <v>34.76</v>
      </c>
      <c r="E328">
        <v>0.20530000000000001</v>
      </c>
      <c r="F328">
        <v>0</v>
      </c>
      <c r="G328">
        <v>0</v>
      </c>
      <c r="H328">
        <v>29.29</v>
      </c>
      <c r="I328">
        <v>4.53E-2</v>
      </c>
      <c r="J328">
        <v>31.33</v>
      </c>
      <c r="K328">
        <v>0</v>
      </c>
      <c r="L328">
        <v>1.98</v>
      </c>
      <c r="M328">
        <v>0.113</v>
      </c>
      <c r="N328">
        <v>97.723699999999994</v>
      </c>
      <c r="O328" t="s">
        <v>242</v>
      </c>
      <c r="P328" t="s">
        <v>49</v>
      </c>
      <c r="Q328">
        <f>I328-(K328*Standards!$I$15)</f>
        <v>4.53E-2</v>
      </c>
    </row>
    <row r="329" spans="1:17">
      <c r="A329">
        <v>19</v>
      </c>
      <c r="B329">
        <v>0</v>
      </c>
      <c r="C329">
        <v>0</v>
      </c>
      <c r="D329">
        <v>35.520000000000003</v>
      </c>
      <c r="E329">
        <v>9.5999999999999992E-3</v>
      </c>
      <c r="F329">
        <v>0</v>
      </c>
      <c r="G329">
        <v>0</v>
      </c>
      <c r="H329">
        <v>31.08</v>
      </c>
      <c r="I329">
        <v>3.2000000000000001E-2</v>
      </c>
      <c r="J329">
        <v>34.57</v>
      </c>
      <c r="K329">
        <v>0</v>
      </c>
      <c r="L329">
        <v>3.4700000000000002E-2</v>
      </c>
      <c r="M329">
        <v>0.15010000000000001</v>
      </c>
      <c r="N329">
        <v>101.3963</v>
      </c>
      <c r="O329" t="s">
        <v>243</v>
      </c>
      <c r="P329" t="s">
        <v>49</v>
      </c>
      <c r="Q329">
        <f>I329-(K329*Standards!$I$15)</f>
        <v>3.2000000000000001E-2</v>
      </c>
    </row>
    <row r="330" spans="1:17">
      <c r="A330">
        <v>14</v>
      </c>
      <c r="B330">
        <v>0</v>
      </c>
      <c r="C330">
        <v>0</v>
      </c>
      <c r="D330">
        <v>35.46</v>
      </c>
      <c r="E330">
        <v>0</v>
      </c>
      <c r="F330">
        <v>0</v>
      </c>
      <c r="G330">
        <v>0</v>
      </c>
      <c r="H330">
        <v>31.06</v>
      </c>
      <c r="I330">
        <v>3.04E-2</v>
      </c>
      <c r="J330">
        <v>34.74</v>
      </c>
      <c r="K330">
        <v>0</v>
      </c>
      <c r="L330">
        <v>2.1100000000000001E-2</v>
      </c>
      <c r="M330">
        <v>0.1202</v>
      </c>
      <c r="N330">
        <v>101.43170000000001</v>
      </c>
      <c r="O330" t="s">
        <v>243</v>
      </c>
      <c r="P330" t="s">
        <v>49</v>
      </c>
      <c r="Q330">
        <f>I330-(K330*Standards!$I$15)</f>
        <v>3.04E-2</v>
      </c>
    </row>
    <row r="331" spans="1:17">
      <c r="A331">
        <v>35</v>
      </c>
      <c r="B331">
        <v>0</v>
      </c>
      <c r="C331">
        <v>0</v>
      </c>
      <c r="D331">
        <v>35.31</v>
      </c>
      <c r="E331">
        <v>5.4000000000000003E-3</v>
      </c>
      <c r="F331">
        <v>0</v>
      </c>
      <c r="G331">
        <v>0</v>
      </c>
      <c r="H331">
        <v>31.39</v>
      </c>
      <c r="I331">
        <v>2.3199999999999998E-2</v>
      </c>
      <c r="J331">
        <v>34.75</v>
      </c>
      <c r="K331">
        <v>0</v>
      </c>
      <c r="L331">
        <v>1.83E-2</v>
      </c>
      <c r="M331">
        <v>0.12720000000000001</v>
      </c>
      <c r="N331">
        <v>101.624</v>
      </c>
      <c r="O331" t="s">
        <v>243</v>
      </c>
      <c r="P331" t="s">
        <v>49</v>
      </c>
      <c r="Q331">
        <f>I331-(K331*Standards!$I$15)</f>
        <v>2.3199999999999998E-2</v>
      </c>
    </row>
    <row r="332" spans="1:17">
      <c r="A332">
        <v>28</v>
      </c>
      <c r="B332">
        <v>1.1000000000000001E-3</v>
      </c>
      <c r="C332">
        <v>0</v>
      </c>
      <c r="D332">
        <v>35.020000000000003</v>
      </c>
      <c r="E332">
        <v>1.3899999999999999E-2</v>
      </c>
      <c r="F332">
        <v>0</v>
      </c>
      <c r="G332">
        <v>0</v>
      </c>
      <c r="H332">
        <v>31.06</v>
      </c>
      <c r="I332">
        <v>2.29E-2</v>
      </c>
      <c r="J332">
        <v>34.47</v>
      </c>
      <c r="K332">
        <v>0</v>
      </c>
      <c r="L332">
        <v>2.2800000000000001E-2</v>
      </c>
      <c r="M332">
        <v>0.1381</v>
      </c>
      <c r="N332">
        <v>100.7487</v>
      </c>
      <c r="O332" t="s">
        <v>243</v>
      </c>
      <c r="P332" t="s">
        <v>49</v>
      </c>
      <c r="Q332">
        <f>I332-(K332*Standards!$I$15)</f>
        <v>2.29E-2</v>
      </c>
    </row>
    <row r="333" spans="1:17">
      <c r="A333">
        <v>20</v>
      </c>
      <c r="B333">
        <v>0</v>
      </c>
      <c r="C333">
        <v>0</v>
      </c>
      <c r="D333">
        <v>35.299999999999997</v>
      </c>
      <c r="E333">
        <v>3.2000000000000002E-3</v>
      </c>
      <c r="F333">
        <v>0</v>
      </c>
      <c r="G333">
        <v>0</v>
      </c>
      <c r="H333">
        <v>30.96</v>
      </c>
      <c r="I333">
        <v>2.0299999999999999E-2</v>
      </c>
      <c r="J333">
        <v>34.5</v>
      </c>
      <c r="K333">
        <v>0</v>
      </c>
      <c r="L333">
        <v>3.3399999999999999E-2</v>
      </c>
      <c r="M333">
        <v>0.13200000000000001</v>
      </c>
      <c r="N333">
        <v>100.94889999999999</v>
      </c>
      <c r="O333" t="s">
        <v>243</v>
      </c>
      <c r="P333" t="s">
        <v>49</v>
      </c>
      <c r="Q333">
        <f>I333-(K333*Standards!$I$15)</f>
        <v>2.0299999999999999E-2</v>
      </c>
    </row>
    <row r="334" spans="1:17">
      <c r="A334">
        <v>33</v>
      </c>
      <c r="B334">
        <v>1.4200000000000001E-2</v>
      </c>
      <c r="C334">
        <v>0</v>
      </c>
      <c r="D334">
        <v>35.380000000000003</v>
      </c>
      <c r="E334">
        <v>1.18E-2</v>
      </c>
      <c r="F334">
        <v>0</v>
      </c>
      <c r="G334">
        <v>0</v>
      </c>
      <c r="H334">
        <v>31.13</v>
      </c>
      <c r="I334">
        <v>1.9300000000000001E-2</v>
      </c>
      <c r="J334">
        <v>34.68</v>
      </c>
      <c r="K334">
        <v>0</v>
      </c>
      <c r="L334">
        <v>2.1100000000000001E-2</v>
      </c>
      <c r="M334">
        <v>0.1323</v>
      </c>
      <c r="N334">
        <v>101.3886</v>
      </c>
      <c r="O334" t="s">
        <v>243</v>
      </c>
      <c r="P334" t="s">
        <v>49</v>
      </c>
      <c r="Q334">
        <f>I334-(K334*Standards!$I$15)</f>
        <v>1.9300000000000001E-2</v>
      </c>
    </row>
    <row r="335" spans="1:17">
      <c r="A335">
        <v>34</v>
      </c>
      <c r="B335">
        <v>2.5700000000000001E-2</v>
      </c>
      <c r="C335">
        <v>0</v>
      </c>
      <c r="D335">
        <v>35.479999999999997</v>
      </c>
      <c r="E335">
        <v>8.5000000000000006E-3</v>
      </c>
      <c r="F335">
        <v>0</v>
      </c>
      <c r="G335">
        <v>0</v>
      </c>
      <c r="H335">
        <v>31.56</v>
      </c>
      <c r="I335">
        <v>1.67E-2</v>
      </c>
      <c r="J335">
        <v>34.590000000000003</v>
      </c>
      <c r="K335">
        <v>0</v>
      </c>
      <c r="L335">
        <v>1.83E-2</v>
      </c>
      <c r="M335">
        <v>0.1226</v>
      </c>
      <c r="N335">
        <v>101.82170000000001</v>
      </c>
      <c r="O335" t="s">
        <v>243</v>
      </c>
      <c r="P335" t="s">
        <v>49</v>
      </c>
      <c r="Q335">
        <f>I335-(K335*Standards!$I$15)</f>
        <v>1.67E-2</v>
      </c>
    </row>
    <row r="336" spans="1:17">
      <c r="A336">
        <v>16</v>
      </c>
      <c r="B336">
        <v>0</v>
      </c>
      <c r="C336">
        <v>0</v>
      </c>
      <c r="D336">
        <v>35.42</v>
      </c>
      <c r="E336">
        <v>6.4000000000000003E-3</v>
      </c>
      <c r="F336">
        <v>0</v>
      </c>
      <c r="G336">
        <v>0</v>
      </c>
      <c r="H336">
        <v>31.05</v>
      </c>
      <c r="I336">
        <v>1.6199999999999999E-2</v>
      </c>
      <c r="J336">
        <v>34.630000000000003</v>
      </c>
      <c r="K336">
        <v>0</v>
      </c>
      <c r="L336">
        <v>4.3299999999999998E-2</v>
      </c>
      <c r="M336">
        <v>0.14380000000000001</v>
      </c>
      <c r="N336">
        <v>101.3096</v>
      </c>
      <c r="O336" t="s">
        <v>243</v>
      </c>
      <c r="P336" t="s">
        <v>49</v>
      </c>
      <c r="Q336">
        <f>I336-(K336*Standards!$I$15)</f>
        <v>1.6199999999999999E-2</v>
      </c>
    </row>
    <row r="337" spans="1:24">
      <c r="A337">
        <v>21</v>
      </c>
      <c r="B337">
        <v>0</v>
      </c>
      <c r="C337">
        <v>0</v>
      </c>
      <c r="D337">
        <v>35.340000000000003</v>
      </c>
      <c r="E337">
        <v>1.3899999999999999E-2</v>
      </c>
      <c r="F337">
        <v>0</v>
      </c>
      <c r="G337">
        <v>0</v>
      </c>
      <c r="H337">
        <v>31.5</v>
      </c>
      <c r="I337">
        <v>1.38E-2</v>
      </c>
      <c r="J337">
        <v>34.53</v>
      </c>
      <c r="K337">
        <v>0</v>
      </c>
      <c r="L337">
        <v>5.5100000000000003E-2</v>
      </c>
      <c r="M337">
        <v>0.1201</v>
      </c>
      <c r="N337">
        <v>101.5728</v>
      </c>
      <c r="O337" t="s">
        <v>243</v>
      </c>
      <c r="P337" t="s">
        <v>49</v>
      </c>
      <c r="Q337">
        <f>I337-(K337*Standards!$I$15)</f>
        <v>1.38E-2</v>
      </c>
    </row>
    <row r="338" spans="1:24">
      <c r="A338">
        <v>3</v>
      </c>
      <c r="B338">
        <v>3.5000000000000001E-3</v>
      </c>
      <c r="C338">
        <v>0</v>
      </c>
      <c r="D338">
        <v>35.229999999999997</v>
      </c>
      <c r="E338">
        <v>7.7000000000000002E-3</v>
      </c>
      <c r="F338">
        <v>0</v>
      </c>
      <c r="G338">
        <v>0</v>
      </c>
      <c r="H338">
        <v>31.44</v>
      </c>
      <c r="I338">
        <v>3.4200000000000001E-2</v>
      </c>
      <c r="J338">
        <v>34.58</v>
      </c>
      <c r="K338">
        <v>0</v>
      </c>
      <c r="L338">
        <v>3.4799999999999998E-2</v>
      </c>
      <c r="M338">
        <v>0.1045</v>
      </c>
      <c r="N338">
        <v>101.43470000000001</v>
      </c>
      <c r="O338" t="s">
        <v>244</v>
      </c>
      <c r="P338" t="s">
        <v>49</v>
      </c>
      <c r="Q338">
        <f>I338-(K338*Standards!$I$15)</f>
        <v>3.4200000000000001E-2</v>
      </c>
    </row>
    <row r="339" spans="1:24">
      <c r="A339">
        <v>10</v>
      </c>
      <c r="B339">
        <v>4.1000000000000003E-3</v>
      </c>
      <c r="C339">
        <v>0</v>
      </c>
      <c r="D339">
        <v>35.380000000000003</v>
      </c>
      <c r="E339">
        <v>1.43E-2</v>
      </c>
      <c r="F339">
        <v>0</v>
      </c>
      <c r="G339">
        <v>0</v>
      </c>
      <c r="H339">
        <v>31.43</v>
      </c>
      <c r="I339">
        <v>2.6599999999999999E-2</v>
      </c>
      <c r="J339">
        <v>34.57</v>
      </c>
      <c r="K339">
        <v>0</v>
      </c>
      <c r="L339">
        <v>0</v>
      </c>
      <c r="M339">
        <v>0.1295</v>
      </c>
      <c r="N339">
        <v>101.5545</v>
      </c>
      <c r="O339" t="s">
        <v>244</v>
      </c>
      <c r="P339" t="s">
        <v>49</v>
      </c>
      <c r="Q339">
        <f>I339-(K339*Standards!$I$15)</f>
        <v>2.6599999999999999E-2</v>
      </c>
    </row>
    <row r="340" spans="1:24">
      <c r="A340">
        <v>7</v>
      </c>
      <c r="B340">
        <v>1E-3</v>
      </c>
      <c r="C340">
        <v>0</v>
      </c>
      <c r="D340">
        <v>35.56</v>
      </c>
      <c r="E340">
        <v>0</v>
      </c>
      <c r="F340">
        <v>0</v>
      </c>
      <c r="G340">
        <v>0</v>
      </c>
      <c r="H340">
        <v>31.54</v>
      </c>
      <c r="I340">
        <v>2.6200000000000001E-2</v>
      </c>
      <c r="J340">
        <v>34.56</v>
      </c>
      <c r="K340">
        <v>0</v>
      </c>
      <c r="L340">
        <v>1.38E-2</v>
      </c>
      <c r="M340">
        <v>0.15010000000000001</v>
      </c>
      <c r="N340">
        <v>101.851</v>
      </c>
      <c r="O340" t="s">
        <v>244</v>
      </c>
      <c r="P340" t="s">
        <v>49</v>
      </c>
      <c r="Q340">
        <f>I340-(K340*Standards!$I$15)</f>
        <v>2.6200000000000001E-2</v>
      </c>
    </row>
    <row r="341" spans="1:24">
      <c r="A341">
        <v>6</v>
      </c>
      <c r="B341">
        <v>0</v>
      </c>
      <c r="C341">
        <v>0</v>
      </c>
      <c r="D341">
        <v>35.299999999999997</v>
      </c>
      <c r="E341">
        <v>3.0000000000000001E-3</v>
      </c>
      <c r="F341">
        <v>0</v>
      </c>
      <c r="G341">
        <v>0</v>
      </c>
      <c r="H341">
        <v>31.19</v>
      </c>
      <c r="I341">
        <v>2.6100000000000002E-2</v>
      </c>
      <c r="J341">
        <v>34.6</v>
      </c>
      <c r="K341">
        <v>0</v>
      </c>
      <c r="L341">
        <v>1.1599999999999999E-2</v>
      </c>
      <c r="M341">
        <v>0.14549999999999999</v>
      </c>
      <c r="N341">
        <v>101.2761</v>
      </c>
      <c r="O341" t="s">
        <v>244</v>
      </c>
      <c r="P341" t="s">
        <v>49</v>
      </c>
      <c r="Q341">
        <f>I341-(K341*Standards!$I$15)</f>
        <v>2.6100000000000002E-2</v>
      </c>
    </row>
    <row r="342" spans="1:24">
      <c r="A342">
        <v>8</v>
      </c>
      <c r="B342">
        <v>5.7000000000000002E-3</v>
      </c>
      <c r="C342">
        <v>0</v>
      </c>
      <c r="D342">
        <v>35.47</v>
      </c>
      <c r="E342">
        <v>0</v>
      </c>
      <c r="F342">
        <v>0</v>
      </c>
      <c r="G342">
        <v>0</v>
      </c>
      <c r="H342">
        <v>31.64</v>
      </c>
      <c r="I342">
        <v>2.4899999999999999E-2</v>
      </c>
      <c r="J342">
        <v>34.69</v>
      </c>
      <c r="K342">
        <v>0</v>
      </c>
      <c r="L342">
        <v>1.8200000000000001E-2</v>
      </c>
      <c r="M342">
        <v>0.13120000000000001</v>
      </c>
      <c r="N342">
        <v>101.9799</v>
      </c>
      <c r="O342" t="s">
        <v>244</v>
      </c>
      <c r="P342" t="s">
        <v>49</v>
      </c>
      <c r="Q342">
        <f>I342-(K342*Standards!$I$15)</f>
        <v>2.4899999999999999E-2</v>
      </c>
    </row>
    <row r="343" spans="1:24">
      <c r="A343">
        <v>5</v>
      </c>
      <c r="B343">
        <v>2.0000000000000001E-4</v>
      </c>
      <c r="C343">
        <v>0</v>
      </c>
      <c r="D343">
        <v>35.22</v>
      </c>
      <c r="E343">
        <v>6.1999999999999998E-3</v>
      </c>
      <c r="F343">
        <v>0</v>
      </c>
      <c r="G343">
        <v>0</v>
      </c>
      <c r="H343">
        <v>30.64</v>
      </c>
      <c r="I343">
        <v>2.4199999999999999E-2</v>
      </c>
      <c r="J343">
        <v>34.42</v>
      </c>
      <c r="K343">
        <v>0</v>
      </c>
      <c r="L343">
        <v>1.5900000000000001E-2</v>
      </c>
      <c r="M343">
        <v>0.12809999999999999</v>
      </c>
      <c r="N343">
        <v>100.4545</v>
      </c>
      <c r="O343" t="s">
        <v>244</v>
      </c>
      <c r="P343" t="s">
        <v>49</v>
      </c>
      <c r="Q343">
        <f>I343-(K343*Standards!$I$15)</f>
        <v>2.4199999999999999E-2</v>
      </c>
    </row>
    <row r="344" spans="1:24">
      <c r="A344">
        <v>4</v>
      </c>
      <c r="B344">
        <v>0</v>
      </c>
      <c r="C344">
        <v>0</v>
      </c>
      <c r="D344">
        <v>35.43</v>
      </c>
      <c r="E344">
        <v>0</v>
      </c>
      <c r="F344">
        <v>1.5699999999999999E-2</v>
      </c>
      <c r="G344">
        <v>0</v>
      </c>
      <c r="H344">
        <v>31.3</v>
      </c>
      <c r="I344">
        <v>2.35E-2</v>
      </c>
      <c r="J344">
        <v>34.36</v>
      </c>
      <c r="K344">
        <v>0</v>
      </c>
      <c r="L344">
        <v>1.8200000000000001E-2</v>
      </c>
      <c r="M344">
        <v>0.11890000000000001</v>
      </c>
      <c r="N344">
        <v>101.2662</v>
      </c>
      <c r="O344" t="s">
        <v>244</v>
      </c>
      <c r="P344" t="s">
        <v>49</v>
      </c>
      <c r="Q344">
        <f>I344-(K344*Standards!$I$15)</f>
        <v>2.35E-2</v>
      </c>
    </row>
    <row r="345" spans="1:24">
      <c r="A345">
        <v>9</v>
      </c>
      <c r="B345">
        <v>0</v>
      </c>
      <c r="C345">
        <v>0</v>
      </c>
      <c r="D345">
        <v>35.6</v>
      </c>
      <c r="E345">
        <v>7.0000000000000001E-3</v>
      </c>
      <c r="F345">
        <v>6.8999999999999999E-3</v>
      </c>
      <c r="G345">
        <v>0</v>
      </c>
      <c r="H345">
        <v>31.53</v>
      </c>
      <c r="I345">
        <v>2.1100000000000001E-2</v>
      </c>
      <c r="J345">
        <v>34.590000000000003</v>
      </c>
      <c r="K345">
        <v>0</v>
      </c>
      <c r="L345">
        <v>0</v>
      </c>
      <c r="M345">
        <v>0.1173</v>
      </c>
      <c r="N345">
        <v>101.8723</v>
      </c>
      <c r="O345" t="s">
        <v>244</v>
      </c>
      <c r="P345" t="s">
        <v>49</v>
      </c>
      <c r="Q345">
        <f>I345-(K345*Standards!$I$15)</f>
        <v>2.1100000000000001E-2</v>
      </c>
    </row>
    <row r="346" spans="1:24">
      <c r="A346">
        <v>11</v>
      </c>
      <c r="B346">
        <v>0</v>
      </c>
      <c r="C346">
        <v>0</v>
      </c>
      <c r="D346">
        <v>35.42</v>
      </c>
      <c r="E346">
        <v>8.9999999999999998E-4</v>
      </c>
      <c r="F346">
        <v>0</v>
      </c>
      <c r="G346">
        <v>0</v>
      </c>
      <c r="H346">
        <v>31.31</v>
      </c>
      <c r="I346">
        <v>2.0199999999999999E-2</v>
      </c>
      <c r="J346">
        <v>34.85</v>
      </c>
      <c r="K346">
        <v>0</v>
      </c>
      <c r="L346">
        <v>2.8899999999999999E-2</v>
      </c>
      <c r="M346">
        <v>0.121</v>
      </c>
      <c r="N346">
        <v>101.7509</v>
      </c>
      <c r="O346" t="s">
        <v>244</v>
      </c>
      <c r="P346" t="s">
        <v>49</v>
      </c>
      <c r="Q346">
        <f>I346-(K346*Standards!$I$15)</f>
        <v>2.0199999999999999E-2</v>
      </c>
    </row>
    <row r="347" spans="1:24">
      <c r="A347">
        <v>240</v>
      </c>
      <c r="B347">
        <v>0</v>
      </c>
      <c r="C347">
        <v>0</v>
      </c>
      <c r="D347">
        <v>34.450000000000003</v>
      </c>
      <c r="E347">
        <v>0</v>
      </c>
      <c r="F347">
        <v>0</v>
      </c>
      <c r="G347">
        <v>0</v>
      </c>
      <c r="H347">
        <v>30.34</v>
      </c>
      <c r="I347">
        <v>1.52E-2</v>
      </c>
      <c r="J347">
        <v>32.49</v>
      </c>
      <c r="K347">
        <v>1.27</v>
      </c>
      <c r="L347">
        <v>2.4199999999999999E-2</v>
      </c>
      <c r="M347">
        <v>7.8799999999999995E-2</v>
      </c>
      <c r="N347">
        <v>98.668199999999999</v>
      </c>
      <c r="O347" t="s">
        <v>245</v>
      </c>
      <c r="P347" t="s">
        <v>38</v>
      </c>
      <c r="Q347">
        <f>I347-(K347*Standards!$I$15)</f>
        <v>1.2390125E-2</v>
      </c>
      <c r="R347" t="s">
        <v>38</v>
      </c>
      <c r="S347">
        <f>COUNT(Q348:Q404)</f>
        <v>57</v>
      </c>
      <c r="T347">
        <f>MAX(L348:L404)</f>
        <v>5.0500000000000003E-2</v>
      </c>
      <c r="U347">
        <f>AVERAGE(L348:L404)</f>
        <v>2.0256140350877194E-2</v>
      </c>
      <c r="V347">
        <f>10000*MAX(Q348:Q404)</f>
        <v>822</v>
      </c>
      <c r="W347">
        <f>10000*AVERAGE(Q348:Q404)</f>
        <v>203.38596491228071</v>
      </c>
      <c r="X347">
        <f>10000*STDEV(Q348:Q404)</f>
        <v>309.85121742919756</v>
      </c>
    </row>
    <row r="348" spans="1:24">
      <c r="A348">
        <v>239</v>
      </c>
      <c r="B348">
        <v>1.5E-3</v>
      </c>
      <c r="C348">
        <v>0</v>
      </c>
      <c r="D348">
        <v>35.229999999999997</v>
      </c>
      <c r="E348">
        <v>8.2000000000000007E-3</v>
      </c>
      <c r="F348">
        <v>0</v>
      </c>
      <c r="G348">
        <v>0</v>
      </c>
      <c r="H348">
        <v>31.18</v>
      </c>
      <c r="I348">
        <v>1.11E-2</v>
      </c>
      <c r="J348">
        <v>32.840000000000003</v>
      </c>
      <c r="K348">
        <v>0</v>
      </c>
      <c r="L348">
        <v>5.0500000000000003E-2</v>
      </c>
      <c r="M348">
        <v>9.98E-2</v>
      </c>
      <c r="N348">
        <v>99.421199999999999</v>
      </c>
      <c r="O348" t="s">
        <v>245</v>
      </c>
      <c r="P348" t="s">
        <v>38</v>
      </c>
      <c r="Q348">
        <f>I348-(K348*Standards!$I$15)</f>
        <v>1.11E-2</v>
      </c>
    </row>
    <row r="349" spans="1:24">
      <c r="A349">
        <v>233</v>
      </c>
      <c r="B349">
        <v>0</v>
      </c>
      <c r="C349">
        <v>0</v>
      </c>
      <c r="D349">
        <v>35.130000000000003</v>
      </c>
      <c r="E349">
        <v>5.8999999999999999E-3</v>
      </c>
      <c r="F349">
        <v>1E-4</v>
      </c>
      <c r="G349">
        <v>0</v>
      </c>
      <c r="H349">
        <v>30.74</v>
      </c>
      <c r="I349">
        <v>9.7000000000000003E-3</v>
      </c>
      <c r="J349">
        <v>32.630000000000003</v>
      </c>
      <c r="K349">
        <v>0</v>
      </c>
      <c r="L349">
        <v>0</v>
      </c>
      <c r="M349">
        <v>0.1089</v>
      </c>
      <c r="N349">
        <v>98.624700000000004</v>
      </c>
      <c r="O349" t="s">
        <v>245</v>
      </c>
      <c r="P349" t="s">
        <v>38</v>
      </c>
      <c r="Q349">
        <f>I349-(K349*Standards!$I$15)</f>
        <v>9.7000000000000003E-3</v>
      </c>
    </row>
    <row r="350" spans="1:24">
      <c r="A350">
        <v>226</v>
      </c>
      <c r="B350">
        <v>0</v>
      </c>
      <c r="C350">
        <v>0</v>
      </c>
      <c r="D350">
        <v>35.15</v>
      </c>
      <c r="E350">
        <v>1.6000000000000001E-3</v>
      </c>
      <c r="F350">
        <v>0</v>
      </c>
      <c r="G350">
        <v>0</v>
      </c>
      <c r="H350">
        <v>31.03</v>
      </c>
      <c r="I350">
        <v>9.2999999999999992E-3</v>
      </c>
      <c r="J350">
        <v>33.32</v>
      </c>
      <c r="K350">
        <v>0</v>
      </c>
      <c r="L350">
        <v>4.3099999999999999E-2</v>
      </c>
      <c r="M350">
        <v>0.1135</v>
      </c>
      <c r="N350">
        <v>99.667599999999993</v>
      </c>
      <c r="O350" t="s">
        <v>245</v>
      </c>
      <c r="P350" t="s">
        <v>38</v>
      </c>
      <c r="Q350">
        <f>I350-(K350*Standards!$I$15)</f>
        <v>9.2999999999999992E-3</v>
      </c>
    </row>
    <row r="351" spans="1:24">
      <c r="A351">
        <v>166</v>
      </c>
      <c r="B351">
        <v>0</v>
      </c>
      <c r="C351">
        <v>0</v>
      </c>
      <c r="D351">
        <v>35.25</v>
      </c>
      <c r="E351">
        <v>0</v>
      </c>
      <c r="F351">
        <v>1.17E-2</v>
      </c>
      <c r="G351">
        <v>0</v>
      </c>
      <c r="H351">
        <v>30.79</v>
      </c>
      <c r="I351">
        <v>7.9000000000000008E-3</v>
      </c>
      <c r="J351">
        <v>35.299999999999997</v>
      </c>
      <c r="K351">
        <v>0</v>
      </c>
      <c r="L351">
        <v>4.1599999999999998E-2</v>
      </c>
      <c r="M351">
        <v>0.1202</v>
      </c>
      <c r="N351">
        <v>101.5213</v>
      </c>
      <c r="O351" t="s">
        <v>245</v>
      </c>
      <c r="P351" t="s">
        <v>38</v>
      </c>
      <c r="Q351">
        <f>I351-(K351*Standards!$I$15)</f>
        <v>7.9000000000000008E-3</v>
      </c>
    </row>
    <row r="352" spans="1:24">
      <c r="A352">
        <v>168</v>
      </c>
      <c r="B352">
        <v>1.1900000000000001E-2</v>
      </c>
      <c r="C352">
        <v>0</v>
      </c>
      <c r="D352">
        <v>32.479999999999997</v>
      </c>
      <c r="E352">
        <v>1.8E-3</v>
      </c>
      <c r="F352">
        <v>0</v>
      </c>
      <c r="G352">
        <v>0</v>
      </c>
      <c r="H352">
        <v>30.11</v>
      </c>
      <c r="I352">
        <v>6.8999999999999999E-3</v>
      </c>
      <c r="J352">
        <v>34.26</v>
      </c>
      <c r="K352">
        <v>0</v>
      </c>
      <c r="L352">
        <v>3.5000000000000003E-2</v>
      </c>
      <c r="M352">
        <v>0.1128</v>
      </c>
      <c r="N352">
        <v>97.018500000000003</v>
      </c>
      <c r="O352" t="s">
        <v>245</v>
      </c>
      <c r="P352" t="s">
        <v>38</v>
      </c>
      <c r="Q352">
        <f>I352-(K352*Standards!$I$15)</f>
        <v>6.8999999999999999E-3</v>
      </c>
    </row>
    <row r="353" spans="1:17">
      <c r="A353">
        <v>197</v>
      </c>
      <c r="B353">
        <v>0</v>
      </c>
      <c r="C353">
        <v>0</v>
      </c>
      <c r="D353">
        <v>35.15</v>
      </c>
      <c r="E353">
        <v>1.6299999999999999E-2</v>
      </c>
      <c r="F353">
        <v>0</v>
      </c>
      <c r="G353">
        <v>0</v>
      </c>
      <c r="H353">
        <v>30.97</v>
      </c>
      <c r="I353">
        <v>6.7000000000000002E-3</v>
      </c>
      <c r="J353">
        <v>32.53</v>
      </c>
      <c r="K353">
        <v>0</v>
      </c>
      <c r="L353">
        <v>1.3899999999999999E-2</v>
      </c>
      <c r="M353">
        <v>0.13</v>
      </c>
      <c r="N353">
        <v>98.816900000000004</v>
      </c>
      <c r="O353" t="s">
        <v>245</v>
      </c>
      <c r="P353" t="s">
        <v>38</v>
      </c>
      <c r="Q353">
        <f>I353-(K353*Standards!$I$15)</f>
        <v>6.7000000000000002E-3</v>
      </c>
    </row>
    <row r="354" spans="1:17">
      <c r="A354">
        <v>229</v>
      </c>
      <c r="B354">
        <v>0</v>
      </c>
      <c r="C354">
        <v>0</v>
      </c>
      <c r="D354">
        <v>35.18</v>
      </c>
      <c r="E354">
        <v>7.7999999999999996E-3</v>
      </c>
      <c r="F354">
        <v>0</v>
      </c>
      <c r="G354">
        <v>0</v>
      </c>
      <c r="H354">
        <v>31.08</v>
      </c>
      <c r="I354">
        <v>6.4000000000000003E-3</v>
      </c>
      <c r="J354">
        <v>33.15</v>
      </c>
      <c r="K354">
        <v>0</v>
      </c>
      <c r="L354">
        <v>3.3799999999999997E-2</v>
      </c>
      <c r="M354">
        <v>0.1303</v>
      </c>
      <c r="N354">
        <v>99.588399999999993</v>
      </c>
      <c r="O354" t="s">
        <v>245</v>
      </c>
      <c r="P354" t="s">
        <v>38</v>
      </c>
      <c r="Q354">
        <f>I354-(K354*Standards!$I$15)</f>
        <v>6.4000000000000003E-3</v>
      </c>
    </row>
    <row r="355" spans="1:17">
      <c r="A355">
        <v>231</v>
      </c>
      <c r="B355">
        <v>0</v>
      </c>
      <c r="C355">
        <v>0</v>
      </c>
      <c r="D355">
        <v>35.01</v>
      </c>
      <c r="E355">
        <v>0</v>
      </c>
      <c r="F355">
        <v>1.66E-2</v>
      </c>
      <c r="G355">
        <v>0</v>
      </c>
      <c r="H355">
        <v>30.97</v>
      </c>
      <c r="I355">
        <v>6.4000000000000003E-3</v>
      </c>
      <c r="J355">
        <v>33.01</v>
      </c>
      <c r="K355">
        <v>0</v>
      </c>
      <c r="L355">
        <v>9.1999999999999998E-3</v>
      </c>
      <c r="M355">
        <v>0.10929999999999999</v>
      </c>
      <c r="N355">
        <v>99.131600000000006</v>
      </c>
      <c r="O355" t="s">
        <v>245</v>
      </c>
      <c r="P355" t="s">
        <v>38</v>
      </c>
      <c r="Q355">
        <f>I355-(K355*Standards!$I$15)</f>
        <v>6.4000000000000003E-3</v>
      </c>
    </row>
    <row r="356" spans="1:17">
      <c r="A356">
        <v>161</v>
      </c>
      <c r="B356">
        <v>0</v>
      </c>
      <c r="C356">
        <v>0</v>
      </c>
      <c r="D356">
        <v>35.369999999999997</v>
      </c>
      <c r="E356">
        <v>0</v>
      </c>
      <c r="F356">
        <v>0</v>
      </c>
      <c r="G356">
        <v>0</v>
      </c>
      <c r="H356">
        <v>31.07</v>
      </c>
      <c r="I356">
        <v>6.1000000000000004E-3</v>
      </c>
      <c r="J356">
        <v>35.380000000000003</v>
      </c>
      <c r="K356">
        <v>0</v>
      </c>
      <c r="L356">
        <v>1.9900000000000001E-2</v>
      </c>
      <c r="M356">
        <v>0.13170000000000001</v>
      </c>
      <c r="N356">
        <v>101.9777</v>
      </c>
      <c r="O356" t="s">
        <v>245</v>
      </c>
      <c r="P356" t="s">
        <v>38</v>
      </c>
      <c r="Q356">
        <f>I356-(K356*Standards!$I$15)</f>
        <v>6.1000000000000004E-3</v>
      </c>
    </row>
    <row r="357" spans="1:17">
      <c r="A357">
        <v>234</v>
      </c>
      <c r="B357">
        <v>0</v>
      </c>
      <c r="C357">
        <v>0</v>
      </c>
      <c r="D357">
        <v>34.979999999999997</v>
      </c>
      <c r="E357">
        <v>4.8999999999999998E-3</v>
      </c>
      <c r="F357">
        <v>0</v>
      </c>
      <c r="G357">
        <v>0</v>
      </c>
      <c r="H357">
        <v>30.89</v>
      </c>
      <c r="I357">
        <v>5.7000000000000002E-3</v>
      </c>
      <c r="J357">
        <v>33.04</v>
      </c>
      <c r="K357">
        <v>0</v>
      </c>
      <c r="L357">
        <v>3.09E-2</v>
      </c>
      <c r="M357">
        <v>0.12509999999999999</v>
      </c>
      <c r="N357">
        <v>99.076700000000002</v>
      </c>
      <c r="O357" t="s">
        <v>245</v>
      </c>
      <c r="P357" t="s">
        <v>38</v>
      </c>
      <c r="Q357">
        <f>I357-(K357*Standards!$I$15)</f>
        <v>5.7000000000000002E-3</v>
      </c>
    </row>
    <row r="358" spans="1:17">
      <c r="A358">
        <v>196</v>
      </c>
      <c r="B358">
        <v>2.9999999999999997E-4</v>
      </c>
      <c r="C358">
        <v>0</v>
      </c>
      <c r="D358">
        <v>34.22</v>
      </c>
      <c r="E358">
        <v>9.9000000000000008E-3</v>
      </c>
      <c r="F358">
        <v>2.5999999999999999E-3</v>
      </c>
      <c r="G358">
        <v>0</v>
      </c>
      <c r="H358">
        <v>29.08</v>
      </c>
      <c r="I358">
        <v>5.7000000000000002E-3</v>
      </c>
      <c r="J358">
        <v>34.950000000000003</v>
      </c>
      <c r="K358">
        <v>0</v>
      </c>
      <c r="L358">
        <v>1.77E-2</v>
      </c>
      <c r="M358">
        <v>0.12230000000000001</v>
      </c>
      <c r="N358">
        <v>98.408600000000007</v>
      </c>
      <c r="O358" t="s">
        <v>245</v>
      </c>
      <c r="P358" t="s">
        <v>38</v>
      </c>
      <c r="Q358">
        <f>I358-(K358*Standards!$I$15)</f>
        <v>5.7000000000000002E-3</v>
      </c>
    </row>
    <row r="359" spans="1:17">
      <c r="A359">
        <v>202</v>
      </c>
      <c r="B359">
        <v>0</v>
      </c>
      <c r="C359">
        <v>0</v>
      </c>
      <c r="D359">
        <v>35.159999999999997</v>
      </c>
      <c r="E359">
        <v>3.2000000000000002E-3</v>
      </c>
      <c r="F359">
        <v>2.0400000000000001E-2</v>
      </c>
      <c r="G359">
        <v>0</v>
      </c>
      <c r="H359">
        <v>31.48</v>
      </c>
      <c r="I359">
        <v>5.1999999999999998E-3</v>
      </c>
      <c r="J359">
        <v>31.88</v>
      </c>
      <c r="K359">
        <v>0</v>
      </c>
      <c r="L359">
        <v>1.1000000000000001E-3</v>
      </c>
      <c r="M359">
        <v>9.2399999999999996E-2</v>
      </c>
      <c r="N359">
        <v>98.642399999999995</v>
      </c>
      <c r="O359" t="s">
        <v>245</v>
      </c>
      <c r="P359" t="s">
        <v>38</v>
      </c>
      <c r="Q359">
        <f>I359-(K359*Standards!$I$15)</f>
        <v>5.1999999999999998E-3</v>
      </c>
    </row>
    <row r="360" spans="1:17">
      <c r="A360">
        <v>230</v>
      </c>
      <c r="B360">
        <v>0</v>
      </c>
      <c r="C360">
        <v>0</v>
      </c>
      <c r="D360">
        <v>35.14</v>
      </c>
      <c r="E360">
        <v>8.2000000000000007E-3</v>
      </c>
      <c r="F360">
        <v>0</v>
      </c>
      <c r="G360">
        <v>0</v>
      </c>
      <c r="H360">
        <v>30.92</v>
      </c>
      <c r="I360">
        <v>4.7000000000000002E-3</v>
      </c>
      <c r="J360">
        <v>33.04</v>
      </c>
      <c r="K360">
        <v>0</v>
      </c>
      <c r="L360">
        <v>1.67E-2</v>
      </c>
      <c r="M360">
        <v>0.1293</v>
      </c>
      <c r="N360">
        <v>99.259</v>
      </c>
      <c r="O360" t="s">
        <v>245</v>
      </c>
      <c r="P360" t="s">
        <v>38</v>
      </c>
      <c r="Q360">
        <f>I360-(K360*Standards!$I$15)</f>
        <v>4.7000000000000002E-3</v>
      </c>
    </row>
    <row r="361" spans="1:17">
      <c r="A361">
        <v>194</v>
      </c>
      <c r="B361">
        <v>1.2999999999999999E-3</v>
      </c>
      <c r="C361">
        <v>0</v>
      </c>
      <c r="D361">
        <v>34.94</v>
      </c>
      <c r="E361">
        <v>8.0000000000000004E-4</v>
      </c>
      <c r="F361">
        <v>0</v>
      </c>
      <c r="G361">
        <v>0</v>
      </c>
      <c r="H361">
        <v>30</v>
      </c>
      <c r="I361">
        <v>4.4999999999999997E-3</v>
      </c>
      <c r="J361">
        <v>31.89</v>
      </c>
      <c r="K361">
        <v>0</v>
      </c>
      <c r="L361">
        <v>1.43E-2</v>
      </c>
      <c r="M361">
        <v>0.13070000000000001</v>
      </c>
      <c r="N361">
        <v>96.981700000000004</v>
      </c>
      <c r="O361" t="s">
        <v>245</v>
      </c>
      <c r="P361" t="s">
        <v>38</v>
      </c>
      <c r="Q361">
        <f>I361-(K361*Standards!$I$15)</f>
        <v>4.4999999999999997E-3</v>
      </c>
    </row>
    <row r="362" spans="1:17">
      <c r="A362">
        <v>193</v>
      </c>
      <c r="B362">
        <v>5.9999999999999995E-4</v>
      </c>
      <c r="C362">
        <v>0</v>
      </c>
      <c r="D362">
        <v>35.22</v>
      </c>
      <c r="E362">
        <v>5.7999999999999996E-3</v>
      </c>
      <c r="F362">
        <v>0</v>
      </c>
      <c r="G362">
        <v>0</v>
      </c>
      <c r="H362">
        <v>31.15</v>
      </c>
      <c r="I362">
        <v>4.3E-3</v>
      </c>
      <c r="J362">
        <v>31.99</v>
      </c>
      <c r="K362">
        <v>0</v>
      </c>
      <c r="L362">
        <v>1.2999999999999999E-3</v>
      </c>
      <c r="M362">
        <v>0.1173</v>
      </c>
      <c r="N362">
        <v>98.4893</v>
      </c>
      <c r="O362" t="s">
        <v>245</v>
      </c>
      <c r="P362" t="s">
        <v>38</v>
      </c>
      <c r="Q362">
        <f>I362-(K362*Standards!$I$15)</f>
        <v>4.3E-3</v>
      </c>
    </row>
    <row r="363" spans="1:17">
      <c r="A363">
        <v>228</v>
      </c>
      <c r="B363">
        <v>0</v>
      </c>
      <c r="C363">
        <v>0</v>
      </c>
      <c r="D363">
        <v>35.1</v>
      </c>
      <c r="E363">
        <v>1.38E-2</v>
      </c>
      <c r="F363">
        <v>0</v>
      </c>
      <c r="G363">
        <v>0</v>
      </c>
      <c r="H363">
        <v>30.81</v>
      </c>
      <c r="I363">
        <v>3.5000000000000001E-3</v>
      </c>
      <c r="J363">
        <v>33.299999999999997</v>
      </c>
      <c r="K363">
        <v>0</v>
      </c>
      <c r="L363">
        <v>1.37E-2</v>
      </c>
      <c r="M363">
        <v>0.114</v>
      </c>
      <c r="N363">
        <v>99.355000000000004</v>
      </c>
      <c r="O363" t="s">
        <v>245</v>
      </c>
      <c r="P363" t="s">
        <v>38</v>
      </c>
      <c r="Q363">
        <f>I363-(K363*Standards!$I$15)</f>
        <v>3.5000000000000001E-3</v>
      </c>
    </row>
    <row r="364" spans="1:17">
      <c r="A364">
        <v>199</v>
      </c>
      <c r="B364">
        <v>0</v>
      </c>
      <c r="C364">
        <v>0</v>
      </c>
      <c r="D364">
        <v>34.89</v>
      </c>
      <c r="E364">
        <v>0</v>
      </c>
      <c r="F364">
        <v>0</v>
      </c>
      <c r="G364">
        <v>0</v>
      </c>
      <c r="H364">
        <v>30.56</v>
      </c>
      <c r="I364">
        <v>3.5000000000000001E-3</v>
      </c>
      <c r="J364">
        <v>33</v>
      </c>
      <c r="K364">
        <v>0</v>
      </c>
      <c r="L364">
        <v>1.89E-2</v>
      </c>
      <c r="M364">
        <v>0.1143</v>
      </c>
      <c r="N364">
        <v>98.586799999999997</v>
      </c>
      <c r="O364" t="s">
        <v>245</v>
      </c>
      <c r="P364" t="s">
        <v>38</v>
      </c>
      <c r="Q364">
        <f>I364-(K364*Standards!$I$15)</f>
        <v>3.5000000000000001E-3</v>
      </c>
    </row>
    <row r="365" spans="1:17">
      <c r="A365">
        <v>205</v>
      </c>
      <c r="B365">
        <v>1.8E-3</v>
      </c>
      <c r="C365">
        <v>0</v>
      </c>
      <c r="D365">
        <v>35.04</v>
      </c>
      <c r="E365">
        <v>7.4000000000000003E-3</v>
      </c>
      <c r="F365">
        <v>0</v>
      </c>
      <c r="G365">
        <v>0</v>
      </c>
      <c r="H365">
        <v>31.22</v>
      </c>
      <c r="I365">
        <v>2.7000000000000001E-3</v>
      </c>
      <c r="J365">
        <v>32.24</v>
      </c>
      <c r="K365">
        <v>0</v>
      </c>
      <c r="L365">
        <v>1.1000000000000001E-3</v>
      </c>
      <c r="M365">
        <v>0.1191</v>
      </c>
      <c r="N365">
        <v>98.632199999999997</v>
      </c>
      <c r="O365" t="s">
        <v>245</v>
      </c>
      <c r="P365" t="s">
        <v>38</v>
      </c>
      <c r="Q365">
        <f>I365-(K365*Standards!$I$15)</f>
        <v>2.7000000000000001E-3</v>
      </c>
    </row>
    <row r="366" spans="1:17">
      <c r="A366">
        <v>162</v>
      </c>
      <c r="B366">
        <v>0</v>
      </c>
      <c r="C366">
        <v>0</v>
      </c>
      <c r="D366">
        <v>34.520000000000003</v>
      </c>
      <c r="E366">
        <v>1.5900000000000001E-2</v>
      </c>
      <c r="F366">
        <v>0</v>
      </c>
      <c r="G366">
        <v>0</v>
      </c>
      <c r="H366">
        <v>30.8</v>
      </c>
      <c r="I366">
        <v>2.7000000000000001E-3</v>
      </c>
      <c r="J366">
        <v>35.1</v>
      </c>
      <c r="K366">
        <v>0</v>
      </c>
      <c r="L366">
        <v>8.0999999999999996E-3</v>
      </c>
      <c r="M366">
        <v>0.1239</v>
      </c>
      <c r="N366">
        <v>100.5705</v>
      </c>
      <c r="O366" t="s">
        <v>245</v>
      </c>
      <c r="P366" t="s">
        <v>38</v>
      </c>
      <c r="Q366">
        <f>I366-(K366*Standards!$I$15)</f>
        <v>2.7000000000000001E-3</v>
      </c>
    </row>
    <row r="367" spans="1:17">
      <c r="A367">
        <v>227</v>
      </c>
      <c r="B367">
        <v>0</v>
      </c>
      <c r="C367">
        <v>0</v>
      </c>
      <c r="D367">
        <v>34.979999999999997</v>
      </c>
      <c r="E367">
        <v>1.4E-3</v>
      </c>
      <c r="F367">
        <v>0</v>
      </c>
      <c r="G367">
        <v>0</v>
      </c>
      <c r="H367">
        <v>30.9</v>
      </c>
      <c r="I367">
        <v>2.2000000000000001E-3</v>
      </c>
      <c r="J367">
        <v>32.71</v>
      </c>
      <c r="K367">
        <v>0</v>
      </c>
      <c r="L367">
        <v>1.67E-2</v>
      </c>
      <c r="M367">
        <v>0.121</v>
      </c>
      <c r="N367">
        <v>98.731399999999994</v>
      </c>
      <c r="O367" t="s">
        <v>245</v>
      </c>
      <c r="P367" t="s">
        <v>38</v>
      </c>
      <c r="Q367">
        <f>I367-(K367*Standards!$I$15)</f>
        <v>2.2000000000000001E-3</v>
      </c>
    </row>
    <row r="368" spans="1:17">
      <c r="A368">
        <v>235</v>
      </c>
      <c r="B368">
        <v>0</v>
      </c>
      <c r="C368">
        <v>0</v>
      </c>
      <c r="D368">
        <v>35.130000000000003</v>
      </c>
      <c r="E368">
        <v>1.6999999999999999E-3</v>
      </c>
      <c r="F368">
        <v>0</v>
      </c>
      <c r="G368">
        <v>0</v>
      </c>
      <c r="H368">
        <v>30.75</v>
      </c>
      <c r="I368">
        <v>2.2000000000000001E-3</v>
      </c>
      <c r="J368">
        <v>33.369999999999997</v>
      </c>
      <c r="K368">
        <v>0</v>
      </c>
      <c r="L368">
        <v>2.1600000000000001E-2</v>
      </c>
      <c r="M368">
        <v>0.1053</v>
      </c>
      <c r="N368">
        <v>99.380799999999994</v>
      </c>
      <c r="O368" t="s">
        <v>245</v>
      </c>
      <c r="P368" t="s">
        <v>38</v>
      </c>
      <c r="Q368">
        <f>I368-(K368*Standards!$I$15)</f>
        <v>2.2000000000000001E-3</v>
      </c>
    </row>
    <row r="369" spans="1:17">
      <c r="A369">
        <v>204</v>
      </c>
      <c r="B369">
        <v>6.9999999999999999E-4</v>
      </c>
      <c r="C369">
        <v>0</v>
      </c>
      <c r="D369">
        <v>34.880000000000003</v>
      </c>
      <c r="E369">
        <v>6.4000000000000003E-3</v>
      </c>
      <c r="F369">
        <v>0</v>
      </c>
      <c r="G369">
        <v>1.6000000000000001E-3</v>
      </c>
      <c r="H369">
        <v>30.18</v>
      </c>
      <c r="I369">
        <v>2.2000000000000001E-3</v>
      </c>
      <c r="J369">
        <v>33.31</v>
      </c>
      <c r="K369">
        <v>0</v>
      </c>
      <c r="L369">
        <v>3.1800000000000002E-2</v>
      </c>
      <c r="M369">
        <v>0.12280000000000001</v>
      </c>
      <c r="N369">
        <v>98.535600000000002</v>
      </c>
      <c r="O369" t="s">
        <v>245</v>
      </c>
      <c r="P369" t="s">
        <v>38</v>
      </c>
      <c r="Q369">
        <f>I369-(K369*Standards!$I$15)</f>
        <v>2.2000000000000001E-3</v>
      </c>
    </row>
    <row r="370" spans="1:17">
      <c r="A370">
        <v>225</v>
      </c>
      <c r="B370">
        <v>5.4000000000000003E-3</v>
      </c>
      <c r="C370">
        <v>0</v>
      </c>
      <c r="D370">
        <v>34.83</v>
      </c>
      <c r="E370">
        <v>1.52E-2</v>
      </c>
      <c r="F370">
        <v>0</v>
      </c>
      <c r="G370">
        <v>0</v>
      </c>
      <c r="H370">
        <v>30.41</v>
      </c>
      <c r="I370">
        <v>2.0999999999999999E-3</v>
      </c>
      <c r="J370">
        <v>34.17</v>
      </c>
      <c r="K370">
        <v>0</v>
      </c>
      <c r="L370">
        <v>8.8999999999999999E-3</v>
      </c>
      <c r="M370">
        <v>0.14319999999999999</v>
      </c>
      <c r="N370">
        <v>99.584900000000005</v>
      </c>
      <c r="O370" t="s">
        <v>245</v>
      </c>
      <c r="P370" t="s">
        <v>38</v>
      </c>
      <c r="Q370">
        <f>I370-(K370*Standards!$I$15)</f>
        <v>2.0999999999999999E-3</v>
      </c>
    </row>
    <row r="371" spans="1:17">
      <c r="A371">
        <v>191</v>
      </c>
      <c r="B371">
        <v>0</v>
      </c>
      <c r="C371">
        <v>0</v>
      </c>
      <c r="D371">
        <v>35.32</v>
      </c>
      <c r="E371">
        <v>5.0000000000000001E-4</v>
      </c>
      <c r="F371">
        <v>0</v>
      </c>
      <c r="G371">
        <v>4.0000000000000002E-4</v>
      </c>
      <c r="H371">
        <v>29.96</v>
      </c>
      <c r="I371">
        <v>2E-3</v>
      </c>
      <c r="J371">
        <v>33.25</v>
      </c>
      <c r="K371">
        <v>0</v>
      </c>
      <c r="L371">
        <v>2.5899999999999999E-2</v>
      </c>
      <c r="M371">
        <v>0.1396</v>
      </c>
      <c r="N371">
        <v>98.698499999999996</v>
      </c>
      <c r="O371" t="s">
        <v>245</v>
      </c>
      <c r="P371" t="s">
        <v>38</v>
      </c>
      <c r="Q371">
        <f>I371-(K371*Standards!$I$15)</f>
        <v>2E-3</v>
      </c>
    </row>
    <row r="372" spans="1:17">
      <c r="A372">
        <v>159</v>
      </c>
      <c r="B372">
        <v>6.7000000000000002E-3</v>
      </c>
      <c r="C372">
        <v>0</v>
      </c>
      <c r="D372">
        <v>35.18</v>
      </c>
      <c r="E372">
        <v>7.6E-3</v>
      </c>
      <c r="F372">
        <v>0</v>
      </c>
      <c r="G372">
        <v>0</v>
      </c>
      <c r="H372">
        <v>31</v>
      </c>
      <c r="I372">
        <v>1.9E-3</v>
      </c>
      <c r="J372">
        <v>35.32</v>
      </c>
      <c r="K372">
        <v>0</v>
      </c>
      <c r="L372">
        <v>3.4799999999999998E-2</v>
      </c>
      <c r="M372">
        <v>0.14660000000000001</v>
      </c>
      <c r="N372">
        <v>101.69750000000001</v>
      </c>
      <c r="O372" t="s">
        <v>245</v>
      </c>
      <c r="P372" t="s">
        <v>38</v>
      </c>
      <c r="Q372">
        <f>I372-(K372*Standards!$I$15)</f>
        <v>1.9E-3</v>
      </c>
    </row>
    <row r="373" spans="1:17">
      <c r="A373">
        <v>201</v>
      </c>
      <c r="B373">
        <v>5.5999999999999999E-3</v>
      </c>
      <c r="C373">
        <v>0</v>
      </c>
      <c r="D373">
        <v>35.119999999999997</v>
      </c>
      <c r="E373">
        <v>9.5999999999999992E-3</v>
      </c>
      <c r="F373">
        <v>0</v>
      </c>
      <c r="G373">
        <v>0</v>
      </c>
      <c r="H373">
        <v>31.11</v>
      </c>
      <c r="I373">
        <v>1.8E-3</v>
      </c>
      <c r="J373">
        <v>32.200000000000003</v>
      </c>
      <c r="K373">
        <v>0</v>
      </c>
      <c r="L373">
        <v>2.5399999999999999E-2</v>
      </c>
      <c r="M373">
        <v>0.1222</v>
      </c>
      <c r="N373">
        <v>98.594700000000003</v>
      </c>
      <c r="O373" t="s">
        <v>245</v>
      </c>
      <c r="P373" t="s">
        <v>38</v>
      </c>
      <c r="Q373">
        <f>I373-(K373*Standards!$I$15)</f>
        <v>1.8E-3</v>
      </c>
    </row>
    <row r="374" spans="1:17">
      <c r="A374">
        <v>203</v>
      </c>
      <c r="B374">
        <v>0</v>
      </c>
      <c r="C374">
        <v>0</v>
      </c>
      <c r="D374">
        <v>35.17</v>
      </c>
      <c r="E374">
        <v>2.5000000000000001E-3</v>
      </c>
      <c r="F374">
        <v>0</v>
      </c>
      <c r="G374">
        <v>8.0000000000000004E-4</v>
      </c>
      <c r="H374">
        <v>31.01</v>
      </c>
      <c r="I374">
        <v>1.1999999999999999E-3</v>
      </c>
      <c r="J374">
        <v>32.880000000000003</v>
      </c>
      <c r="K374">
        <v>0</v>
      </c>
      <c r="L374">
        <v>2.8899999999999999E-2</v>
      </c>
      <c r="M374">
        <v>0.1157</v>
      </c>
      <c r="N374">
        <v>99.209199999999996</v>
      </c>
      <c r="O374" t="s">
        <v>245</v>
      </c>
      <c r="P374" t="s">
        <v>38</v>
      </c>
      <c r="Q374">
        <f>I374-(K374*Standards!$I$15)</f>
        <v>1.1999999999999999E-3</v>
      </c>
    </row>
    <row r="375" spans="1:17">
      <c r="A375">
        <v>160</v>
      </c>
      <c r="B375">
        <v>0</v>
      </c>
      <c r="C375">
        <v>0</v>
      </c>
      <c r="D375">
        <v>35.049999999999997</v>
      </c>
      <c r="E375">
        <v>6.7999999999999996E-3</v>
      </c>
      <c r="F375">
        <v>0</v>
      </c>
      <c r="G375">
        <v>0</v>
      </c>
      <c r="H375">
        <v>30.99</v>
      </c>
      <c r="I375">
        <v>1.1999999999999999E-3</v>
      </c>
      <c r="J375">
        <v>35.14</v>
      </c>
      <c r="K375">
        <v>0</v>
      </c>
      <c r="L375">
        <v>3.27E-2</v>
      </c>
      <c r="M375">
        <v>0.13669999999999999</v>
      </c>
      <c r="N375">
        <v>101.3573</v>
      </c>
      <c r="O375" t="s">
        <v>245</v>
      </c>
      <c r="P375" t="s">
        <v>38</v>
      </c>
      <c r="Q375">
        <f>I375-(K375*Standards!$I$15)</f>
        <v>1.1999999999999999E-3</v>
      </c>
    </row>
    <row r="376" spans="1:17">
      <c r="A376">
        <v>156</v>
      </c>
      <c r="B376">
        <v>0</v>
      </c>
      <c r="C376">
        <v>0</v>
      </c>
      <c r="D376">
        <v>35.06</v>
      </c>
      <c r="E376">
        <v>1.9800000000000002E-2</v>
      </c>
      <c r="F376">
        <v>0</v>
      </c>
      <c r="G376">
        <v>0</v>
      </c>
      <c r="H376">
        <v>30.92</v>
      </c>
      <c r="I376">
        <v>1.1000000000000001E-3</v>
      </c>
      <c r="J376">
        <v>35.340000000000003</v>
      </c>
      <c r="K376">
        <v>0</v>
      </c>
      <c r="L376">
        <v>9.9000000000000008E-3</v>
      </c>
      <c r="M376">
        <v>0.13880000000000001</v>
      </c>
      <c r="N376">
        <v>101.48950000000001</v>
      </c>
      <c r="O376" t="s">
        <v>245</v>
      </c>
      <c r="P376" t="s">
        <v>38</v>
      </c>
      <c r="Q376">
        <f>I376-(K376*Standards!$I$15)</f>
        <v>1.1000000000000001E-3</v>
      </c>
    </row>
    <row r="377" spans="1:17">
      <c r="A377">
        <v>157</v>
      </c>
      <c r="B377">
        <v>0</v>
      </c>
      <c r="C377">
        <v>0</v>
      </c>
      <c r="D377">
        <v>35.06</v>
      </c>
      <c r="E377">
        <v>1.4800000000000001E-2</v>
      </c>
      <c r="F377">
        <v>0</v>
      </c>
      <c r="G377">
        <v>0</v>
      </c>
      <c r="H377">
        <v>30.91</v>
      </c>
      <c r="I377">
        <v>5.9999999999999995E-4</v>
      </c>
      <c r="J377">
        <v>35.07</v>
      </c>
      <c r="K377">
        <v>0</v>
      </c>
      <c r="L377">
        <v>2.3999999999999998E-3</v>
      </c>
      <c r="M377">
        <v>0.1366</v>
      </c>
      <c r="N377">
        <v>101.1944</v>
      </c>
      <c r="O377" t="s">
        <v>245</v>
      </c>
      <c r="P377" t="s">
        <v>38</v>
      </c>
      <c r="Q377">
        <f>I377-(K377*Standards!$I$15)</f>
        <v>5.9999999999999995E-4</v>
      </c>
    </row>
    <row r="378" spans="1:17">
      <c r="A378">
        <v>158</v>
      </c>
      <c r="B378">
        <v>0</v>
      </c>
      <c r="C378">
        <v>0</v>
      </c>
      <c r="D378">
        <v>35.15</v>
      </c>
      <c r="E378">
        <v>8.0999999999999996E-3</v>
      </c>
      <c r="F378">
        <v>0</v>
      </c>
      <c r="G378">
        <v>0</v>
      </c>
      <c r="H378">
        <v>30.96</v>
      </c>
      <c r="I378">
        <v>5.0000000000000001E-4</v>
      </c>
      <c r="J378">
        <v>35.32</v>
      </c>
      <c r="K378">
        <v>0</v>
      </c>
      <c r="L378">
        <v>1.18E-2</v>
      </c>
      <c r="M378">
        <v>0.1363</v>
      </c>
      <c r="N378">
        <v>101.58669999999999</v>
      </c>
      <c r="O378" t="s">
        <v>245</v>
      </c>
      <c r="P378" t="s">
        <v>38</v>
      </c>
      <c r="Q378">
        <f>I378-(K378*Standards!$I$15)</f>
        <v>5.0000000000000001E-4</v>
      </c>
    </row>
    <row r="379" spans="1:17">
      <c r="A379">
        <v>236</v>
      </c>
      <c r="B379">
        <v>0</v>
      </c>
      <c r="C379">
        <v>0</v>
      </c>
      <c r="D379">
        <v>35.15</v>
      </c>
      <c r="E379">
        <v>0</v>
      </c>
      <c r="F379">
        <v>0</v>
      </c>
      <c r="G379">
        <v>0</v>
      </c>
      <c r="H379">
        <v>30.7</v>
      </c>
      <c r="I379">
        <v>4.0000000000000002E-4</v>
      </c>
      <c r="J379">
        <v>33.53</v>
      </c>
      <c r="K379">
        <v>0</v>
      </c>
      <c r="L379">
        <v>0</v>
      </c>
      <c r="M379">
        <v>0.1188</v>
      </c>
      <c r="N379">
        <v>99.499300000000005</v>
      </c>
      <c r="O379" t="s">
        <v>245</v>
      </c>
      <c r="P379" t="s">
        <v>38</v>
      </c>
      <c r="Q379">
        <f>I379-(K379*Standards!$I$15)</f>
        <v>4.0000000000000002E-4</v>
      </c>
    </row>
    <row r="380" spans="1:17">
      <c r="A380">
        <v>237</v>
      </c>
      <c r="B380">
        <v>0</v>
      </c>
      <c r="C380">
        <v>0</v>
      </c>
      <c r="D380">
        <v>34.93</v>
      </c>
      <c r="E380">
        <v>2.0999999999999999E-3</v>
      </c>
      <c r="F380">
        <v>0</v>
      </c>
      <c r="G380">
        <v>0</v>
      </c>
      <c r="H380">
        <v>30.12</v>
      </c>
      <c r="I380">
        <v>4.0000000000000002E-4</v>
      </c>
      <c r="J380">
        <v>33.54</v>
      </c>
      <c r="K380">
        <v>0</v>
      </c>
      <c r="L380">
        <v>2.64E-2</v>
      </c>
      <c r="M380">
        <v>0.1</v>
      </c>
      <c r="N380">
        <v>98.718900000000005</v>
      </c>
      <c r="O380" t="s">
        <v>245</v>
      </c>
      <c r="P380" t="s">
        <v>38</v>
      </c>
      <c r="Q380">
        <f>I380-(K380*Standards!$I$15)</f>
        <v>4.0000000000000002E-4</v>
      </c>
    </row>
    <row r="381" spans="1:17">
      <c r="A381">
        <v>164</v>
      </c>
      <c r="B381">
        <v>0</v>
      </c>
      <c r="C381">
        <v>0</v>
      </c>
      <c r="D381">
        <v>35.299999999999997</v>
      </c>
      <c r="E381">
        <v>1.4E-3</v>
      </c>
      <c r="F381">
        <v>0</v>
      </c>
      <c r="G381">
        <v>0</v>
      </c>
      <c r="H381">
        <v>30.4</v>
      </c>
      <c r="I381">
        <v>2.0000000000000001E-4</v>
      </c>
      <c r="J381">
        <v>35.869999999999997</v>
      </c>
      <c r="K381">
        <v>0</v>
      </c>
      <c r="L381">
        <v>3.4599999999999999E-2</v>
      </c>
      <c r="M381">
        <v>0.15179999999999999</v>
      </c>
      <c r="N381">
        <v>101.75790000000001</v>
      </c>
      <c r="O381" t="s">
        <v>245</v>
      </c>
      <c r="P381" t="s">
        <v>38</v>
      </c>
      <c r="Q381">
        <f>I381-(K381*Standards!$I$15)</f>
        <v>2.0000000000000001E-4</v>
      </c>
    </row>
    <row r="382" spans="1:17">
      <c r="A382">
        <v>238</v>
      </c>
      <c r="B382">
        <v>0</v>
      </c>
      <c r="C382">
        <v>0</v>
      </c>
      <c r="D382">
        <v>35.21</v>
      </c>
      <c r="E382">
        <v>1.34E-2</v>
      </c>
      <c r="F382">
        <v>5.4999999999999997E-3</v>
      </c>
      <c r="G382">
        <v>0</v>
      </c>
      <c r="H382">
        <v>31.24</v>
      </c>
      <c r="I382">
        <v>0</v>
      </c>
      <c r="J382">
        <v>32.159999999999997</v>
      </c>
      <c r="K382">
        <v>0</v>
      </c>
      <c r="L382">
        <v>2.0299999999999999E-2</v>
      </c>
      <c r="M382">
        <v>0.1031</v>
      </c>
      <c r="N382">
        <v>98.752399999999994</v>
      </c>
      <c r="O382" t="s">
        <v>245</v>
      </c>
      <c r="P382" t="s">
        <v>38</v>
      </c>
      <c r="Q382">
        <f>I382-(K382*Standards!$I$15)</f>
        <v>0</v>
      </c>
    </row>
    <row r="383" spans="1:17">
      <c r="A383">
        <v>195</v>
      </c>
      <c r="B383">
        <v>0</v>
      </c>
      <c r="C383">
        <v>0</v>
      </c>
      <c r="D383">
        <v>35.200000000000003</v>
      </c>
      <c r="E383">
        <v>1.1000000000000001E-3</v>
      </c>
      <c r="F383">
        <v>9.2999999999999992E-3</v>
      </c>
      <c r="G383">
        <v>0</v>
      </c>
      <c r="H383">
        <v>31.21</v>
      </c>
      <c r="I383">
        <v>0</v>
      </c>
      <c r="J383">
        <v>32.25</v>
      </c>
      <c r="K383">
        <v>0</v>
      </c>
      <c r="L383">
        <v>1.9199999999999998E-2</v>
      </c>
      <c r="M383">
        <v>0.12479999999999999</v>
      </c>
      <c r="N383">
        <v>98.814499999999995</v>
      </c>
      <c r="O383" t="s">
        <v>245</v>
      </c>
      <c r="P383" t="s">
        <v>38</v>
      </c>
      <c r="Q383">
        <f>I383-(K383*Standards!$I$15)</f>
        <v>0</v>
      </c>
    </row>
    <row r="384" spans="1:17">
      <c r="A384">
        <v>241</v>
      </c>
      <c r="B384">
        <v>0</v>
      </c>
      <c r="C384">
        <v>0</v>
      </c>
      <c r="D384">
        <v>35.1</v>
      </c>
      <c r="E384">
        <v>0</v>
      </c>
      <c r="F384">
        <v>9.5999999999999992E-3</v>
      </c>
      <c r="G384">
        <v>0</v>
      </c>
      <c r="H384">
        <v>31.08</v>
      </c>
      <c r="I384">
        <v>0</v>
      </c>
      <c r="J384">
        <v>32.92</v>
      </c>
      <c r="K384">
        <v>0</v>
      </c>
      <c r="L384">
        <v>1.67E-2</v>
      </c>
      <c r="M384">
        <v>0.1179</v>
      </c>
      <c r="N384">
        <v>99.244200000000006</v>
      </c>
      <c r="O384" t="s">
        <v>245</v>
      </c>
      <c r="P384" t="s">
        <v>38</v>
      </c>
      <c r="Q384">
        <f>I384-(K384*Standards!$I$15)</f>
        <v>0</v>
      </c>
    </row>
    <row r="385" spans="1:17">
      <c r="A385">
        <v>165</v>
      </c>
      <c r="B385">
        <v>0</v>
      </c>
      <c r="C385">
        <v>0</v>
      </c>
      <c r="D385">
        <v>35.380000000000003</v>
      </c>
      <c r="E385">
        <v>3.3999999999999998E-3</v>
      </c>
      <c r="F385">
        <v>0</v>
      </c>
      <c r="G385">
        <v>0</v>
      </c>
      <c r="H385">
        <v>30.99</v>
      </c>
      <c r="I385">
        <v>0</v>
      </c>
      <c r="J385">
        <v>35.31</v>
      </c>
      <c r="K385">
        <v>0</v>
      </c>
      <c r="L385">
        <v>4.1099999999999998E-2</v>
      </c>
      <c r="M385">
        <v>0.1255</v>
      </c>
      <c r="N385">
        <v>101.84990000000001</v>
      </c>
      <c r="O385" t="s">
        <v>245</v>
      </c>
      <c r="P385" t="s">
        <v>38</v>
      </c>
      <c r="Q385">
        <f>I385-(K385*Standards!$I$15)</f>
        <v>0</v>
      </c>
    </row>
    <row r="386" spans="1:17">
      <c r="A386">
        <v>163</v>
      </c>
      <c r="B386">
        <v>0</v>
      </c>
      <c r="C386">
        <v>0</v>
      </c>
      <c r="D386">
        <v>35.31</v>
      </c>
      <c r="E386">
        <v>2.64E-2</v>
      </c>
      <c r="F386">
        <v>0</v>
      </c>
      <c r="G386">
        <v>0</v>
      </c>
      <c r="H386">
        <v>30.81</v>
      </c>
      <c r="I386">
        <v>0</v>
      </c>
      <c r="J386">
        <v>35.159999999999997</v>
      </c>
      <c r="K386">
        <v>0</v>
      </c>
      <c r="L386">
        <v>3.1E-2</v>
      </c>
      <c r="M386">
        <v>0.13589999999999999</v>
      </c>
      <c r="N386">
        <v>101.47320000000001</v>
      </c>
      <c r="O386" t="s">
        <v>245</v>
      </c>
      <c r="P386" t="s">
        <v>38</v>
      </c>
      <c r="Q386">
        <f>I386-(K386*Standards!$I$15)</f>
        <v>0</v>
      </c>
    </row>
    <row r="387" spans="1:17">
      <c r="A387">
        <v>169</v>
      </c>
      <c r="B387">
        <v>0</v>
      </c>
      <c r="C387">
        <v>0</v>
      </c>
      <c r="D387">
        <v>34.9</v>
      </c>
      <c r="E387">
        <v>4.1999999999999997E-3</v>
      </c>
      <c r="F387">
        <v>0</v>
      </c>
      <c r="G387">
        <v>0</v>
      </c>
      <c r="H387">
        <v>30.73</v>
      </c>
      <c r="I387">
        <v>0</v>
      </c>
      <c r="J387">
        <v>35.51</v>
      </c>
      <c r="K387">
        <v>0</v>
      </c>
      <c r="L387">
        <v>1.34E-2</v>
      </c>
      <c r="M387">
        <v>0.1489</v>
      </c>
      <c r="N387">
        <v>101.3064</v>
      </c>
      <c r="O387" t="s">
        <v>245</v>
      </c>
      <c r="P387" t="s">
        <v>38</v>
      </c>
      <c r="Q387">
        <f>I387-(K387*Standards!$I$15)</f>
        <v>0</v>
      </c>
    </row>
    <row r="388" spans="1:17">
      <c r="A388">
        <v>232</v>
      </c>
      <c r="B388">
        <v>4.7000000000000002E-3</v>
      </c>
      <c r="C388">
        <v>0</v>
      </c>
      <c r="D388">
        <v>35.130000000000003</v>
      </c>
      <c r="E388">
        <v>5.0000000000000001E-3</v>
      </c>
      <c r="F388">
        <v>0</v>
      </c>
      <c r="G388">
        <v>0</v>
      </c>
      <c r="H388">
        <v>30.59</v>
      </c>
      <c r="I388">
        <v>0</v>
      </c>
      <c r="J388">
        <v>33.35</v>
      </c>
      <c r="K388">
        <v>0</v>
      </c>
      <c r="L388">
        <v>2.7799999999999998E-2</v>
      </c>
      <c r="M388">
        <v>0.129</v>
      </c>
      <c r="N388">
        <v>99.236599999999996</v>
      </c>
      <c r="O388" t="s">
        <v>245</v>
      </c>
      <c r="P388" t="s">
        <v>38</v>
      </c>
      <c r="Q388">
        <f>I388-(K388*Standards!$I$15)</f>
        <v>0</v>
      </c>
    </row>
    <row r="389" spans="1:17">
      <c r="A389">
        <v>242</v>
      </c>
      <c r="B389">
        <v>0</v>
      </c>
      <c r="C389">
        <v>0</v>
      </c>
      <c r="D389">
        <v>35.1</v>
      </c>
      <c r="E389">
        <v>1.1000000000000001E-3</v>
      </c>
      <c r="F389">
        <v>0</v>
      </c>
      <c r="G389">
        <v>0</v>
      </c>
      <c r="H389">
        <v>30.56</v>
      </c>
      <c r="I389">
        <v>0</v>
      </c>
      <c r="J389">
        <v>33.119999999999997</v>
      </c>
      <c r="K389">
        <v>0</v>
      </c>
      <c r="L389">
        <v>2.5100000000000001E-2</v>
      </c>
      <c r="M389">
        <v>0.115</v>
      </c>
      <c r="N389">
        <v>98.921199999999999</v>
      </c>
      <c r="O389" t="s">
        <v>245</v>
      </c>
      <c r="P389" t="s">
        <v>38</v>
      </c>
      <c r="Q389">
        <f>I389-(K389*Standards!$I$15)</f>
        <v>0</v>
      </c>
    </row>
    <row r="390" spans="1:17">
      <c r="A390">
        <v>167</v>
      </c>
      <c r="B390">
        <v>0</v>
      </c>
      <c r="C390">
        <v>0</v>
      </c>
      <c r="D390">
        <v>34.79</v>
      </c>
      <c r="E390">
        <v>0</v>
      </c>
      <c r="F390">
        <v>0</v>
      </c>
      <c r="G390">
        <v>0</v>
      </c>
      <c r="H390">
        <v>30.33</v>
      </c>
      <c r="I390">
        <v>0</v>
      </c>
      <c r="J390">
        <v>35.68</v>
      </c>
      <c r="K390">
        <v>0</v>
      </c>
      <c r="L390">
        <v>2.2499999999999999E-2</v>
      </c>
      <c r="M390">
        <v>0.14460000000000001</v>
      </c>
      <c r="N390">
        <v>100.967</v>
      </c>
      <c r="O390" t="s">
        <v>245</v>
      </c>
      <c r="P390" t="s">
        <v>38</v>
      </c>
      <c r="Q390">
        <f>I390-(K390*Standards!$I$15)</f>
        <v>0</v>
      </c>
    </row>
    <row r="391" spans="1:17">
      <c r="A391">
        <v>69</v>
      </c>
      <c r="B391">
        <v>0</v>
      </c>
      <c r="C391">
        <v>0</v>
      </c>
      <c r="D391">
        <v>35.31</v>
      </c>
      <c r="E391">
        <v>8.5000000000000006E-3</v>
      </c>
      <c r="F391">
        <v>0</v>
      </c>
      <c r="G391">
        <v>0</v>
      </c>
      <c r="H391">
        <v>31.06</v>
      </c>
      <c r="I391">
        <v>8.2199999999999995E-2</v>
      </c>
      <c r="J391">
        <v>34.450000000000003</v>
      </c>
      <c r="K391">
        <v>0</v>
      </c>
      <c r="L391">
        <v>6.7999999999999996E-3</v>
      </c>
      <c r="M391">
        <v>0.1552</v>
      </c>
      <c r="N391">
        <v>101.07259999999999</v>
      </c>
      <c r="O391" t="s">
        <v>246</v>
      </c>
      <c r="P391" t="s">
        <v>38</v>
      </c>
      <c r="Q391">
        <f>I391-(K391*Standards!$I$15)</f>
        <v>8.2199999999999995E-2</v>
      </c>
    </row>
    <row r="392" spans="1:17">
      <c r="A392">
        <v>58</v>
      </c>
      <c r="B392">
        <v>6.7000000000000002E-3</v>
      </c>
      <c r="C392">
        <v>0</v>
      </c>
      <c r="D392">
        <v>35.229999999999997</v>
      </c>
      <c r="E392">
        <v>6.3E-3</v>
      </c>
      <c r="F392">
        <v>0</v>
      </c>
      <c r="G392">
        <v>0</v>
      </c>
      <c r="H392">
        <v>31.52</v>
      </c>
      <c r="I392">
        <v>8.09E-2</v>
      </c>
      <c r="J392">
        <v>34.340000000000003</v>
      </c>
      <c r="K392">
        <v>0</v>
      </c>
      <c r="L392">
        <v>1.0500000000000001E-2</v>
      </c>
      <c r="M392">
        <v>0.13969999999999999</v>
      </c>
      <c r="N392">
        <v>101.334</v>
      </c>
      <c r="O392" t="s">
        <v>246</v>
      </c>
      <c r="P392" t="s">
        <v>38</v>
      </c>
      <c r="Q392">
        <f>I392-(K392*Standards!$I$15)</f>
        <v>8.09E-2</v>
      </c>
    </row>
    <row r="393" spans="1:17">
      <c r="A393">
        <v>54</v>
      </c>
      <c r="B393">
        <v>0</v>
      </c>
      <c r="C393">
        <v>0</v>
      </c>
      <c r="D393">
        <v>35.340000000000003</v>
      </c>
      <c r="E393">
        <v>0</v>
      </c>
      <c r="F393">
        <v>0</v>
      </c>
      <c r="G393">
        <v>0</v>
      </c>
      <c r="H393">
        <v>31.19</v>
      </c>
      <c r="I393">
        <v>8.0799999999999997E-2</v>
      </c>
      <c r="J393">
        <v>34.520000000000003</v>
      </c>
      <c r="K393">
        <v>0</v>
      </c>
      <c r="L393">
        <v>2.53E-2</v>
      </c>
      <c r="M393">
        <v>0.12659999999999999</v>
      </c>
      <c r="N393">
        <v>101.2826</v>
      </c>
      <c r="O393" t="s">
        <v>246</v>
      </c>
      <c r="P393" t="s">
        <v>38</v>
      </c>
      <c r="Q393">
        <f>I393-(K393*Standards!$I$15)</f>
        <v>8.0799999999999997E-2</v>
      </c>
    </row>
    <row r="394" spans="1:17">
      <c r="A394">
        <v>55</v>
      </c>
      <c r="B394">
        <v>0</v>
      </c>
      <c r="C394">
        <v>0</v>
      </c>
      <c r="D394">
        <v>35.4</v>
      </c>
      <c r="E394">
        <v>2.8999999999999998E-3</v>
      </c>
      <c r="F394">
        <v>0</v>
      </c>
      <c r="G394">
        <v>0</v>
      </c>
      <c r="H394">
        <v>31.22</v>
      </c>
      <c r="I394">
        <v>8.0500000000000002E-2</v>
      </c>
      <c r="J394">
        <v>34.46</v>
      </c>
      <c r="K394">
        <v>0</v>
      </c>
      <c r="L394">
        <v>1.15E-2</v>
      </c>
      <c r="M394">
        <v>0.1196</v>
      </c>
      <c r="N394">
        <v>101.2944</v>
      </c>
      <c r="O394" t="s">
        <v>246</v>
      </c>
      <c r="P394" t="s">
        <v>38</v>
      </c>
      <c r="Q394">
        <f>I394-(K394*Standards!$I$15)</f>
        <v>8.0500000000000002E-2</v>
      </c>
    </row>
    <row r="395" spans="1:17">
      <c r="A395">
        <v>59</v>
      </c>
      <c r="B395">
        <v>0</v>
      </c>
      <c r="C395">
        <v>0</v>
      </c>
      <c r="D395">
        <v>35.36</v>
      </c>
      <c r="E395">
        <v>0</v>
      </c>
      <c r="F395">
        <v>0</v>
      </c>
      <c r="G395">
        <v>0</v>
      </c>
      <c r="H395">
        <v>31.47</v>
      </c>
      <c r="I395">
        <v>7.9399999999999998E-2</v>
      </c>
      <c r="J395">
        <v>34.5</v>
      </c>
      <c r="K395">
        <v>0</v>
      </c>
      <c r="L395">
        <v>2.7000000000000001E-3</v>
      </c>
      <c r="M395">
        <v>0.1245</v>
      </c>
      <c r="N395">
        <v>101.5365</v>
      </c>
      <c r="O395" t="s">
        <v>246</v>
      </c>
      <c r="P395" t="s">
        <v>38</v>
      </c>
      <c r="Q395">
        <f>I395-(K395*Standards!$I$15)</f>
        <v>7.9399999999999998E-2</v>
      </c>
    </row>
    <row r="396" spans="1:17">
      <c r="A396">
        <v>60</v>
      </c>
      <c r="B396">
        <v>2.0000000000000001E-4</v>
      </c>
      <c r="C396">
        <v>0</v>
      </c>
      <c r="D396">
        <v>35.22</v>
      </c>
      <c r="E396">
        <v>1.2999999999999999E-3</v>
      </c>
      <c r="F396">
        <v>0</v>
      </c>
      <c r="G396">
        <v>0</v>
      </c>
      <c r="H396">
        <v>31.34</v>
      </c>
      <c r="I396">
        <v>7.8399999999999997E-2</v>
      </c>
      <c r="J396">
        <v>34.549999999999997</v>
      </c>
      <c r="K396">
        <v>0</v>
      </c>
      <c r="L396">
        <v>1.6E-2</v>
      </c>
      <c r="M396">
        <v>0.13439999999999999</v>
      </c>
      <c r="N396">
        <v>101.3402</v>
      </c>
      <c r="O396" t="s">
        <v>246</v>
      </c>
      <c r="P396" t="s">
        <v>38</v>
      </c>
      <c r="Q396">
        <f>I396-(K396*Standards!$I$15)</f>
        <v>7.8399999999999997E-2</v>
      </c>
    </row>
    <row r="397" spans="1:17">
      <c r="A397">
        <v>62</v>
      </c>
      <c r="B397">
        <v>0</v>
      </c>
      <c r="C397">
        <v>0</v>
      </c>
      <c r="D397">
        <v>35.28</v>
      </c>
      <c r="E397">
        <v>3.2000000000000002E-3</v>
      </c>
      <c r="F397">
        <v>0</v>
      </c>
      <c r="G397">
        <v>0</v>
      </c>
      <c r="H397">
        <v>31</v>
      </c>
      <c r="I397">
        <v>7.5600000000000001E-2</v>
      </c>
      <c r="J397">
        <v>34.159999999999997</v>
      </c>
      <c r="K397">
        <v>0</v>
      </c>
      <c r="L397">
        <v>1.6400000000000001E-2</v>
      </c>
      <c r="M397">
        <v>0.11940000000000001</v>
      </c>
      <c r="N397">
        <v>100.6545</v>
      </c>
      <c r="O397" t="s">
        <v>246</v>
      </c>
      <c r="P397" t="s">
        <v>38</v>
      </c>
      <c r="Q397">
        <f>I397-(K397*Standards!$I$15)</f>
        <v>7.5600000000000001E-2</v>
      </c>
    </row>
    <row r="398" spans="1:17">
      <c r="A398">
        <v>57</v>
      </c>
      <c r="B398">
        <v>0</v>
      </c>
      <c r="C398">
        <v>0</v>
      </c>
      <c r="D398">
        <v>35.200000000000003</v>
      </c>
      <c r="E398">
        <v>4.1999999999999997E-3</v>
      </c>
      <c r="F398">
        <v>0</v>
      </c>
      <c r="G398">
        <v>0</v>
      </c>
      <c r="H398">
        <v>31.45</v>
      </c>
      <c r="I398">
        <v>7.5200000000000003E-2</v>
      </c>
      <c r="J398">
        <v>34.26</v>
      </c>
      <c r="K398">
        <v>0</v>
      </c>
      <c r="L398">
        <v>2.1899999999999999E-2</v>
      </c>
      <c r="M398">
        <v>0.12039999999999999</v>
      </c>
      <c r="N398">
        <v>101.1317</v>
      </c>
      <c r="O398" t="s">
        <v>246</v>
      </c>
      <c r="P398" t="s">
        <v>38</v>
      </c>
      <c r="Q398">
        <f>I398-(K398*Standards!$I$15)</f>
        <v>7.5200000000000003E-2</v>
      </c>
    </row>
    <row r="399" spans="1:17">
      <c r="A399">
        <v>64</v>
      </c>
      <c r="B399">
        <v>0</v>
      </c>
      <c r="C399">
        <v>0</v>
      </c>
      <c r="D399">
        <v>35.090000000000003</v>
      </c>
      <c r="E399">
        <v>0</v>
      </c>
      <c r="F399">
        <v>0</v>
      </c>
      <c r="G399">
        <v>0</v>
      </c>
      <c r="H399">
        <v>31.11</v>
      </c>
      <c r="I399">
        <v>7.3499999999999996E-2</v>
      </c>
      <c r="J399">
        <v>34.33</v>
      </c>
      <c r="K399">
        <v>0</v>
      </c>
      <c r="L399">
        <v>2.5700000000000001E-2</v>
      </c>
      <c r="M399">
        <v>0.1245</v>
      </c>
      <c r="N399">
        <v>100.75360000000001</v>
      </c>
      <c r="O399" t="s">
        <v>246</v>
      </c>
      <c r="P399" t="s">
        <v>38</v>
      </c>
      <c r="Q399">
        <f>I399-(K399*Standards!$I$15)</f>
        <v>7.3499999999999996E-2</v>
      </c>
    </row>
    <row r="400" spans="1:17">
      <c r="A400">
        <v>56</v>
      </c>
      <c r="B400">
        <v>0</v>
      </c>
      <c r="C400">
        <v>0</v>
      </c>
      <c r="D400">
        <v>35.35</v>
      </c>
      <c r="E400">
        <v>2.5999999999999999E-3</v>
      </c>
      <c r="F400">
        <v>0</v>
      </c>
      <c r="G400">
        <v>0</v>
      </c>
      <c r="H400">
        <v>31.41</v>
      </c>
      <c r="I400">
        <v>7.1199999999999999E-2</v>
      </c>
      <c r="J400">
        <v>34.11</v>
      </c>
      <c r="K400">
        <v>0</v>
      </c>
      <c r="L400">
        <v>8.3999999999999995E-3</v>
      </c>
      <c r="M400">
        <v>0.11269999999999999</v>
      </c>
      <c r="N400">
        <v>101.06480000000001</v>
      </c>
      <c r="O400" t="s">
        <v>246</v>
      </c>
      <c r="P400" t="s">
        <v>38</v>
      </c>
      <c r="Q400">
        <f>I400-(K400*Standards!$I$15)</f>
        <v>7.1199999999999999E-2</v>
      </c>
    </row>
    <row r="401" spans="1:24">
      <c r="A401">
        <v>63</v>
      </c>
      <c r="B401">
        <v>0</v>
      </c>
      <c r="C401">
        <v>0</v>
      </c>
      <c r="D401">
        <v>35.299999999999997</v>
      </c>
      <c r="E401">
        <v>2E-3</v>
      </c>
      <c r="F401">
        <v>0</v>
      </c>
      <c r="G401">
        <v>0</v>
      </c>
      <c r="H401">
        <v>31.47</v>
      </c>
      <c r="I401">
        <v>7.0599999999999996E-2</v>
      </c>
      <c r="J401">
        <v>34.43</v>
      </c>
      <c r="K401">
        <v>0</v>
      </c>
      <c r="L401">
        <v>1.6299999999999999E-2</v>
      </c>
      <c r="M401">
        <v>0.15340000000000001</v>
      </c>
      <c r="N401">
        <v>101.4422</v>
      </c>
      <c r="O401" t="s">
        <v>246</v>
      </c>
      <c r="P401" t="s">
        <v>38</v>
      </c>
      <c r="Q401">
        <f>I401-(K401*Standards!$I$15)</f>
        <v>7.0599999999999996E-2</v>
      </c>
    </row>
    <row r="402" spans="1:24">
      <c r="A402">
        <v>70</v>
      </c>
      <c r="B402">
        <v>0</v>
      </c>
      <c r="C402">
        <v>0</v>
      </c>
      <c r="D402">
        <v>35.36</v>
      </c>
      <c r="E402">
        <v>3.2000000000000002E-3</v>
      </c>
      <c r="F402">
        <v>0</v>
      </c>
      <c r="G402">
        <v>0</v>
      </c>
      <c r="H402">
        <v>30.91</v>
      </c>
      <c r="I402">
        <v>6.9800000000000001E-2</v>
      </c>
      <c r="J402">
        <v>34.43</v>
      </c>
      <c r="K402">
        <v>0</v>
      </c>
      <c r="L402">
        <v>1.38E-2</v>
      </c>
      <c r="M402">
        <v>0.12379999999999999</v>
      </c>
      <c r="N402">
        <v>100.9106</v>
      </c>
      <c r="O402" t="s">
        <v>246</v>
      </c>
      <c r="P402" t="s">
        <v>38</v>
      </c>
      <c r="Q402">
        <f>I402-(K402*Standards!$I$15)</f>
        <v>6.9800000000000001E-2</v>
      </c>
    </row>
    <row r="403" spans="1:24">
      <c r="A403">
        <v>61</v>
      </c>
      <c r="B403">
        <v>2.9999999999999997E-4</v>
      </c>
      <c r="C403">
        <v>0</v>
      </c>
      <c r="D403">
        <v>35.19</v>
      </c>
      <c r="E403">
        <v>0</v>
      </c>
      <c r="F403">
        <v>0</v>
      </c>
      <c r="G403">
        <v>0</v>
      </c>
      <c r="H403">
        <v>31.01</v>
      </c>
      <c r="I403">
        <v>6.4699999999999994E-2</v>
      </c>
      <c r="J403">
        <v>34.46</v>
      </c>
      <c r="K403">
        <v>0</v>
      </c>
      <c r="L403">
        <v>4.9599999999999998E-2</v>
      </c>
      <c r="M403">
        <v>0.1187</v>
      </c>
      <c r="N403">
        <v>100.89319999999999</v>
      </c>
      <c r="O403" t="s">
        <v>246</v>
      </c>
      <c r="P403" t="s">
        <v>38</v>
      </c>
      <c r="Q403">
        <f>I403-(K403*Standards!$I$15)</f>
        <v>6.4699999999999994E-2</v>
      </c>
    </row>
    <row r="404" spans="1:24">
      <c r="A404">
        <v>68</v>
      </c>
      <c r="B404">
        <v>0</v>
      </c>
      <c r="C404">
        <v>0</v>
      </c>
      <c r="D404">
        <v>35.15</v>
      </c>
      <c r="E404">
        <v>0</v>
      </c>
      <c r="F404">
        <v>0</v>
      </c>
      <c r="G404">
        <v>0</v>
      </c>
      <c r="H404">
        <v>30.81</v>
      </c>
      <c r="I404">
        <v>4.3499999999999997E-2</v>
      </c>
      <c r="J404">
        <v>34.72</v>
      </c>
      <c r="K404">
        <v>0</v>
      </c>
      <c r="L404">
        <v>0.03</v>
      </c>
      <c r="M404">
        <v>0.1356</v>
      </c>
      <c r="N404">
        <v>100.889</v>
      </c>
      <c r="O404" t="s">
        <v>246</v>
      </c>
      <c r="P404" t="s">
        <v>38</v>
      </c>
      <c r="Q404">
        <f>I404-(K404*Standards!$I$15)</f>
        <v>4.3499999999999997E-2</v>
      </c>
    </row>
    <row r="405" spans="1:24">
      <c r="A405">
        <v>89</v>
      </c>
      <c r="B405">
        <v>0</v>
      </c>
      <c r="C405">
        <v>0</v>
      </c>
      <c r="D405">
        <v>35.35</v>
      </c>
      <c r="E405">
        <v>0</v>
      </c>
      <c r="F405">
        <v>0</v>
      </c>
      <c r="G405">
        <v>0</v>
      </c>
      <c r="H405">
        <v>30.51</v>
      </c>
      <c r="I405">
        <v>1.66E-2</v>
      </c>
      <c r="J405">
        <v>32.83</v>
      </c>
      <c r="K405">
        <v>4.1000000000000003E-3</v>
      </c>
      <c r="L405">
        <v>1.54E-2</v>
      </c>
      <c r="M405">
        <v>0.1288</v>
      </c>
      <c r="N405">
        <v>98.855000000000004</v>
      </c>
      <c r="O405" t="s">
        <v>247</v>
      </c>
      <c r="P405" t="s">
        <v>53</v>
      </c>
      <c r="Q405">
        <f>I405-(K405*Standards!$I$15)</f>
        <v>1.6590928750000001E-2</v>
      </c>
      <c r="R405" t="s">
        <v>53</v>
      </c>
      <c r="S405">
        <f>COUNT(Q405:Q461)</f>
        <v>57</v>
      </c>
      <c r="T405">
        <f>MAX(L405:L461)</f>
        <v>0.47860000000000003</v>
      </c>
      <c r="U405">
        <f>AVERAGE(L405:L461)</f>
        <v>5.4901754385964924E-2</v>
      </c>
      <c r="V405">
        <f>10000*MAX(Q405:Q461)</f>
        <v>203</v>
      </c>
      <c r="W405">
        <f>10000*AVERAGE(Q405:Q461)</f>
        <v>59.981408333333334</v>
      </c>
      <c r="X405">
        <f>10000*STDEV(Q405:Q461)</f>
        <v>57.38496920400695</v>
      </c>
    </row>
    <row r="406" spans="1:24">
      <c r="A406">
        <v>80</v>
      </c>
      <c r="B406">
        <v>3.0000000000000001E-3</v>
      </c>
      <c r="C406">
        <v>0</v>
      </c>
      <c r="D406">
        <v>35.68</v>
      </c>
      <c r="E406">
        <v>0</v>
      </c>
      <c r="F406">
        <v>0</v>
      </c>
      <c r="G406">
        <v>0</v>
      </c>
      <c r="H406">
        <v>31.02</v>
      </c>
      <c r="I406">
        <v>6.8999999999999999E-3</v>
      </c>
      <c r="J406">
        <v>34.54</v>
      </c>
      <c r="K406">
        <v>0</v>
      </c>
      <c r="L406">
        <v>3.1899999999999998E-2</v>
      </c>
      <c r="M406">
        <v>0.11310000000000001</v>
      </c>
      <c r="N406">
        <v>101.3948</v>
      </c>
      <c r="O406" t="s">
        <v>247</v>
      </c>
      <c r="P406" t="s">
        <v>53</v>
      </c>
      <c r="Q406">
        <f>I406-(K406*Standards!$I$15)</f>
        <v>6.8999999999999999E-3</v>
      </c>
    </row>
    <row r="407" spans="1:24">
      <c r="A407">
        <v>77</v>
      </c>
      <c r="B407">
        <v>0</v>
      </c>
      <c r="C407">
        <v>0</v>
      </c>
      <c r="D407">
        <v>35.54</v>
      </c>
      <c r="E407">
        <v>9.4999999999999998E-3</v>
      </c>
      <c r="F407">
        <v>1.09E-2</v>
      </c>
      <c r="G407">
        <v>0</v>
      </c>
      <c r="H407">
        <v>30.97</v>
      </c>
      <c r="I407">
        <v>4.1999999999999997E-3</v>
      </c>
      <c r="J407">
        <v>34.65</v>
      </c>
      <c r="K407">
        <v>3.0999999999999999E-3</v>
      </c>
      <c r="L407">
        <v>0</v>
      </c>
      <c r="M407">
        <v>0.12039999999999999</v>
      </c>
      <c r="N407">
        <v>101.30800000000001</v>
      </c>
      <c r="O407" t="s">
        <v>247</v>
      </c>
      <c r="P407" t="s">
        <v>53</v>
      </c>
      <c r="Q407">
        <f>I407-(K407*Standards!$I$15)</f>
        <v>4.1931412499999999E-3</v>
      </c>
    </row>
    <row r="408" spans="1:24">
      <c r="A408">
        <v>113</v>
      </c>
      <c r="B408">
        <v>0</v>
      </c>
      <c r="C408">
        <v>0</v>
      </c>
      <c r="D408">
        <v>35.56</v>
      </c>
      <c r="E408">
        <v>1.46E-2</v>
      </c>
      <c r="F408">
        <v>4.5999999999999999E-3</v>
      </c>
      <c r="G408">
        <v>0</v>
      </c>
      <c r="H408">
        <v>30.53</v>
      </c>
      <c r="I408">
        <v>4.1000000000000003E-3</v>
      </c>
      <c r="J408">
        <v>31.31</v>
      </c>
      <c r="K408">
        <v>0.24940000000000001</v>
      </c>
      <c r="L408">
        <v>2.5700000000000001E-2</v>
      </c>
      <c r="M408">
        <v>0.10920000000000001</v>
      </c>
      <c r="N408">
        <v>97.807599999999994</v>
      </c>
      <c r="O408" t="s">
        <v>247</v>
      </c>
      <c r="P408" t="s">
        <v>53</v>
      </c>
      <c r="Q408">
        <f>I408-(K408*Standards!$I$15)</f>
        <v>3.5482025E-3</v>
      </c>
    </row>
    <row r="409" spans="1:24">
      <c r="A409">
        <v>103</v>
      </c>
      <c r="B409">
        <v>0</v>
      </c>
      <c r="C409">
        <v>0</v>
      </c>
      <c r="D409">
        <v>35.380000000000003</v>
      </c>
      <c r="E409">
        <v>5.0000000000000001E-4</v>
      </c>
      <c r="F409">
        <v>0</v>
      </c>
      <c r="G409">
        <v>0</v>
      </c>
      <c r="H409">
        <v>31.2</v>
      </c>
      <c r="I409">
        <v>3.2000000000000002E-3</v>
      </c>
      <c r="J409">
        <v>32.74</v>
      </c>
      <c r="K409">
        <v>0.2432</v>
      </c>
      <c r="L409">
        <v>1.95E-2</v>
      </c>
      <c r="M409">
        <v>0.1288</v>
      </c>
      <c r="N409">
        <v>99.715299999999999</v>
      </c>
      <c r="O409" t="s">
        <v>247</v>
      </c>
      <c r="P409" t="s">
        <v>53</v>
      </c>
      <c r="Q409">
        <f>I409-(K409*Standards!$I$15)</f>
        <v>2.6619199999999999E-3</v>
      </c>
    </row>
    <row r="410" spans="1:24">
      <c r="A410">
        <v>88</v>
      </c>
      <c r="B410">
        <v>0</v>
      </c>
      <c r="C410">
        <v>0</v>
      </c>
      <c r="D410">
        <v>35.42</v>
      </c>
      <c r="E410">
        <v>1.67E-2</v>
      </c>
      <c r="F410">
        <v>3.8999999999999998E-3</v>
      </c>
      <c r="G410">
        <v>0</v>
      </c>
      <c r="H410">
        <v>30.83</v>
      </c>
      <c r="I410">
        <v>2E-3</v>
      </c>
      <c r="J410">
        <v>32.799999999999997</v>
      </c>
      <c r="K410">
        <v>0</v>
      </c>
      <c r="L410">
        <v>3.6999999999999998E-2</v>
      </c>
      <c r="M410">
        <v>0.1086</v>
      </c>
      <c r="N410">
        <v>99.218299999999999</v>
      </c>
      <c r="O410" t="s">
        <v>247</v>
      </c>
      <c r="P410" t="s">
        <v>53</v>
      </c>
      <c r="Q410">
        <f>I410-(K410*Standards!$I$15)</f>
        <v>2E-3</v>
      </c>
    </row>
    <row r="411" spans="1:24">
      <c r="A411">
        <v>95</v>
      </c>
      <c r="B411">
        <v>8.0000000000000002E-3</v>
      </c>
      <c r="C411">
        <v>0</v>
      </c>
      <c r="D411">
        <v>35.479999999999997</v>
      </c>
      <c r="E411">
        <v>1E-4</v>
      </c>
      <c r="F411">
        <v>2.5999999999999999E-3</v>
      </c>
      <c r="G411">
        <v>0</v>
      </c>
      <c r="H411">
        <v>31.38</v>
      </c>
      <c r="I411">
        <v>0</v>
      </c>
      <c r="J411">
        <v>32.049999999999997</v>
      </c>
      <c r="K411">
        <v>0</v>
      </c>
      <c r="L411">
        <v>1.4999999999999999E-2</v>
      </c>
      <c r="M411">
        <v>0.1043</v>
      </c>
      <c r="N411">
        <v>99.040099999999995</v>
      </c>
      <c r="O411" t="s">
        <v>247</v>
      </c>
      <c r="P411" t="s">
        <v>53</v>
      </c>
      <c r="Q411">
        <f>I411-(K411*Standards!$I$15)</f>
        <v>0</v>
      </c>
    </row>
    <row r="412" spans="1:24">
      <c r="A412">
        <v>94</v>
      </c>
      <c r="B412">
        <v>0</v>
      </c>
      <c r="C412">
        <v>0</v>
      </c>
      <c r="D412">
        <v>35.53</v>
      </c>
      <c r="E412">
        <v>0</v>
      </c>
      <c r="F412">
        <v>0</v>
      </c>
      <c r="G412">
        <v>0</v>
      </c>
      <c r="H412">
        <v>31.27</v>
      </c>
      <c r="I412">
        <v>0</v>
      </c>
      <c r="J412">
        <v>32.200000000000003</v>
      </c>
      <c r="K412">
        <v>4.3E-3</v>
      </c>
      <c r="L412">
        <v>0.02</v>
      </c>
      <c r="M412">
        <v>0.13489999999999999</v>
      </c>
      <c r="N412">
        <v>99.159300000000002</v>
      </c>
      <c r="O412" t="s">
        <v>247</v>
      </c>
      <c r="P412" t="s">
        <v>53</v>
      </c>
      <c r="Q412">
        <f>I412-(K412*Standards!$I$15)</f>
        <v>-9.5137500000000002E-6</v>
      </c>
    </row>
    <row r="413" spans="1:24">
      <c r="A413">
        <v>78</v>
      </c>
      <c r="B413">
        <v>0</v>
      </c>
      <c r="C413">
        <v>0</v>
      </c>
      <c r="D413">
        <v>35.6</v>
      </c>
      <c r="E413">
        <v>1.26E-2</v>
      </c>
      <c r="F413">
        <v>0</v>
      </c>
      <c r="G413">
        <v>0</v>
      </c>
      <c r="H413">
        <v>31.23</v>
      </c>
      <c r="I413">
        <v>0</v>
      </c>
      <c r="J413">
        <v>34.61</v>
      </c>
      <c r="K413">
        <v>0</v>
      </c>
      <c r="L413">
        <v>1.46E-2</v>
      </c>
      <c r="M413">
        <v>0.1124</v>
      </c>
      <c r="N413">
        <v>101.5795</v>
      </c>
      <c r="O413" t="s">
        <v>247</v>
      </c>
      <c r="P413" t="s">
        <v>53</v>
      </c>
      <c r="Q413">
        <f>I413-(K413*Standards!$I$15)</f>
        <v>0</v>
      </c>
    </row>
    <row r="414" spans="1:24">
      <c r="A414">
        <v>93</v>
      </c>
      <c r="B414">
        <v>6.3700000000000007E-2</v>
      </c>
      <c r="C414">
        <v>0</v>
      </c>
      <c r="D414">
        <v>35.619999999999997</v>
      </c>
      <c r="E414">
        <v>1.66E-2</v>
      </c>
      <c r="F414">
        <v>5.11E-2</v>
      </c>
      <c r="G414">
        <v>0</v>
      </c>
      <c r="H414">
        <v>31.18</v>
      </c>
      <c r="I414">
        <v>0</v>
      </c>
      <c r="J414">
        <v>32.450000000000003</v>
      </c>
      <c r="K414">
        <v>0</v>
      </c>
      <c r="L414">
        <v>0</v>
      </c>
      <c r="M414">
        <v>0.1169</v>
      </c>
      <c r="N414">
        <v>99.498400000000004</v>
      </c>
      <c r="O414" t="s">
        <v>247</v>
      </c>
      <c r="P414" t="s">
        <v>53</v>
      </c>
      <c r="Q414">
        <f>I414-(K414*Standards!$I$15)</f>
        <v>0</v>
      </c>
    </row>
    <row r="415" spans="1:24">
      <c r="A415">
        <v>91</v>
      </c>
      <c r="B415">
        <v>4.1000000000000003E-3</v>
      </c>
      <c r="C415">
        <v>0</v>
      </c>
      <c r="D415">
        <v>35.56</v>
      </c>
      <c r="E415">
        <v>0</v>
      </c>
      <c r="F415">
        <v>0</v>
      </c>
      <c r="G415">
        <v>0</v>
      </c>
      <c r="H415">
        <v>31.16</v>
      </c>
      <c r="I415">
        <v>0</v>
      </c>
      <c r="J415">
        <v>32.270000000000003</v>
      </c>
      <c r="K415">
        <v>3.5999999999999999E-3</v>
      </c>
      <c r="L415">
        <v>2.4500000000000001E-2</v>
      </c>
      <c r="M415">
        <v>0.1205</v>
      </c>
      <c r="N415">
        <v>99.142799999999994</v>
      </c>
      <c r="O415" t="s">
        <v>247</v>
      </c>
      <c r="P415" t="s">
        <v>53</v>
      </c>
      <c r="Q415">
        <f>I415-(K415*Standards!$I$15)</f>
        <v>-7.9650000000000008E-6</v>
      </c>
    </row>
    <row r="416" spans="1:24">
      <c r="A416">
        <v>92</v>
      </c>
      <c r="B416">
        <v>0</v>
      </c>
      <c r="C416">
        <v>0</v>
      </c>
      <c r="D416">
        <v>35.6</v>
      </c>
      <c r="E416">
        <v>7.9000000000000008E-3</v>
      </c>
      <c r="F416">
        <v>0</v>
      </c>
      <c r="G416">
        <v>0</v>
      </c>
      <c r="H416">
        <v>31.15</v>
      </c>
      <c r="I416">
        <v>0</v>
      </c>
      <c r="J416">
        <v>32.64</v>
      </c>
      <c r="K416">
        <v>4.4000000000000003E-3</v>
      </c>
      <c r="L416">
        <v>1E-3</v>
      </c>
      <c r="M416">
        <v>0.11020000000000001</v>
      </c>
      <c r="N416">
        <v>99.513499999999993</v>
      </c>
      <c r="O416" t="s">
        <v>247</v>
      </c>
      <c r="P416" t="s">
        <v>53</v>
      </c>
      <c r="Q416">
        <f>I416-(K416*Standards!$I$15)</f>
        <v>-9.7350000000000008E-6</v>
      </c>
    </row>
    <row r="417" spans="1:17">
      <c r="A417">
        <v>109</v>
      </c>
      <c r="B417">
        <v>1.9E-3</v>
      </c>
      <c r="C417">
        <v>0</v>
      </c>
      <c r="D417">
        <v>35.520000000000003</v>
      </c>
      <c r="E417">
        <v>2.3999999999999998E-3</v>
      </c>
      <c r="F417">
        <v>0</v>
      </c>
      <c r="G417">
        <v>0</v>
      </c>
      <c r="H417">
        <v>31.12</v>
      </c>
      <c r="I417">
        <v>0</v>
      </c>
      <c r="J417">
        <v>30.84</v>
      </c>
      <c r="K417">
        <v>0.2535</v>
      </c>
      <c r="L417">
        <v>1.4500000000000001E-2</v>
      </c>
      <c r="M417">
        <v>0.1178</v>
      </c>
      <c r="N417">
        <v>97.870199999999997</v>
      </c>
      <c r="O417" t="s">
        <v>247</v>
      </c>
      <c r="P417" t="s">
        <v>53</v>
      </c>
      <c r="Q417">
        <f>I417-(K417*Standards!$I$15)</f>
        <v>-5.6086875E-4</v>
      </c>
    </row>
    <row r="418" spans="1:17">
      <c r="A418">
        <v>90</v>
      </c>
      <c r="B418">
        <v>0</v>
      </c>
      <c r="C418">
        <v>0</v>
      </c>
      <c r="D418">
        <v>35.42</v>
      </c>
      <c r="E418">
        <v>1.6799999999999999E-2</v>
      </c>
      <c r="F418">
        <v>0</v>
      </c>
      <c r="G418">
        <v>0</v>
      </c>
      <c r="H418">
        <v>31.05</v>
      </c>
      <c r="I418">
        <v>0</v>
      </c>
      <c r="J418">
        <v>33.14</v>
      </c>
      <c r="K418">
        <v>6.7000000000000002E-3</v>
      </c>
      <c r="L418">
        <v>1.8499999999999999E-2</v>
      </c>
      <c r="M418">
        <v>0.1065</v>
      </c>
      <c r="N418">
        <v>99.758600000000001</v>
      </c>
      <c r="O418" t="s">
        <v>247</v>
      </c>
      <c r="P418" t="s">
        <v>53</v>
      </c>
      <c r="Q418">
        <f>I418-(K418*Standards!$I$15)</f>
        <v>-1.482375E-5</v>
      </c>
    </row>
    <row r="419" spans="1:17">
      <c r="A419">
        <v>101</v>
      </c>
      <c r="B419">
        <v>0</v>
      </c>
      <c r="C419">
        <v>0</v>
      </c>
      <c r="D419">
        <v>35.549999999999997</v>
      </c>
      <c r="E419">
        <v>4.5999999999999999E-3</v>
      </c>
      <c r="F419">
        <v>7.4999999999999997E-3</v>
      </c>
      <c r="G419">
        <v>0</v>
      </c>
      <c r="H419">
        <v>30.98</v>
      </c>
      <c r="I419">
        <v>0</v>
      </c>
      <c r="J419">
        <v>33.32</v>
      </c>
      <c r="K419">
        <v>0.23380000000000001</v>
      </c>
      <c r="L419">
        <v>2.1999999999999999E-2</v>
      </c>
      <c r="M419">
        <v>0.14510000000000001</v>
      </c>
      <c r="N419">
        <v>100.26300000000001</v>
      </c>
      <c r="O419" t="s">
        <v>247</v>
      </c>
      <c r="P419" t="s">
        <v>53</v>
      </c>
      <c r="Q419">
        <f>I419-(K419*Standards!$I$15)</f>
        <v>-5.1728250000000005E-4</v>
      </c>
    </row>
    <row r="420" spans="1:17">
      <c r="A420">
        <v>79</v>
      </c>
      <c r="B420">
        <v>0</v>
      </c>
      <c r="C420">
        <v>0</v>
      </c>
      <c r="D420">
        <v>35.6</v>
      </c>
      <c r="E420">
        <v>1E-4</v>
      </c>
      <c r="F420">
        <v>0</v>
      </c>
      <c r="G420">
        <v>0</v>
      </c>
      <c r="H420">
        <v>30.95</v>
      </c>
      <c r="I420">
        <v>0</v>
      </c>
      <c r="J420">
        <v>34.64</v>
      </c>
      <c r="K420">
        <v>0</v>
      </c>
      <c r="L420">
        <v>0</v>
      </c>
      <c r="M420">
        <v>0.1197</v>
      </c>
      <c r="N420">
        <v>101.30970000000001</v>
      </c>
      <c r="O420" t="s">
        <v>247</v>
      </c>
      <c r="P420" t="s">
        <v>53</v>
      </c>
      <c r="Q420">
        <f>I420-(K420*Standards!$I$15)</f>
        <v>0</v>
      </c>
    </row>
    <row r="421" spans="1:17">
      <c r="A421">
        <v>102</v>
      </c>
      <c r="B421">
        <v>6.9999999999999999E-4</v>
      </c>
      <c r="C421">
        <v>0</v>
      </c>
      <c r="D421">
        <v>35.409999999999997</v>
      </c>
      <c r="E421">
        <v>0</v>
      </c>
      <c r="F421">
        <v>0</v>
      </c>
      <c r="G421">
        <v>0</v>
      </c>
      <c r="H421">
        <v>30.92</v>
      </c>
      <c r="I421">
        <v>0</v>
      </c>
      <c r="J421">
        <v>33.31</v>
      </c>
      <c r="K421">
        <v>0.24390000000000001</v>
      </c>
      <c r="L421">
        <v>9.4999999999999998E-3</v>
      </c>
      <c r="M421">
        <v>0.1202</v>
      </c>
      <c r="N421">
        <v>100.0142</v>
      </c>
      <c r="O421" t="s">
        <v>247</v>
      </c>
      <c r="P421" t="s">
        <v>53</v>
      </c>
      <c r="Q421">
        <f>I421-(K421*Standards!$I$15)</f>
        <v>-5.3962875000000004E-4</v>
      </c>
    </row>
    <row r="422" spans="1:17">
      <c r="A422">
        <v>110</v>
      </c>
      <c r="B422">
        <v>0</v>
      </c>
      <c r="C422">
        <v>0</v>
      </c>
      <c r="D422">
        <v>35.56</v>
      </c>
      <c r="E422">
        <v>1.0800000000000001E-2</v>
      </c>
      <c r="F422">
        <v>0</v>
      </c>
      <c r="G422">
        <v>0</v>
      </c>
      <c r="H422">
        <v>30.89</v>
      </c>
      <c r="I422">
        <v>0</v>
      </c>
      <c r="J422">
        <v>31.27</v>
      </c>
      <c r="K422">
        <v>0.2429</v>
      </c>
      <c r="L422">
        <v>0.01</v>
      </c>
      <c r="M422">
        <v>9.98E-2</v>
      </c>
      <c r="N422">
        <v>98.083600000000004</v>
      </c>
      <c r="O422" t="s">
        <v>247</v>
      </c>
      <c r="P422" t="s">
        <v>53</v>
      </c>
      <c r="Q422">
        <f>I422-(K422*Standards!$I$15)</f>
        <v>-5.3741625000000006E-4</v>
      </c>
    </row>
    <row r="423" spans="1:17">
      <c r="A423">
        <v>76</v>
      </c>
      <c r="B423">
        <v>0</v>
      </c>
      <c r="C423">
        <v>0</v>
      </c>
      <c r="D423">
        <v>35.619999999999997</v>
      </c>
      <c r="E423">
        <v>2.8E-3</v>
      </c>
      <c r="F423">
        <v>0</v>
      </c>
      <c r="G423">
        <v>0</v>
      </c>
      <c r="H423">
        <v>30.88</v>
      </c>
      <c r="I423">
        <v>0</v>
      </c>
      <c r="J423">
        <v>34.65</v>
      </c>
      <c r="K423">
        <v>0</v>
      </c>
      <c r="L423">
        <v>4.5400000000000003E-2</v>
      </c>
      <c r="M423">
        <v>0.1108</v>
      </c>
      <c r="N423">
        <v>101.309</v>
      </c>
      <c r="O423" t="s">
        <v>247</v>
      </c>
      <c r="P423" t="s">
        <v>53</v>
      </c>
      <c r="Q423">
        <f>I423-(K423*Standards!$I$15)</f>
        <v>0</v>
      </c>
    </row>
    <row r="424" spans="1:17">
      <c r="A424">
        <v>107</v>
      </c>
      <c r="B424">
        <v>0</v>
      </c>
      <c r="C424">
        <v>0</v>
      </c>
      <c r="D424">
        <v>35.47</v>
      </c>
      <c r="E424">
        <v>1.2500000000000001E-2</v>
      </c>
      <c r="F424">
        <v>0</v>
      </c>
      <c r="G424">
        <v>0</v>
      </c>
      <c r="H424">
        <v>30.68</v>
      </c>
      <c r="I424">
        <v>0</v>
      </c>
      <c r="J424">
        <v>32.22</v>
      </c>
      <c r="K424">
        <v>0.2535</v>
      </c>
      <c r="L424">
        <v>3.9800000000000002E-2</v>
      </c>
      <c r="M424">
        <v>0.12889999999999999</v>
      </c>
      <c r="N424">
        <v>98.8048</v>
      </c>
      <c r="O424" t="s">
        <v>247</v>
      </c>
      <c r="P424" t="s">
        <v>53</v>
      </c>
      <c r="Q424">
        <f>I424-(K424*Standards!$I$15)</f>
        <v>-5.6086875E-4</v>
      </c>
    </row>
    <row r="425" spans="1:17">
      <c r="A425">
        <v>108</v>
      </c>
      <c r="B425">
        <v>4.4000000000000003E-3</v>
      </c>
      <c r="C425">
        <v>0</v>
      </c>
      <c r="D425">
        <v>35.659999999999997</v>
      </c>
      <c r="E425">
        <v>0</v>
      </c>
      <c r="F425">
        <v>5.4000000000000003E-3</v>
      </c>
      <c r="G425">
        <v>0</v>
      </c>
      <c r="H425">
        <v>30.63</v>
      </c>
      <c r="I425">
        <v>0</v>
      </c>
      <c r="J425">
        <v>32.36</v>
      </c>
      <c r="K425">
        <v>0.245</v>
      </c>
      <c r="L425">
        <v>1.7399999999999999E-2</v>
      </c>
      <c r="M425">
        <v>0.1132</v>
      </c>
      <c r="N425">
        <v>99.035499999999999</v>
      </c>
      <c r="O425" t="s">
        <v>247</v>
      </c>
      <c r="P425" t="s">
        <v>53</v>
      </c>
      <c r="Q425">
        <f>I425-(K425*Standards!$I$15)</f>
        <v>-5.4206250000000001E-4</v>
      </c>
    </row>
    <row r="426" spans="1:17">
      <c r="A426">
        <v>87</v>
      </c>
      <c r="B426">
        <v>1.6899999999999998E-2</v>
      </c>
      <c r="C426">
        <v>0</v>
      </c>
      <c r="D426">
        <v>35.590000000000003</v>
      </c>
      <c r="E426">
        <v>1.2999999999999999E-2</v>
      </c>
      <c r="F426">
        <v>3.95E-2</v>
      </c>
      <c r="G426">
        <v>0</v>
      </c>
      <c r="H426">
        <v>30.44</v>
      </c>
      <c r="I426">
        <v>0</v>
      </c>
      <c r="J426">
        <v>33.35</v>
      </c>
      <c r="K426">
        <v>0</v>
      </c>
      <c r="L426">
        <v>1.35E-2</v>
      </c>
      <c r="M426">
        <v>0.1071</v>
      </c>
      <c r="N426">
        <v>99.570099999999996</v>
      </c>
      <c r="O426" t="s">
        <v>247</v>
      </c>
      <c r="P426" t="s">
        <v>53</v>
      </c>
      <c r="Q426">
        <f>I426-(K426*Standards!$I$15)</f>
        <v>0</v>
      </c>
    </row>
    <row r="427" spans="1:17">
      <c r="A427">
        <v>1</v>
      </c>
      <c r="B427">
        <v>0</v>
      </c>
      <c r="C427">
        <v>0</v>
      </c>
      <c r="D427">
        <v>35.17</v>
      </c>
      <c r="E427">
        <v>2.58E-2</v>
      </c>
      <c r="F427">
        <v>0</v>
      </c>
      <c r="G427">
        <v>0</v>
      </c>
      <c r="H427">
        <v>31</v>
      </c>
      <c r="I427">
        <v>1.4E-2</v>
      </c>
      <c r="J427">
        <v>33.58</v>
      </c>
      <c r="K427">
        <v>0</v>
      </c>
      <c r="L427">
        <v>3.2899999999999999E-2</v>
      </c>
      <c r="M427">
        <v>0.1764</v>
      </c>
      <c r="N427">
        <v>99.999200000000002</v>
      </c>
      <c r="O427" t="s">
        <v>248</v>
      </c>
      <c r="P427" t="s">
        <v>53</v>
      </c>
      <c r="Q427">
        <f>I427-(K427*Standards!$I$15)</f>
        <v>1.4E-2</v>
      </c>
    </row>
    <row r="428" spans="1:17">
      <c r="A428">
        <v>2</v>
      </c>
      <c r="B428">
        <v>0</v>
      </c>
      <c r="C428">
        <v>0</v>
      </c>
      <c r="D428">
        <v>35.07</v>
      </c>
      <c r="E428">
        <v>3.3099999999999997E-2</v>
      </c>
      <c r="F428">
        <v>0</v>
      </c>
      <c r="G428">
        <v>0</v>
      </c>
      <c r="H428">
        <v>30.89</v>
      </c>
      <c r="I428">
        <v>1.2999999999999999E-2</v>
      </c>
      <c r="J428">
        <v>33.4</v>
      </c>
      <c r="K428">
        <v>0</v>
      </c>
      <c r="L428">
        <v>6.9099999999999995E-2</v>
      </c>
      <c r="M428">
        <v>0.1479</v>
      </c>
      <c r="N428">
        <v>99.623199999999997</v>
      </c>
      <c r="O428" t="s">
        <v>248</v>
      </c>
      <c r="P428" t="s">
        <v>53</v>
      </c>
      <c r="Q428">
        <f>I428-(K428*Standards!$I$15)</f>
        <v>1.2999999999999999E-2</v>
      </c>
    </row>
    <row r="429" spans="1:17">
      <c r="A429">
        <v>4</v>
      </c>
      <c r="B429">
        <v>0</v>
      </c>
      <c r="C429">
        <v>0</v>
      </c>
      <c r="D429">
        <v>35.26</v>
      </c>
      <c r="E429">
        <v>1.7899999999999999E-2</v>
      </c>
      <c r="F429">
        <v>0</v>
      </c>
      <c r="G429">
        <v>0</v>
      </c>
      <c r="H429">
        <v>31.09</v>
      </c>
      <c r="I429">
        <v>1.0999999999999999E-2</v>
      </c>
      <c r="J429">
        <v>33.81</v>
      </c>
      <c r="K429">
        <v>0</v>
      </c>
      <c r="L429">
        <v>5.7500000000000002E-2</v>
      </c>
      <c r="M429">
        <v>0.1525</v>
      </c>
      <c r="N429">
        <v>100.39879999999999</v>
      </c>
      <c r="O429" t="s">
        <v>248</v>
      </c>
      <c r="P429" t="s">
        <v>53</v>
      </c>
      <c r="Q429">
        <f>I429-(K429*Standards!$I$15)</f>
        <v>1.0999999999999999E-2</v>
      </c>
    </row>
    <row r="430" spans="1:17">
      <c r="A430">
        <v>3</v>
      </c>
      <c r="B430">
        <v>0</v>
      </c>
      <c r="C430">
        <v>0</v>
      </c>
      <c r="D430">
        <v>35.270000000000003</v>
      </c>
      <c r="E430">
        <v>2.8500000000000001E-2</v>
      </c>
      <c r="F430">
        <v>0</v>
      </c>
      <c r="G430">
        <v>0</v>
      </c>
      <c r="H430">
        <v>30.79</v>
      </c>
      <c r="I430">
        <v>4.7000000000000002E-3</v>
      </c>
      <c r="J430">
        <v>33.78</v>
      </c>
      <c r="K430">
        <v>0</v>
      </c>
      <c r="L430">
        <v>4.6399999999999997E-2</v>
      </c>
      <c r="M430">
        <v>0.14330000000000001</v>
      </c>
      <c r="N430">
        <v>100.0629</v>
      </c>
      <c r="O430" t="s">
        <v>248</v>
      </c>
      <c r="P430" t="s">
        <v>53</v>
      </c>
      <c r="Q430">
        <f>I430-(K430*Standards!$I$15)</f>
        <v>4.7000000000000002E-3</v>
      </c>
    </row>
    <row r="431" spans="1:17">
      <c r="A431">
        <v>5</v>
      </c>
      <c r="B431">
        <v>0</v>
      </c>
      <c r="C431">
        <v>0</v>
      </c>
      <c r="D431">
        <v>35.24</v>
      </c>
      <c r="E431">
        <v>2.1299999999999999E-2</v>
      </c>
      <c r="F431">
        <v>0</v>
      </c>
      <c r="G431">
        <v>0</v>
      </c>
      <c r="H431">
        <v>30.8</v>
      </c>
      <c r="I431">
        <v>4.1999999999999997E-3</v>
      </c>
      <c r="J431">
        <v>33.32</v>
      </c>
      <c r="K431">
        <v>0</v>
      </c>
      <c r="L431">
        <v>4.4999999999999998E-2</v>
      </c>
      <c r="M431">
        <v>0.16950000000000001</v>
      </c>
      <c r="N431">
        <v>99.600099999999998</v>
      </c>
      <c r="O431" t="s">
        <v>248</v>
      </c>
      <c r="P431" t="s">
        <v>53</v>
      </c>
      <c r="Q431">
        <f>I431-(K431*Standards!$I$15)</f>
        <v>4.1999999999999997E-3</v>
      </c>
    </row>
    <row r="432" spans="1:17">
      <c r="A432">
        <v>35</v>
      </c>
      <c r="B432">
        <v>0</v>
      </c>
      <c r="C432">
        <v>0</v>
      </c>
      <c r="D432">
        <v>34.99</v>
      </c>
      <c r="E432">
        <v>2.1299999999999999E-2</v>
      </c>
      <c r="F432">
        <v>0</v>
      </c>
      <c r="G432">
        <v>0</v>
      </c>
      <c r="H432">
        <v>30.56</v>
      </c>
      <c r="I432">
        <v>2.0299999999999999E-2</v>
      </c>
      <c r="J432">
        <v>33.6</v>
      </c>
      <c r="K432">
        <v>0</v>
      </c>
      <c r="L432">
        <v>3.49E-2</v>
      </c>
      <c r="M432">
        <v>0.14280000000000001</v>
      </c>
      <c r="N432">
        <v>99.369399999999999</v>
      </c>
      <c r="O432" t="s">
        <v>176</v>
      </c>
      <c r="P432" t="s">
        <v>53</v>
      </c>
      <c r="Q432">
        <f>I432-(K432*Standards!$I$15)</f>
        <v>2.0299999999999999E-2</v>
      </c>
    </row>
    <row r="433" spans="1:17">
      <c r="A433">
        <v>38</v>
      </c>
      <c r="B433">
        <v>0</v>
      </c>
      <c r="C433">
        <v>0</v>
      </c>
      <c r="D433">
        <v>35.19</v>
      </c>
      <c r="E433">
        <v>3.3799999999999997E-2</v>
      </c>
      <c r="F433">
        <v>0</v>
      </c>
      <c r="G433">
        <v>0</v>
      </c>
      <c r="H433">
        <v>31.02</v>
      </c>
      <c r="I433">
        <v>1.84E-2</v>
      </c>
      <c r="J433">
        <v>33.450000000000003</v>
      </c>
      <c r="K433">
        <v>0</v>
      </c>
      <c r="L433">
        <v>4.2999999999999997E-2</v>
      </c>
      <c r="M433">
        <v>0.15090000000000001</v>
      </c>
      <c r="N433">
        <v>99.906199999999998</v>
      </c>
      <c r="O433" t="s">
        <v>176</v>
      </c>
      <c r="P433" t="s">
        <v>53</v>
      </c>
      <c r="Q433">
        <f>I433-(K433*Standards!$I$15)</f>
        <v>1.84E-2</v>
      </c>
    </row>
    <row r="434" spans="1:17">
      <c r="A434">
        <v>36</v>
      </c>
      <c r="B434">
        <v>0</v>
      </c>
      <c r="C434">
        <v>0</v>
      </c>
      <c r="D434">
        <v>35.06</v>
      </c>
      <c r="E434">
        <v>2.1299999999999999E-2</v>
      </c>
      <c r="F434">
        <v>0</v>
      </c>
      <c r="G434">
        <v>0</v>
      </c>
      <c r="H434">
        <v>31.02</v>
      </c>
      <c r="I434">
        <v>1.34E-2</v>
      </c>
      <c r="J434">
        <v>33.49</v>
      </c>
      <c r="K434">
        <v>0</v>
      </c>
      <c r="L434">
        <v>7.1999999999999995E-2</v>
      </c>
      <c r="M434">
        <v>0.1527</v>
      </c>
      <c r="N434">
        <v>99.829499999999996</v>
      </c>
      <c r="O434" t="s">
        <v>176</v>
      </c>
      <c r="P434" t="s">
        <v>53</v>
      </c>
      <c r="Q434">
        <f>I434-(K434*Standards!$I$15)</f>
        <v>1.34E-2</v>
      </c>
    </row>
    <row r="435" spans="1:17">
      <c r="A435">
        <v>64</v>
      </c>
      <c r="B435">
        <v>0</v>
      </c>
      <c r="C435">
        <v>0</v>
      </c>
      <c r="D435">
        <v>35.29</v>
      </c>
      <c r="E435">
        <v>2.6700000000000002E-2</v>
      </c>
      <c r="F435">
        <v>2.2599999999999999E-2</v>
      </c>
      <c r="G435">
        <v>0</v>
      </c>
      <c r="H435">
        <v>30.57</v>
      </c>
      <c r="I435">
        <v>1.34E-2</v>
      </c>
      <c r="J435">
        <v>34.119999999999997</v>
      </c>
      <c r="K435">
        <v>0</v>
      </c>
      <c r="L435">
        <v>5.9200000000000003E-2</v>
      </c>
      <c r="M435">
        <v>0.15540000000000001</v>
      </c>
      <c r="N435">
        <v>100.2572</v>
      </c>
      <c r="O435" t="s">
        <v>176</v>
      </c>
      <c r="P435" t="s">
        <v>53</v>
      </c>
      <c r="Q435">
        <f>I435-(K435*Standards!$I$15)</f>
        <v>1.34E-2</v>
      </c>
    </row>
    <row r="436" spans="1:17">
      <c r="A436">
        <v>41</v>
      </c>
      <c r="B436">
        <v>0</v>
      </c>
      <c r="C436">
        <v>0</v>
      </c>
      <c r="D436">
        <v>35.020000000000003</v>
      </c>
      <c r="E436">
        <v>1.7100000000000001E-2</v>
      </c>
      <c r="F436">
        <v>0</v>
      </c>
      <c r="G436">
        <v>0</v>
      </c>
      <c r="H436">
        <v>30.55</v>
      </c>
      <c r="I436">
        <v>1.3299999999999999E-2</v>
      </c>
      <c r="J436">
        <v>33.549999999999997</v>
      </c>
      <c r="K436">
        <v>0</v>
      </c>
      <c r="L436">
        <v>4.6300000000000001E-2</v>
      </c>
      <c r="M436">
        <v>0.15540000000000001</v>
      </c>
      <c r="N436">
        <v>99.352099999999993</v>
      </c>
      <c r="O436" t="s">
        <v>176</v>
      </c>
      <c r="P436" t="s">
        <v>53</v>
      </c>
      <c r="Q436">
        <f>I436-(K436*Standards!$I$15)</f>
        <v>1.3299999999999999E-2</v>
      </c>
    </row>
    <row r="437" spans="1:17">
      <c r="A437">
        <v>72</v>
      </c>
      <c r="B437">
        <v>0</v>
      </c>
      <c r="C437">
        <v>0</v>
      </c>
      <c r="D437">
        <v>35.31</v>
      </c>
      <c r="E437">
        <v>8.8000000000000005E-3</v>
      </c>
      <c r="F437">
        <v>0</v>
      </c>
      <c r="G437">
        <v>0</v>
      </c>
      <c r="H437">
        <v>30.62</v>
      </c>
      <c r="I437">
        <v>1.3100000000000001E-2</v>
      </c>
      <c r="J437">
        <v>33.82</v>
      </c>
      <c r="K437">
        <v>0</v>
      </c>
      <c r="L437">
        <v>3.32E-2</v>
      </c>
      <c r="M437">
        <v>0.1578</v>
      </c>
      <c r="N437">
        <v>99.962999999999994</v>
      </c>
      <c r="O437" t="s">
        <v>176</v>
      </c>
      <c r="P437" t="s">
        <v>53</v>
      </c>
      <c r="Q437">
        <f>I437-(K437*Standards!$I$15)</f>
        <v>1.3100000000000001E-2</v>
      </c>
    </row>
    <row r="438" spans="1:17">
      <c r="A438">
        <v>40</v>
      </c>
      <c r="B438">
        <v>0</v>
      </c>
      <c r="C438">
        <v>0</v>
      </c>
      <c r="D438">
        <v>35.130000000000003</v>
      </c>
      <c r="E438">
        <v>3.7100000000000001E-2</v>
      </c>
      <c r="F438">
        <v>0</v>
      </c>
      <c r="G438">
        <v>0</v>
      </c>
      <c r="H438">
        <v>30.74</v>
      </c>
      <c r="I438">
        <v>1.2999999999999999E-2</v>
      </c>
      <c r="J438">
        <v>33.9</v>
      </c>
      <c r="K438">
        <v>0</v>
      </c>
      <c r="L438">
        <v>3.8199999999999998E-2</v>
      </c>
      <c r="M438">
        <v>0.15440000000000001</v>
      </c>
      <c r="N438">
        <v>100.0127</v>
      </c>
      <c r="O438" t="s">
        <v>176</v>
      </c>
      <c r="P438" t="s">
        <v>53</v>
      </c>
      <c r="Q438">
        <f>I438-(K438*Standards!$I$15)</f>
        <v>1.2999999999999999E-2</v>
      </c>
    </row>
    <row r="439" spans="1:17">
      <c r="A439">
        <v>27</v>
      </c>
      <c r="B439">
        <v>0</v>
      </c>
      <c r="C439">
        <v>0</v>
      </c>
      <c r="D439">
        <v>35.1</v>
      </c>
      <c r="E439">
        <v>4.8999999999999998E-3</v>
      </c>
      <c r="F439">
        <v>0</v>
      </c>
      <c r="G439">
        <v>0</v>
      </c>
      <c r="H439">
        <v>31.25</v>
      </c>
      <c r="I439">
        <v>1.2500000000000001E-2</v>
      </c>
      <c r="J439">
        <v>34.200000000000003</v>
      </c>
      <c r="K439">
        <v>0</v>
      </c>
      <c r="L439">
        <v>0.12379999999999999</v>
      </c>
      <c r="M439">
        <v>0.16120000000000001</v>
      </c>
      <c r="N439">
        <v>100.8523</v>
      </c>
      <c r="O439" t="s">
        <v>176</v>
      </c>
      <c r="P439" t="s">
        <v>53</v>
      </c>
      <c r="Q439">
        <f>I439-(K439*Standards!$I$15)</f>
        <v>1.2500000000000001E-2</v>
      </c>
    </row>
    <row r="440" spans="1:17">
      <c r="A440">
        <v>66</v>
      </c>
      <c r="B440">
        <v>0</v>
      </c>
      <c r="C440">
        <v>0</v>
      </c>
      <c r="D440">
        <v>35.14</v>
      </c>
      <c r="E440">
        <v>1.32E-2</v>
      </c>
      <c r="F440">
        <v>0</v>
      </c>
      <c r="G440">
        <v>0</v>
      </c>
      <c r="H440">
        <v>30.27</v>
      </c>
      <c r="I440">
        <v>1.1900000000000001E-2</v>
      </c>
      <c r="J440">
        <v>33.65</v>
      </c>
      <c r="K440">
        <v>0</v>
      </c>
      <c r="L440">
        <v>2.7799999999999998E-2</v>
      </c>
      <c r="M440">
        <v>0.12529999999999999</v>
      </c>
      <c r="N440">
        <v>99.238299999999995</v>
      </c>
      <c r="O440" t="s">
        <v>176</v>
      </c>
      <c r="P440" t="s">
        <v>53</v>
      </c>
      <c r="Q440">
        <f>I440-(K440*Standards!$I$15)</f>
        <v>1.1900000000000001E-2</v>
      </c>
    </row>
    <row r="441" spans="1:17">
      <c r="A441">
        <v>14</v>
      </c>
      <c r="B441">
        <v>0</v>
      </c>
      <c r="C441">
        <v>0</v>
      </c>
      <c r="D441">
        <v>35.22</v>
      </c>
      <c r="E441">
        <v>5.0000000000000001E-3</v>
      </c>
      <c r="F441">
        <v>0</v>
      </c>
      <c r="G441">
        <v>0</v>
      </c>
      <c r="H441">
        <v>30.57</v>
      </c>
      <c r="I441">
        <v>1.17E-2</v>
      </c>
      <c r="J441">
        <v>33.22</v>
      </c>
      <c r="K441">
        <v>0</v>
      </c>
      <c r="L441">
        <v>7.3800000000000004E-2</v>
      </c>
      <c r="M441">
        <v>0.1636</v>
      </c>
      <c r="N441">
        <v>99.264200000000002</v>
      </c>
      <c r="O441" t="s">
        <v>176</v>
      </c>
      <c r="P441" t="s">
        <v>53</v>
      </c>
      <c r="Q441">
        <f>I441-(K441*Standards!$I$15)</f>
        <v>1.17E-2</v>
      </c>
    </row>
    <row r="442" spans="1:17">
      <c r="A442">
        <v>70</v>
      </c>
      <c r="B442">
        <v>0</v>
      </c>
      <c r="C442">
        <v>0</v>
      </c>
      <c r="D442">
        <v>35.06</v>
      </c>
      <c r="E442">
        <v>3.04E-2</v>
      </c>
      <c r="F442">
        <v>0</v>
      </c>
      <c r="G442">
        <v>0</v>
      </c>
      <c r="H442">
        <v>30.77</v>
      </c>
      <c r="I442">
        <v>1.0500000000000001E-2</v>
      </c>
      <c r="J442">
        <v>33.92</v>
      </c>
      <c r="K442">
        <v>0</v>
      </c>
      <c r="L442">
        <v>3.3799999999999997E-2</v>
      </c>
      <c r="M442">
        <v>0.15160000000000001</v>
      </c>
      <c r="N442">
        <v>99.976299999999995</v>
      </c>
      <c r="O442" t="s">
        <v>176</v>
      </c>
      <c r="P442" t="s">
        <v>53</v>
      </c>
      <c r="Q442">
        <f>I442-(K442*Standards!$I$15)</f>
        <v>1.0500000000000001E-2</v>
      </c>
    </row>
    <row r="443" spans="1:17">
      <c r="A443">
        <v>67</v>
      </c>
      <c r="B443">
        <v>0</v>
      </c>
      <c r="C443">
        <v>0</v>
      </c>
      <c r="D443">
        <v>35.19</v>
      </c>
      <c r="E443">
        <v>1.7500000000000002E-2</v>
      </c>
      <c r="F443">
        <v>0</v>
      </c>
      <c r="G443">
        <v>0</v>
      </c>
      <c r="H443">
        <v>30.67</v>
      </c>
      <c r="I443">
        <v>1.04E-2</v>
      </c>
      <c r="J443">
        <v>33.770000000000003</v>
      </c>
      <c r="K443">
        <v>0</v>
      </c>
      <c r="L443">
        <v>4.7300000000000002E-2</v>
      </c>
      <c r="M443">
        <v>0.1467</v>
      </c>
      <c r="N443">
        <v>99.852000000000004</v>
      </c>
      <c r="O443" t="s">
        <v>176</v>
      </c>
      <c r="P443" t="s">
        <v>53</v>
      </c>
      <c r="Q443">
        <f>I443-(K443*Standards!$I$15)</f>
        <v>1.04E-2</v>
      </c>
    </row>
    <row r="444" spans="1:17">
      <c r="A444">
        <v>16</v>
      </c>
      <c r="B444">
        <v>6.9999999999999999E-4</v>
      </c>
      <c r="C444">
        <v>0</v>
      </c>
      <c r="D444">
        <v>35.17</v>
      </c>
      <c r="E444">
        <v>6.4000000000000003E-3</v>
      </c>
      <c r="F444">
        <v>0</v>
      </c>
      <c r="G444">
        <v>0</v>
      </c>
      <c r="H444">
        <v>30.53</v>
      </c>
      <c r="I444">
        <v>9.5999999999999992E-3</v>
      </c>
      <c r="J444">
        <v>33.57</v>
      </c>
      <c r="K444">
        <v>0</v>
      </c>
      <c r="L444">
        <v>0.14879999999999999</v>
      </c>
      <c r="M444">
        <v>0.16639999999999999</v>
      </c>
      <c r="N444">
        <v>99.602000000000004</v>
      </c>
      <c r="O444" t="s">
        <v>176</v>
      </c>
      <c r="P444" t="s">
        <v>53</v>
      </c>
      <c r="Q444">
        <f>I444-(K444*Standards!$I$15)</f>
        <v>9.5999999999999992E-3</v>
      </c>
    </row>
    <row r="445" spans="1:17">
      <c r="A445">
        <v>54</v>
      </c>
      <c r="B445">
        <v>0</v>
      </c>
      <c r="C445">
        <v>0</v>
      </c>
      <c r="D445">
        <v>35.19</v>
      </c>
      <c r="E445">
        <v>7.6E-3</v>
      </c>
      <c r="F445">
        <v>0</v>
      </c>
      <c r="G445">
        <v>0</v>
      </c>
      <c r="H445">
        <v>30.6</v>
      </c>
      <c r="I445">
        <v>9.1000000000000004E-3</v>
      </c>
      <c r="J445">
        <v>34.130000000000003</v>
      </c>
      <c r="K445">
        <v>0</v>
      </c>
      <c r="L445">
        <v>0.47860000000000003</v>
      </c>
      <c r="M445">
        <v>0.1416</v>
      </c>
      <c r="N445">
        <v>100.5569</v>
      </c>
      <c r="O445" t="s">
        <v>176</v>
      </c>
      <c r="P445" t="s">
        <v>53</v>
      </c>
      <c r="Q445">
        <f>I445-(K445*Standards!$I$15)</f>
        <v>9.1000000000000004E-3</v>
      </c>
    </row>
    <row r="446" spans="1:17">
      <c r="A446">
        <v>73</v>
      </c>
      <c r="B446">
        <v>0</v>
      </c>
      <c r="C446">
        <v>0</v>
      </c>
      <c r="D446">
        <v>35.049999999999997</v>
      </c>
      <c r="E446">
        <v>3.3500000000000002E-2</v>
      </c>
      <c r="F446">
        <v>0</v>
      </c>
      <c r="G446">
        <v>0</v>
      </c>
      <c r="H446">
        <v>30.52</v>
      </c>
      <c r="I446">
        <v>8.6999999999999994E-3</v>
      </c>
      <c r="J446">
        <v>33.880000000000003</v>
      </c>
      <c r="K446">
        <v>0</v>
      </c>
      <c r="L446">
        <v>4.8500000000000001E-2</v>
      </c>
      <c r="M446">
        <v>0.1477</v>
      </c>
      <c r="N446">
        <v>99.688500000000005</v>
      </c>
      <c r="O446" t="s">
        <v>176</v>
      </c>
      <c r="P446" t="s">
        <v>53</v>
      </c>
      <c r="Q446">
        <f>I446-(K446*Standards!$I$15)</f>
        <v>8.6999999999999994E-3</v>
      </c>
    </row>
    <row r="447" spans="1:17">
      <c r="A447">
        <v>68</v>
      </c>
      <c r="B447">
        <v>0</v>
      </c>
      <c r="C447">
        <v>0</v>
      </c>
      <c r="D447">
        <v>35.24</v>
      </c>
      <c r="E447">
        <v>7.6E-3</v>
      </c>
      <c r="F447">
        <v>0</v>
      </c>
      <c r="G447">
        <v>0</v>
      </c>
      <c r="H447">
        <v>30.8</v>
      </c>
      <c r="I447">
        <v>8.3999999999999995E-3</v>
      </c>
      <c r="J447">
        <v>33.92</v>
      </c>
      <c r="K447">
        <v>0</v>
      </c>
      <c r="L447">
        <v>0.1195</v>
      </c>
      <c r="M447">
        <v>0.13250000000000001</v>
      </c>
      <c r="N447">
        <v>100.22790000000001</v>
      </c>
      <c r="O447" t="s">
        <v>176</v>
      </c>
      <c r="P447" t="s">
        <v>53</v>
      </c>
      <c r="Q447">
        <f>I447-(K447*Standards!$I$15)</f>
        <v>8.3999999999999995E-3</v>
      </c>
    </row>
    <row r="448" spans="1:17">
      <c r="A448">
        <v>65</v>
      </c>
      <c r="B448">
        <v>0</v>
      </c>
      <c r="C448">
        <v>0</v>
      </c>
      <c r="D448">
        <v>35.159999999999997</v>
      </c>
      <c r="E448">
        <v>2.4899999999999999E-2</v>
      </c>
      <c r="F448">
        <v>0</v>
      </c>
      <c r="G448">
        <v>0</v>
      </c>
      <c r="H448">
        <v>30.45</v>
      </c>
      <c r="I448">
        <v>8.0999999999999996E-3</v>
      </c>
      <c r="J448">
        <v>33.58</v>
      </c>
      <c r="K448">
        <v>0</v>
      </c>
      <c r="L448">
        <v>5.9900000000000002E-2</v>
      </c>
      <c r="M448">
        <v>0.15090000000000001</v>
      </c>
      <c r="N448">
        <v>99.433899999999994</v>
      </c>
      <c r="O448" t="s">
        <v>176</v>
      </c>
      <c r="P448" t="s">
        <v>53</v>
      </c>
      <c r="Q448">
        <f>I448-(K448*Standards!$I$15)</f>
        <v>8.0999999999999996E-3</v>
      </c>
    </row>
    <row r="449" spans="1:24">
      <c r="A449">
        <v>71</v>
      </c>
      <c r="B449">
        <v>0</v>
      </c>
      <c r="C449">
        <v>0</v>
      </c>
      <c r="D449">
        <v>35.24</v>
      </c>
      <c r="E449">
        <v>1.67E-2</v>
      </c>
      <c r="F449">
        <v>1.5900000000000001E-2</v>
      </c>
      <c r="G449">
        <v>0</v>
      </c>
      <c r="H449">
        <v>30.48</v>
      </c>
      <c r="I449">
        <v>7.4000000000000003E-3</v>
      </c>
      <c r="J449">
        <v>33.880000000000003</v>
      </c>
      <c r="K449">
        <v>0</v>
      </c>
      <c r="L449">
        <v>5.1400000000000001E-2</v>
      </c>
      <c r="M449">
        <v>0.1477</v>
      </c>
      <c r="N449">
        <v>99.839100000000002</v>
      </c>
      <c r="O449" t="s">
        <v>176</v>
      </c>
      <c r="P449" t="s">
        <v>53</v>
      </c>
      <c r="Q449">
        <f>I449-(K449*Standards!$I$15)</f>
        <v>7.4000000000000003E-3</v>
      </c>
    </row>
    <row r="450" spans="1:24">
      <c r="A450">
        <v>15</v>
      </c>
      <c r="B450">
        <v>0</v>
      </c>
      <c r="C450">
        <v>0</v>
      </c>
      <c r="D450">
        <v>35.17</v>
      </c>
      <c r="E450">
        <v>0</v>
      </c>
      <c r="F450">
        <v>0</v>
      </c>
      <c r="G450">
        <v>0</v>
      </c>
      <c r="H450">
        <v>30.57</v>
      </c>
      <c r="I450">
        <v>7.3000000000000001E-3</v>
      </c>
      <c r="J450">
        <v>33.51</v>
      </c>
      <c r="K450">
        <v>0</v>
      </c>
      <c r="L450">
        <v>6.5100000000000005E-2</v>
      </c>
      <c r="M450">
        <v>0.16239999999999999</v>
      </c>
      <c r="N450">
        <v>99.484800000000007</v>
      </c>
      <c r="O450" t="s">
        <v>176</v>
      </c>
      <c r="P450" t="s">
        <v>53</v>
      </c>
      <c r="Q450">
        <f>I450-(K450*Standards!$I$15)</f>
        <v>7.3000000000000001E-3</v>
      </c>
    </row>
    <row r="451" spans="1:24">
      <c r="A451">
        <v>53</v>
      </c>
      <c r="B451">
        <v>0</v>
      </c>
      <c r="C451">
        <v>0</v>
      </c>
      <c r="D451">
        <v>35.15</v>
      </c>
      <c r="E451">
        <v>3.39E-2</v>
      </c>
      <c r="F451">
        <v>0</v>
      </c>
      <c r="G451">
        <v>0</v>
      </c>
      <c r="H451">
        <v>30.66</v>
      </c>
      <c r="I451">
        <v>7.0000000000000001E-3</v>
      </c>
      <c r="J451">
        <v>33.99</v>
      </c>
      <c r="K451">
        <v>0</v>
      </c>
      <c r="L451">
        <v>0.1318</v>
      </c>
      <c r="M451">
        <v>0.1454</v>
      </c>
      <c r="N451">
        <v>100.1181</v>
      </c>
      <c r="O451" t="s">
        <v>176</v>
      </c>
      <c r="P451" t="s">
        <v>53</v>
      </c>
      <c r="Q451">
        <f>I451-(K451*Standards!$I$15)</f>
        <v>7.0000000000000001E-3</v>
      </c>
    </row>
    <row r="452" spans="1:24">
      <c r="A452">
        <v>37</v>
      </c>
      <c r="B452">
        <v>0</v>
      </c>
      <c r="C452">
        <v>0</v>
      </c>
      <c r="D452">
        <v>35.049999999999997</v>
      </c>
      <c r="E452">
        <v>2.7199999999999998E-2</v>
      </c>
      <c r="F452">
        <v>0</v>
      </c>
      <c r="G452">
        <v>0</v>
      </c>
      <c r="H452">
        <v>30.77</v>
      </c>
      <c r="I452">
        <v>6.8999999999999999E-3</v>
      </c>
      <c r="J452">
        <v>33.57</v>
      </c>
      <c r="K452">
        <v>0</v>
      </c>
      <c r="L452">
        <v>5.5599999999999997E-2</v>
      </c>
      <c r="M452">
        <v>0.158</v>
      </c>
      <c r="N452">
        <v>99.637699999999995</v>
      </c>
      <c r="O452" t="s">
        <v>176</v>
      </c>
      <c r="P452" t="s">
        <v>53</v>
      </c>
      <c r="Q452">
        <f>I452-(K452*Standards!$I$15)</f>
        <v>6.8999999999999999E-3</v>
      </c>
    </row>
    <row r="453" spans="1:24">
      <c r="A453">
        <v>39</v>
      </c>
      <c r="B453">
        <v>0</v>
      </c>
      <c r="C453">
        <v>0</v>
      </c>
      <c r="D453">
        <v>35.07</v>
      </c>
      <c r="E453">
        <v>3.4700000000000002E-2</v>
      </c>
      <c r="F453">
        <v>0</v>
      </c>
      <c r="G453">
        <v>0</v>
      </c>
      <c r="H453">
        <v>30.55</v>
      </c>
      <c r="I453">
        <v>6.6E-3</v>
      </c>
      <c r="J453">
        <v>33.57</v>
      </c>
      <c r="K453">
        <v>0</v>
      </c>
      <c r="L453">
        <v>5.0299999999999997E-2</v>
      </c>
      <c r="M453">
        <v>0.1643</v>
      </c>
      <c r="N453">
        <v>99.445899999999995</v>
      </c>
      <c r="O453" t="s">
        <v>176</v>
      </c>
      <c r="P453" t="s">
        <v>53</v>
      </c>
      <c r="Q453">
        <f>I453-(K453*Standards!$I$15)</f>
        <v>6.6E-3</v>
      </c>
    </row>
    <row r="454" spans="1:24">
      <c r="A454">
        <v>25</v>
      </c>
      <c r="B454">
        <v>0</v>
      </c>
      <c r="C454">
        <v>0</v>
      </c>
      <c r="D454">
        <v>34.97</v>
      </c>
      <c r="E454">
        <v>2.0999999999999999E-3</v>
      </c>
      <c r="F454">
        <v>0</v>
      </c>
      <c r="G454">
        <v>0</v>
      </c>
      <c r="H454">
        <v>30.56</v>
      </c>
      <c r="I454">
        <v>5.3E-3</v>
      </c>
      <c r="J454">
        <v>33.79</v>
      </c>
      <c r="K454">
        <v>0</v>
      </c>
      <c r="L454">
        <v>0.03</v>
      </c>
      <c r="M454">
        <v>0.14319999999999999</v>
      </c>
      <c r="N454">
        <v>99.500699999999995</v>
      </c>
      <c r="O454" t="s">
        <v>176</v>
      </c>
      <c r="P454" t="s">
        <v>53</v>
      </c>
      <c r="Q454">
        <f>I454-(K454*Standards!$I$15)</f>
        <v>5.3E-3</v>
      </c>
    </row>
    <row r="455" spans="1:24">
      <c r="A455">
        <v>115</v>
      </c>
      <c r="B455">
        <v>4.4999999999999997E-3</v>
      </c>
      <c r="C455">
        <v>0</v>
      </c>
      <c r="D455">
        <v>35.15</v>
      </c>
      <c r="E455">
        <v>2.93E-2</v>
      </c>
      <c r="F455">
        <v>0</v>
      </c>
      <c r="G455">
        <v>0</v>
      </c>
      <c r="H455">
        <v>31.11</v>
      </c>
      <c r="I455">
        <v>5.0000000000000001E-3</v>
      </c>
      <c r="J455">
        <v>34.93</v>
      </c>
      <c r="K455">
        <v>0</v>
      </c>
      <c r="L455">
        <v>9.3899999999999997E-2</v>
      </c>
      <c r="M455">
        <v>0.1142</v>
      </c>
      <c r="N455">
        <v>101.43689999999999</v>
      </c>
      <c r="O455" t="s">
        <v>176</v>
      </c>
      <c r="P455" t="s">
        <v>53</v>
      </c>
      <c r="Q455">
        <f>I455-(K455*Standards!$I$15)</f>
        <v>5.0000000000000001E-3</v>
      </c>
    </row>
    <row r="456" spans="1:24">
      <c r="A456">
        <v>111</v>
      </c>
      <c r="B456">
        <v>0</v>
      </c>
      <c r="C456">
        <v>0</v>
      </c>
      <c r="D456">
        <v>35.14</v>
      </c>
      <c r="E456">
        <v>1.4999999999999999E-2</v>
      </c>
      <c r="F456">
        <v>0</v>
      </c>
      <c r="G456">
        <v>0</v>
      </c>
      <c r="H456">
        <v>30.73</v>
      </c>
      <c r="I456">
        <v>3.7000000000000002E-3</v>
      </c>
      <c r="J456">
        <v>35.06</v>
      </c>
      <c r="K456">
        <v>0</v>
      </c>
      <c r="L456">
        <v>7.2999999999999995E-2</v>
      </c>
      <c r="M456">
        <v>0.1497</v>
      </c>
      <c r="N456">
        <v>101.1713</v>
      </c>
      <c r="O456" t="s">
        <v>176</v>
      </c>
      <c r="P456" t="s">
        <v>53</v>
      </c>
      <c r="Q456">
        <f>I456-(K456*Standards!$I$15)</f>
        <v>3.7000000000000002E-3</v>
      </c>
    </row>
    <row r="457" spans="1:24">
      <c r="A457">
        <v>113</v>
      </c>
      <c r="B457">
        <v>6.9999999999999999E-4</v>
      </c>
      <c r="C457">
        <v>0</v>
      </c>
      <c r="D457">
        <v>35.229999999999997</v>
      </c>
      <c r="E457">
        <v>8.8000000000000005E-3</v>
      </c>
      <c r="F457">
        <v>0</v>
      </c>
      <c r="G457">
        <v>0</v>
      </c>
      <c r="H457">
        <v>30.51</v>
      </c>
      <c r="I457">
        <v>3.7000000000000002E-3</v>
      </c>
      <c r="J457">
        <v>34.630000000000003</v>
      </c>
      <c r="K457">
        <v>0</v>
      </c>
      <c r="L457">
        <v>0.15659999999999999</v>
      </c>
      <c r="M457">
        <v>0.13389999999999999</v>
      </c>
      <c r="N457">
        <v>100.6737</v>
      </c>
      <c r="O457" t="s">
        <v>176</v>
      </c>
      <c r="P457" t="s">
        <v>53</v>
      </c>
      <c r="Q457">
        <f>I457-(K457*Standards!$I$15)</f>
        <v>3.7000000000000002E-3</v>
      </c>
    </row>
    <row r="458" spans="1:24">
      <c r="A458">
        <v>26</v>
      </c>
      <c r="B458">
        <v>0</v>
      </c>
      <c r="C458">
        <v>0</v>
      </c>
      <c r="D458">
        <v>35.07</v>
      </c>
      <c r="E458">
        <v>3.2500000000000001E-2</v>
      </c>
      <c r="F458">
        <v>0</v>
      </c>
      <c r="G458">
        <v>0</v>
      </c>
      <c r="H458">
        <v>30.78</v>
      </c>
      <c r="I458">
        <v>2.3E-3</v>
      </c>
      <c r="J458">
        <v>33.74</v>
      </c>
      <c r="K458">
        <v>0</v>
      </c>
      <c r="L458">
        <v>0.1019</v>
      </c>
      <c r="M458">
        <v>0.1404</v>
      </c>
      <c r="N458">
        <v>99.867199999999997</v>
      </c>
      <c r="O458" t="s">
        <v>176</v>
      </c>
      <c r="P458" t="s">
        <v>53</v>
      </c>
      <c r="Q458">
        <f>I458-(K458*Standards!$I$15)</f>
        <v>2.3E-3</v>
      </c>
    </row>
    <row r="459" spans="1:24">
      <c r="A459">
        <v>114</v>
      </c>
      <c r="B459">
        <v>0</v>
      </c>
      <c r="C459">
        <v>0</v>
      </c>
      <c r="D459">
        <v>35.32</v>
      </c>
      <c r="E459">
        <v>1.35E-2</v>
      </c>
      <c r="F459">
        <v>0</v>
      </c>
      <c r="G459">
        <v>0</v>
      </c>
      <c r="H459">
        <v>30.84</v>
      </c>
      <c r="I459">
        <v>1.4E-3</v>
      </c>
      <c r="J459">
        <v>35.04</v>
      </c>
      <c r="K459">
        <v>0</v>
      </c>
      <c r="L459">
        <v>5.8200000000000002E-2</v>
      </c>
      <c r="M459">
        <v>0.1328</v>
      </c>
      <c r="N459">
        <v>101.4058</v>
      </c>
      <c r="O459" t="s">
        <v>176</v>
      </c>
      <c r="P459" t="s">
        <v>53</v>
      </c>
      <c r="Q459">
        <f>I459-(K459*Standards!$I$15)</f>
        <v>1.4E-3</v>
      </c>
    </row>
    <row r="460" spans="1:24">
      <c r="A460">
        <v>69</v>
      </c>
      <c r="B460">
        <v>4.4000000000000003E-3</v>
      </c>
      <c r="C460">
        <v>0</v>
      </c>
      <c r="D460">
        <v>35.42</v>
      </c>
      <c r="E460">
        <v>3.5799999999999998E-2</v>
      </c>
      <c r="F460">
        <v>0</v>
      </c>
      <c r="G460">
        <v>0</v>
      </c>
      <c r="H460">
        <v>30.74</v>
      </c>
      <c r="I460">
        <v>0</v>
      </c>
      <c r="J460">
        <v>34.24</v>
      </c>
      <c r="K460">
        <v>0</v>
      </c>
      <c r="L460">
        <v>5.7599999999999998E-2</v>
      </c>
      <c r="M460">
        <v>0.14219999999999999</v>
      </c>
      <c r="N460">
        <v>100.6399</v>
      </c>
      <c r="O460" t="s">
        <v>176</v>
      </c>
      <c r="P460" t="s">
        <v>53</v>
      </c>
      <c r="Q460">
        <f>I460-(K460*Standards!$I$15)</f>
        <v>0</v>
      </c>
    </row>
    <row r="461" spans="1:24">
      <c r="A461">
        <v>112</v>
      </c>
      <c r="B461">
        <v>0</v>
      </c>
      <c r="C461">
        <v>0</v>
      </c>
      <c r="D461">
        <v>35.4</v>
      </c>
      <c r="E461">
        <v>2.06E-2</v>
      </c>
      <c r="F461">
        <v>0</v>
      </c>
      <c r="G461">
        <v>0</v>
      </c>
      <c r="H461">
        <v>30.59</v>
      </c>
      <c r="I461">
        <v>0</v>
      </c>
      <c r="J461">
        <v>34.72</v>
      </c>
      <c r="K461">
        <v>0</v>
      </c>
      <c r="L461">
        <v>6.93E-2</v>
      </c>
      <c r="M461">
        <v>0.1638</v>
      </c>
      <c r="N461">
        <v>100.9637</v>
      </c>
      <c r="O461" t="s">
        <v>176</v>
      </c>
      <c r="P461" t="s">
        <v>53</v>
      </c>
      <c r="Q461">
        <f>I461-(K461*Standards!$I$15)</f>
        <v>0</v>
      </c>
    </row>
    <row r="462" spans="1:24">
      <c r="A462">
        <v>16</v>
      </c>
      <c r="B462">
        <v>2.8999999999999998E-3</v>
      </c>
      <c r="C462">
        <v>0</v>
      </c>
      <c r="D462">
        <v>35.32</v>
      </c>
      <c r="E462">
        <v>5.6800000000000003E-2</v>
      </c>
      <c r="F462">
        <v>0</v>
      </c>
      <c r="G462">
        <v>0</v>
      </c>
      <c r="H462">
        <v>30.81</v>
      </c>
      <c r="I462">
        <v>1.2800000000000001E-2</v>
      </c>
      <c r="J462">
        <v>34.74</v>
      </c>
      <c r="K462">
        <v>0</v>
      </c>
      <c r="L462">
        <v>2.0400000000000001E-2</v>
      </c>
      <c r="M462">
        <v>0.13200000000000001</v>
      </c>
      <c r="N462">
        <v>101.0949</v>
      </c>
      <c r="O462" t="s">
        <v>249</v>
      </c>
      <c r="P462" t="s">
        <v>71</v>
      </c>
      <c r="Q462">
        <f>I462-(K462*Standards!$I$15)</f>
        <v>1.2800000000000001E-2</v>
      </c>
      <c r="R462" t="s">
        <v>71</v>
      </c>
      <c r="S462">
        <f>COUNT(Q462:Q474,Q571:Q578)</f>
        <v>21</v>
      </c>
      <c r="T462">
        <f>MAX(L462:L474,L571:L578)</f>
        <v>8.3299999999999999E-2</v>
      </c>
      <c r="U462">
        <f>AVERAGE(L462:L474,L571:L578)</f>
        <v>4.1057142857142861E-2</v>
      </c>
      <c r="V462">
        <f>10000*MAX(Q462:Q474,Q571:Q578)</f>
        <v>221.00000000000003</v>
      </c>
      <c r="W462">
        <f>10000*AVERAGE(Q462:Q474,Q571:Q578)</f>
        <v>109.42857142857143</v>
      </c>
      <c r="X462">
        <f>10000*STDEV(Q462:Q474,Q571:Q578)</f>
        <v>48.87695922269662</v>
      </c>
    </row>
    <row r="463" spans="1:24">
      <c r="A463">
        <v>17</v>
      </c>
      <c r="B463">
        <v>7.7000000000000002E-3</v>
      </c>
      <c r="C463">
        <v>0</v>
      </c>
      <c r="D463">
        <v>35.39</v>
      </c>
      <c r="E463">
        <v>2.98E-2</v>
      </c>
      <c r="F463">
        <v>0</v>
      </c>
      <c r="G463">
        <v>0</v>
      </c>
      <c r="H463">
        <v>31.01</v>
      </c>
      <c r="I463">
        <v>1.12E-2</v>
      </c>
      <c r="J463">
        <v>34.950000000000003</v>
      </c>
      <c r="K463">
        <v>0</v>
      </c>
      <c r="L463">
        <v>2.3300000000000001E-2</v>
      </c>
      <c r="M463">
        <v>0.1188</v>
      </c>
      <c r="N463">
        <v>101.5407</v>
      </c>
      <c r="O463" t="s">
        <v>249</v>
      </c>
      <c r="P463" t="s">
        <v>71</v>
      </c>
      <c r="Q463">
        <f>I463-(K463*Standards!$I$15)</f>
        <v>1.12E-2</v>
      </c>
    </row>
    <row r="464" spans="1:24">
      <c r="A464">
        <v>7</v>
      </c>
      <c r="B464">
        <v>8.0000000000000002E-3</v>
      </c>
      <c r="C464">
        <v>0</v>
      </c>
      <c r="D464">
        <v>35.54</v>
      </c>
      <c r="E464">
        <v>3.0200000000000001E-2</v>
      </c>
      <c r="F464">
        <v>0</v>
      </c>
      <c r="G464">
        <v>0</v>
      </c>
      <c r="H464">
        <v>30.68</v>
      </c>
      <c r="I464">
        <v>2.2100000000000002E-2</v>
      </c>
      <c r="J464">
        <v>34.880000000000003</v>
      </c>
      <c r="K464">
        <v>0</v>
      </c>
      <c r="L464">
        <v>4.24E-2</v>
      </c>
      <c r="M464">
        <v>0.13789999999999999</v>
      </c>
      <c r="N464">
        <v>101.34059999999999</v>
      </c>
      <c r="O464" t="s">
        <v>250</v>
      </c>
      <c r="P464" t="s">
        <v>71</v>
      </c>
      <c r="Q464">
        <f>I464-(K464*Standards!$I$15)</f>
        <v>2.2100000000000002E-2</v>
      </c>
    </row>
    <row r="465" spans="1:17">
      <c r="A465">
        <v>8</v>
      </c>
      <c r="B465">
        <v>1.23E-2</v>
      </c>
      <c r="C465">
        <v>0</v>
      </c>
      <c r="D465">
        <v>35.22</v>
      </c>
      <c r="E465">
        <v>2.4799999999999999E-2</v>
      </c>
      <c r="F465">
        <v>0</v>
      </c>
      <c r="G465">
        <v>0</v>
      </c>
      <c r="H465">
        <v>31.07</v>
      </c>
      <c r="I465">
        <v>1.5299999999999999E-2</v>
      </c>
      <c r="J465">
        <v>34.74</v>
      </c>
      <c r="K465">
        <v>0</v>
      </c>
      <c r="L465">
        <v>3.8800000000000001E-2</v>
      </c>
      <c r="M465">
        <v>0.16070000000000001</v>
      </c>
      <c r="N465">
        <v>101.2818</v>
      </c>
      <c r="O465" t="s">
        <v>250</v>
      </c>
      <c r="P465" t="s">
        <v>71</v>
      </c>
      <c r="Q465">
        <f>I465-(K465*Standards!$I$15)</f>
        <v>1.5299999999999999E-2</v>
      </c>
    </row>
    <row r="466" spans="1:17">
      <c r="A466">
        <v>9</v>
      </c>
      <c r="B466">
        <v>0</v>
      </c>
      <c r="C466">
        <v>0</v>
      </c>
      <c r="D466">
        <v>35.47</v>
      </c>
      <c r="E466">
        <v>4.7800000000000002E-2</v>
      </c>
      <c r="F466">
        <v>0</v>
      </c>
      <c r="G466">
        <v>0</v>
      </c>
      <c r="H466">
        <v>31.08</v>
      </c>
      <c r="I466">
        <v>1.5100000000000001E-2</v>
      </c>
      <c r="J466">
        <v>34.83</v>
      </c>
      <c r="K466">
        <v>0</v>
      </c>
      <c r="L466">
        <v>5.2699999999999997E-2</v>
      </c>
      <c r="M466">
        <v>0.13320000000000001</v>
      </c>
      <c r="N466">
        <v>101.62869999999999</v>
      </c>
      <c r="O466" t="s">
        <v>250</v>
      </c>
      <c r="P466" t="s">
        <v>71</v>
      </c>
      <c r="Q466">
        <f>I466-(K466*Standards!$I$15)</f>
        <v>1.5100000000000001E-2</v>
      </c>
    </row>
    <row r="467" spans="1:17">
      <c r="A467">
        <v>30</v>
      </c>
      <c r="B467">
        <v>2.2599999999999999E-2</v>
      </c>
      <c r="C467">
        <v>0</v>
      </c>
      <c r="D467">
        <v>35.49</v>
      </c>
      <c r="E467">
        <v>4.1700000000000001E-2</v>
      </c>
      <c r="F467">
        <v>0</v>
      </c>
      <c r="G467">
        <v>0</v>
      </c>
      <c r="H467">
        <v>31.13</v>
      </c>
      <c r="I467">
        <v>1.49E-2</v>
      </c>
      <c r="J467">
        <v>34.11</v>
      </c>
      <c r="K467">
        <v>0</v>
      </c>
      <c r="L467">
        <v>3.1399999999999997E-2</v>
      </c>
      <c r="M467">
        <v>0.14610000000000001</v>
      </c>
      <c r="N467">
        <v>100.9866</v>
      </c>
      <c r="O467" t="s">
        <v>250</v>
      </c>
      <c r="P467" t="s">
        <v>71</v>
      </c>
      <c r="Q467">
        <f>I467-(K467*Standards!$I$15)</f>
        <v>1.49E-2</v>
      </c>
    </row>
    <row r="468" spans="1:17">
      <c r="A468">
        <v>6</v>
      </c>
      <c r="B468">
        <v>2E-3</v>
      </c>
      <c r="C468">
        <v>0</v>
      </c>
      <c r="D468">
        <v>35.380000000000003</v>
      </c>
      <c r="E468">
        <v>2.8000000000000001E-2</v>
      </c>
      <c r="F468">
        <v>0</v>
      </c>
      <c r="G468">
        <v>0</v>
      </c>
      <c r="H468">
        <v>30.71</v>
      </c>
      <c r="I468">
        <v>1.46E-2</v>
      </c>
      <c r="J468">
        <v>34.93</v>
      </c>
      <c r="K468">
        <v>0</v>
      </c>
      <c r="L468">
        <v>3.8100000000000002E-2</v>
      </c>
      <c r="M468">
        <v>0.1195</v>
      </c>
      <c r="N468">
        <v>101.2221</v>
      </c>
      <c r="O468" t="s">
        <v>250</v>
      </c>
      <c r="P468" t="s">
        <v>71</v>
      </c>
      <c r="Q468">
        <f>I468-(K468*Standards!$I$15)</f>
        <v>1.46E-2</v>
      </c>
    </row>
    <row r="469" spans="1:17">
      <c r="A469">
        <v>1</v>
      </c>
      <c r="B469">
        <v>1.44E-2</v>
      </c>
      <c r="C469">
        <v>0</v>
      </c>
      <c r="D469">
        <v>35.07</v>
      </c>
      <c r="E469">
        <v>2.52E-2</v>
      </c>
      <c r="F469">
        <v>0</v>
      </c>
      <c r="G469">
        <v>0</v>
      </c>
      <c r="H469">
        <v>31.49</v>
      </c>
      <c r="I469">
        <v>1.24E-2</v>
      </c>
      <c r="J469">
        <v>34.79</v>
      </c>
      <c r="K469">
        <v>0</v>
      </c>
      <c r="L469">
        <v>6.9599999999999995E-2</v>
      </c>
      <c r="M469">
        <v>0.1118</v>
      </c>
      <c r="N469">
        <v>101.5834</v>
      </c>
      <c r="O469" t="s">
        <v>250</v>
      </c>
      <c r="P469" t="s">
        <v>71</v>
      </c>
      <c r="Q469">
        <f>I469-(K469*Standards!$I$15)</f>
        <v>1.24E-2</v>
      </c>
    </row>
    <row r="470" spans="1:17">
      <c r="A470">
        <v>31</v>
      </c>
      <c r="B470">
        <v>1.7000000000000001E-2</v>
      </c>
      <c r="C470">
        <v>0</v>
      </c>
      <c r="D470">
        <v>35.200000000000003</v>
      </c>
      <c r="E470">
        <v>4.65E-2</v>
      </c>
      <c r="F470">
        <v>0</v>
      </c>
      <c r="G470">
        <v>0</v>
      </c>
      <c r="H470">
        <v>31.25</v>
      </c>
      <c r="I470">
        <v>1.24E-2</v>
      </c>
      <c r="J470">
        <v>34.36</v>
      </c>
      <c r="K470">
        <v>0</v>
      </c>
      <c r="L470">
        <v>4.2500000000000003E-2</v>
      </c>
      <c r="M470">
        <v>0.1497</v>
      </c>
      <c r="N470">
        <v>101.078</v>
      </c>
      <c r="O470" t="s">
        <v>250</v>
      </c>
      <c r="P470" t="s">
        <v>71</v>
      </c>
      <c r="Q470">
        <f>I470-(K470*Standards!$I$15)</f>
        <v>1.24E-2</v>
      </c>
    </row>
    <row r="471" spans="1:17">
      <c r="A471">
        <v>5</v>
      </c>
      <c r="B471">
        <v>6.1999999999999998E-3</v>
      </c>
      <c r="C471">
        <v>0</v>
      </c>
      <c r="D471">
        <v>35.380000000000003</v>
      </c>
      <c r="E471">
        <v>2.1700000000000001E-2</v>
      </c>
      <c r="F471">
        <v>0</v>
      </c>
      <c r="G471">
        <v>0</v>
      </c>
      <c r="H471">
        <v>31.18</v>
      </c>
      <c r="I471">
        <v>1.23E-2</v>
      </c>
      <c r="J471">
        <v>34.85</v>
      </c>
      <c r="K471">
        <v>0</v>
      </c>
      <c r="L471">
        <v>8.3299999999999999E-2</v>
      </c>
      <c r="M471">
        <v>0.14449999999999999</v>
      </c>
      <c r="N471">
        <v>101.67789999999999</v>
      </c>
      <c r="O471" t="s">
        <v>250</v>
      </c>
      <c r="P471" t="s">
        <v>71</v>
      </c>
      <c r="Q471">
        <f>I471-(K471*Standards!$I$15)</f>
        <v>1.23E-2</v>
      </c>
    </row>
    <row r="472" spans="1:17">
      <c r="A472">
        <v>12</v>
      </c>
      <c r="B472">
        <v>3.8999999999999998E-3</v>
      </c>
      <c r="C472">
        <v>0</v>
      </c>
      <c r="D472">
        <v>35.42</v>
      </c>
      <c r="E472">
        <v>3.61E-2</v>
      </c>
      <c r="F472">
        <v>0</v>
      </c>
      <c r="G472">
        <v>0</v>
      </c>
      <c r="H472">
        <v>31.03</v>
      </c>
      <c r="I472">
        <v>1.18E-2</v>
      </c>
      <c r="J472">
        <v>34.83</v>
      </c>
      <c r="K472">
        <v>0</v>
      </c>
      <c r="L472">
        <v>4.24E-2</v>
      </c>
      <c r="M472">
        <v>0.1305</v>
      </c>
      <c r="N472">
        <v>101.5046</v>
      </c>
      <c r="O472" t="s">
        <v>250</v>
      </c>
      <c r="P472" t="s">
        <v>71</v>
      </c>
      <c r="Q472">
        <f>I472-(K472*Standards!$I$15)</f>
        <v>1.18E-2</v>
      </c>
    </row>
    <row r="473" spans="1:17">
      <c r="A473">
        <v>2</v>
      </c>
      <c r="B473">
        <v>7.4000000000000003E-3</v>
      </c>
      <c r="C473">
        <v>0</v>
      </c>
      <c r="D473">
        <v>35.42</v>
      </c>
      <c r="E473">
        <v>2.7300000000000001E-2</v>
      </c>
      <c r="F473">
        <v>0</v>
      </c>
      <c r="G473">
        <v>0</v>
      </c>
      <c r="H473">
        <v>31.2</v>
      </c>
      <c r="I473">
        <v>1.0200000000000001E-2</v>
      </c>
      <c r="J473">
        <v>34.729999999999997</v>
      </c>
      <c r="K473">
        <v>0</v>
      </c>
      <c r="L473">
        <v>6.7299999999999999E-2</v>
      </c>
      <c r="M473">
        <v>0.10970000000000001</v>
      </c>
      <c r="N473">
        <v>101.5718</v>
      </c>
      <c r="O473" t="s">
        <v>250</v>
      </c>
      <c r="P473" t="s">
        <v>71</v>
      </c>
      <c r="Q473">
        <f>I473-(K473*Standards!$I$15)</f>
        <v>1.0200000000000001E-2</v>
      </c>
    </row>
    <row r="474" spans="1:17">
      <c r="A474">
        <v>4</v>
      </c>
      <c r="B474">
        <v>7.4000000000000003E-3</v>
      </c>
      <c r="C474">
        <v>0</v>
      </c>
      <c r="D474">
        <v>35.33</v>
      </c>
      <c r="E474">
        <v>1.41E-2</v>
      </c>
      <c r="F474">
        <v>0</v>
      </c>
      <c r="G474">
        <v>0</v>
      </c>
      <c r="H474">
        <v>30.99</v>
      </c>
      <c r="I474">
        <v>1.12E-2</v>
      </c>
      <c r="J474">
        <v>34.86</v>
      </c>
      <c r="K474">
        <v>0</v>
      </c>
      <c r="L474">
        <v>2.52E-2</v>
      </c>
      <c r="M474">
        <v>0.12509999999999999</v>
      </c>
      <c r="N474">
        <v>101.3629</v>
      </c>
      <c r="O474" t="s">
        <v>180</v>
      </c>
      <c r="P474" t="s">
        <v>71</v>
      </c>
      <c r="Q474">
        <f>I474-(K474*Standards!$I$15)</f>
        <v>1.12E-2</v>
      </c>
    </row>
    <row r="475" spans="1:17">
      <c r="A475">
        <v>50</v>
      </c>
      <c r="B475">
        <v>5.0000000000000001E-3</v>
      </c>
      <c r="C475">
        <v>0</v>
      </c>
      <c r="D475">
        <v>35.51</v>
      </c>
      <c r="E475">
        <v>1.2800000000000001E-2</v>
      </c>
      <c r="F475">
        <v>0</v>
      </c>
      <c r="G475">
        <v>0</v>
      </c>
      <c r="H475">
        <v>31.28</v>
      </c>
      <c r="I475">
        <v>1.2E-2</v>
      </c>
      <c r="J475">
        <v>31.63</v>
      </c>
      <c r="K475">
        <v>0</v>
      </c>
      <c r="L475">
        <v>7.0599999999999996E-2</v>
      </c>
      <c r="M475">
        <v>9.0499999999999997E-2</v>
      </c>
      <c r="N475">
        <v>98.611000000000004</v>
      </c>
      <c r="O475" t="s">
        <v>251</v>
      </c>
      <c r="P475" t="s">
        <v>44</v>
      </c>
      <c r="Q475">
        <f>I475-(K475*Standards!$I$15)</f>
        <v>1.2E-2</v>
      </c>
    </row>
    <row r="476" spans="1:17">
      <c r="A476">
        <v>34</v>
      </c>
      <c r="B476">
        <v>1.1299999999999999E-2</v>
      </c>
      <c r="C476">
        <v>0</v>
      </c>
      <c r="D476">
        <v>35.56</v>
      </c>
      <c r="E476">
        <v>1.2500000000000001E-2</v>
      </c>
      <c r="F476">
        <v>0</v>
      </c>
      <c r="G476">
        <v>0</v>
      </c>
      <c r="H476">
        <v>31.47</v>
      </c>
      <c r="I476">
        <v>9.4999999999999998E-3</v>
      </c>
      <c r="J476">
        <v>32.92</v>
      </c>
      <c r="K476">
        <v>0</v>
      </c>
      <c r="L476">
        <v>4.6600000000000003E-2</v>
      </c>
      <c r="M476">
        <v>9.2799999999999994E-2</v>
      </c>
      <c r="N476">
        <v>100.12260000000001</v>
      </c>
      <c r="O476" t="s">
        <v>251</v>
      </c>
      <c r="P476" t="s">
        <v>44</v>
      </c>
      <c r="Q476">
        <f>I476-(K476*Standards!$I$15)</f>
        <v>9.4999999999999998E-3</v>
      </c>
    </row>
    <row r="477" spans="1:17">
      <c r="A477">
        <v>49</v>
      </c>
      <c r="B477">
        <v>1.6500000000000001E-2</v>
      </c>
      <c r="C477">
        <v>0</v>
      </c>
      <c r="D477">
        <v>35.619999999999997</v>
      </c>
      <c r="E477">
        <v>0</v>
      </c>
      <c r="F477">
        <v>0</v>
      </c>
      <c r="G477">
        <v>6.9999999999999999E-4</v>
      </c>
      <c r="H477">
        <v>31.24</v>
      </c>
      <c r="I477">
        <v>8.8000000000000005E-3</v>
      </c>
      <c r="J477">
        <v>31.66</v>
      </c>
      <c r="K477">
        <v>0</v>
      </c>
      <c r="L477">
        <v>4.4900000000000002E-2</v>
      </c>
      <c r="M477">
        <v>0.1147</v>
      </c>
      <c r="N477">
        <v>98.705600000000004</v>
      </c>
      <c r="O477" t="s">
        <v>251</v>
      </c>
      <c r="P477" t="s">
        <v>44</v>
      </c>
      <c r="Q477">
        <f>I477-(K477*Standards!$I$15)</f>
        <v>8.8000000000000005E-3</v>
      </c>
    </row>
    <row r="478" spans="1:17">
      <c r="A478">
        <v>30</v>
      </c>
      <c r="B478">
        <v>4.0000000000000001E-3</v>
      </c>
      <c r="C478">
        <v>0</v>
      </c>
      <c r="D478">
        <v>35.74</v>
      </c>
      <c r="E478">
        <v>1.8800000000000001E-2</v>
      </c>
      <c r="F478">
        <v>0</v>
      </c>
      <c r="G478">
        <v>0</v>
      </c>
      <c r="H478">
        <v>31.79</v>
      </c>
      <c r="I478">
        <v>7.3000000000000001E-3</v>
      </c>
      <c r="J478">
        <v>32.76</v>
      </c>
      <c r="K478">
        <v>0</v>
      </c>
      <c r="L478">
        <v>6.1699999999999998E-2</v>
      </c>
      <c r="M478">
        <v>0.1028</v>
      </c>
      <c r="N478">
        <v>100.4845</v>
      </c>
      <c r="O478" t="s">
        <v>251</v>
      </c>
      <c r="P478" t="s">
        <v>44</v>
      </c>
      <c r="Q478">
        <f>I478-(K478*Standards!$I$15)</f>
        <v>7.3000000000000001E-3</v>
      </c>
    </row>
    <row r="479" spans="1:17">
      <c r="A479">
        <v>74</v>
      </c>
      <c r="B479">
        <v>4.0000000000000001E-3</v>
      </c>
      <c r="C479">
        <v>0</v>
      </c>
      <c r="D479">
        <v>35.56</v>
      </c>
      <c r="E479">
        <v>9.1000000000000004E-3</v>
      </c>
      <c r="F479">
        <v>0</v>
      </c>
      <c r="G479">
        <v>0</v>
      </c>
      <c r="H479">
        <v>31.07</v>
      </c>
      <c r="I479">
        <v>6.1999999999999998E-3</v>
      </c>
      <c r="J479">
        <v>31.73</v>
      </c>
      <c r="K479">
        <v>0</v>
      </c>
      <c r="L479">
        <v>3.4599999999999999E-2</v>
      </c>
      <c r="M479">
        <v>0.109</v>
      </c>
      <c r="N479">
        <v>98.522999999999996</v>
      </c>
      <c r="O479" t="s">
        <v>251</v>
      </c>
      <c r="P479" t="s">
        <v>44</v>
      </c>
      <c r="Q479">
        <f>I479-(K479*Standards!$I$15)</f>
        <v>6.1999999999999998E-3</v>
      </c>
    </row>
    <row r="480" spans="1:17">
      <c r="A480">
        <v>63</v>
      </c>
      <c r="B480">
        <v>0</v>
      </c>
      <c r="C480">
        <v>0</v>
      </c>
      <c r="D480">
        <v>35.46</v>
      </c>
      <c r="E480">
        <v>3.2000000000000002E-3</v>
      </c>
      <c r="F480">
        <v>5.3E-3</v>
      </c>
      <c r="G480">
        <v>0</v>
      </c>
      <c r="H480">
        <v>31.28</v>
      </c>
      <c r="I480">
        <v>3.8E-3</v>
      </c>
      <c r="J480">
        <v>31.07</v>
      </c>
      <c r="K480">
        <v>0</v>
      </c>
      <c r="L480">
        <v>3.2399999999999998E-2</v>
      </c>
      <c r="M480">
        <v>0.107</v>
      </c>
      <c r="N480">
        <v>97.961799999999997</v>
      </c>
      <c r="O480" t="s">
        <v>251</v>
      </c>
      <c r="P480" t="s">
        <v>44</v>
      </c>
      <c r="Q480">
        <f>I480-(K480*Standards!$I$15)</f>
        <v>3.8E-3</v>
      </c>
    </row>
    <row r="481" spans="1:17">
      <c r="A481">
        <v>61</v>
      </c>
      <c r="B481">
        <v>6.4000000000000003E-3</v>
      </c>
      <c r="C481">
        <v>0</v>
      </c>
      <c r="D481">
        <v>35.53</v>
      </c>
      <c r="E481">
        <v>0</v>
      </c>
      <c r="F481">
        <v>0</v>
      </c>
      <c r="G481">
        <v>0</v>
      </c>
      <c r="H481">
        <v>31.1</v>
      </c>
      <c r="I481">
        <v>3.5999999999999999E-3</v>
      </c>
      <c r="J481">
        <v>31.72</v>
      </c>
      <c r="K481">
        <v>0</v>
      </c>
      <c r="L481">
        <v>2.12E-2</v>
      </c>
      <c r="M481">
        <v>0.1202</v>
      </c>
      <c r="N481">
        <v>98.501499999999993</v>
      </c>
      <c r="O481" t="s">
        <v>251</v>
      </c>
      <c r="P481" t="s">
        <v>44</v>
      </c>
      <c r="Q481">
        <f>I481-(K481*Standards!$I$15)</f>
        <v>3.5999999999999999E-3</v>
      </c>
    </row>
    <row r="482" spans="1:17">
      <c r="A482">
        <v>36</v>
      </c>
      <c r="B482">
        <v>0</v>
      </c>
      <c r="C482">
        <v>0</v>
      </c>
      <c r="D482">
        <v>35.6</v>
      </c>
      <c r="E482">
        <v>0</v>
      </c>
      <c r="F482">
        <v>0</v>
      </c>
      <c r="G482">
        <v>0</v>
      </c>
      <c r="H482">
        <v>31.14</v>
      </c>
      <c r="I482">
        <v>3.3E-3</v>
      </c>
      <c r="J482">
        <v>33.380000000000003</v>
      </c>
      <c r="K482">
        <v>0</v>
      </c>
      <c r="L482">
        <v>4.87E-2</v>
      </c>
      <c r="M482">
        <v>0.1174</v>
      </c>
      <c r="N482">
        <v>100.2894</v>
      </c>
      <c r="O482" t="s">
        <v>251</v>
      </c>
      <c r="P482" t="s">
        <v>44</v>
      </c>
      <c r="Q482">
        <f>I482-(K482*Standards!$I$15)</f>
        <v>3.3E-3</v>
      </c>
    </row>
    <row r="483" spans="1:17">
      <c r="A483">
        <v>62</v>
      </c>
      <c r="B483">
        <v>6.7000000000000002E-3</v>
      </c>
      <c r="C483">
        <v>0</v>
      </c>
      <c r="D483">
        <v>35.6</v>
      </c>
      <c r="E483">
        <v>1.8E-3</v>
      </c>
      <c r="F483">
        <v>0</v>
      </c>
      <c r="G483">
        <v>0</v>
      </c>
      <c r="H483">
        <v>31</v>
      </c>
      <c r="I483">
        <v>3.3E-3</v>
      </c>
      <c r="J483">
        <v>31.89</v>
      </c>
      <c r="K483">
        <v>0</v>
      </c>
      <c r="L483">
        <v>4.7899999999999998E-2</v>
      </c>
      <c r="M483">
        <v>8.2699999999999996E-2</v>
      </c>
      <c r="N483">
        <v>98.632499999999993</v>
      </c>
      <c r="O483" t="s">
        <v>251</v>
      </c>
      <c r="P483" t="s">
        <v>44</v>
      </c>
      <c r="Q483">
        <f>I483-(K483*Standards!$I$15)</f>
        <v>3.3E-3</v>
      </c>
    </row>
    <row r="484" spans="1:17">
      <c r="A484">
        <v>52</v>
      </c>
      <c r="B484">
        <v>3.8999999999999998E-3</v>
      </c>
      <c r="C484">
        <v>0</v>
      </c>
      <c r="D484">
        <v>35.51</v>
      </c>
      <c r="E484">
        <v>0</v>
      </c>
      <c r="F484">
        <v>0</v>
      </c>
      <c r="G484">
        <v>0</v>
      </c>
      <c r="H484">
        <v>31.17</v>
      </c>
      <c r="I484">
        <v>3.0999999999999999E-3</v>
      </c>
      <c r="J484">
        <v>32.11</v>
      </c>
      <c r="K484">
        <v>0</v>
      </c>
      <c r="L484">
        <v>3.09E-2</v>
      </c>
      <c r="M484">
        <v>9.5299999999999996E-2</v>
      </c>
      <c r="N484">
        <v>98.923199999999994</v>
      </c>
      <c r="O484" t="s">
        <v>251</v>
      </c>
      <c r="P484" t="s">
        <v>44</v>
      </c>
      <c r="Q484">
        <f>I484-(K484*Standards!$I$15)</f>
        <v>3.0999999999999999E-3</v>
      </c>
    </row>
    <row r="485" spans="1:17">
      <c r="A485">
        <v>23</v>
      </c>
      <c r="B485">
        <v>0</v>
      </c>
      <c r="C485">
        <v>0</v>
      </c>
      <c r="D485">
        <v>35.64</v>
      </c>
      <c r="E485">
        <v>1.8800000000000001E-2</v>
      </c>
      <c r="F485">
        <v>0</v>
      </c>
      <c r="G485">
        <v>0</v>
      </c>
      <c r="H485">
        <v>31.35</v>
      </c>
      <c r="I485">
        <v>3.0000000000000001E-3</v>
      </c>
      <c r="J485">
        <v>33.4</v>
      </c>
      <c r="K485">
        <v>0</v>
      </c>
      <c r="L485">
        <v>3.3000000000000002E-2</v>
      </c>
      <c r="M485">
        <v>0.10730000000000001</v>
      </c>
      <c r="N485">
        <v>100.55200000000001</v>
      </c>
      <c r="O485" t="s">
        <v>251</v>
      </c>
      <c r="P485" t="s">
        <v>44</v>
      </c>
      <c r="Q485">
        <f>I485-(K485*Standards!$I$15)</f>
        <v>3.0000000000000001E-3</v>
      </c>
    </row>
    <row r="486" spans="1:17">
      <c r="A486">
        <v>60</v>
      </c>
      <c r="B486">
        <v>2.8999999999999998E-3</v>
      </c>
      <c r="C486">
        <v>0</v>
      </c>
      <c r="D486">
        <v>35.450000000000003</v>
      </c>
      <c r="E486">
        <v>0</v>
      </c>
      <c r="F486">
        <v>0</v>
      </c>
      <c r="G486">
        <v>0</v>
      </c>
      <c r="H486">
        <v>31.12</v>
      </c>
      <c r="I486">
        <v>3.0000000000000001E-3</v>
      </c>
      <c r="J486">
        <v>32.31</v>
      </c>
      <c r="K486">
        <v>0</v>
      </c>
      <c r="L486">
        <v>7.0499999999999993E-2</v>
      </c>
      <c r="M486">
        <v>8.2500000000000004E-2</v>
      </c>
      <c r="N486">
        <v>99.038899999999998</v>
      </c>
      <c r="O486" t="s">
        <v>251</v>
      </c>
      <c r="P486" t="s">
        <v>44</v>
      </c>
      <c r="Q486">
        <f>I486-(K486*Standards!$I$15)</f>
        <v>3.0000000000000001E-3</v>
      </c>
    </row>
    <row r="487" spans="1:17">
      <c r="A487">
        <v>59</v>
      </c>
      <c r="B487">
        <v>1.04E-2</v>
      </c>
      <c r="C487">
        <v>0</v>
      </c>
      <c r="D487">
        <v>35.33</v>
      </c>
      <c r="E487">
        <v>8.0000000000000002E-3</v>
      </c>
      <c r="F487">
        <v>0</v>
      </c>
      <c r="G487">
        <v>5.0000000000000001E-4</v>
      </c>
      <c r="H487">
        <v>31.26</v>
      </c>
      <c r="I487">
        <v>2.7000000000000001E-3</v>
      </c>
      <c r="J487">
        <v>31.74</v>
      </c>
      <c r="K487">
        <v>0</v>
      </c>
      <c r="L487">
        <v>6.4299999999999996E-2</v>
      </c>
      <c r="M487">
        <v>0.11169999999999999</v>
      </c>
      <c r="N487">
        <v>98.527699999999996</v>
      </c>
      <c r="O487" t="s">
        <v>251</v>
      </c>
      <c r="P487" t="s">
        <v>44</v>
      </c>
      <c r="Q487">
        <f>I487-(K487*Standards!$I$15)</f>
        <v>2.7000000000000001E-3</v>
      </c>
    </row>
    <row r="488" spans="1:17">
      <c r="A488">
        <v>51</v>
      </c>
      <c r="B488">
        <v>1.14E-2</v>
      </c>
      <c r="C488">
        <v>0</v>
      </c>
      <c r="D488">
        <v>35.51</v>
      </c>
      <c r="E488">
        <v>0</v>
      </c>
      <c r="F488">
        <v>0</v>
      </c>
      <c r="G488">
        <v>0</v>
      </c>
      <c r="H488">
        <v>31.1</v>
      </c>
      <c r="I488">
        <v>1.9E-3</v>
      </c>
      <c r="J488">
        <v>32</v>
      </c>
      <c r="K488">
        <v>0</v>
      </c>
      <c r="L488">
        <v>0.23219999999999999</v>
      </c>
      <c r="M488">
        <v>0.1103</v>
      </c>
      <c r="N488">
        <v>98.965900000000005</v>
      </c>
      <c r="O488" t="s">
        <v>251</v>
      </c>
      <c r="P488" t="s">
        <v>44</v>
      </c>
      <c r="Q488">
        <f>I488-(K488*Standards!$I$15)</f>
        <v>1.9E-3</v>
      </c>
    </row>
    <row r="489" spans="1:17">
      <c r="A489">
        <v>64</v>
      </c>
      <c r="B489">
        <v>1.4E-3</v>
      </c>
      <c r="C489">
        <v>0</v>
      </c>
      <c r="D489">
        <v>35.61</v>
      </c>
      <c r="E489">
        <v>1.1000000000000001E-3</v>
      </c>
      <c r="F489">
        <v>0</v>
      </c>
      <c r="G489">
        <v>0</v>
      </c>
      <c r="H489">
        <v>31.18</v>
      </c>
      <c r="I489">
        <v>1.6000000000000001E-3</v>
      </c>
      <c r="J489">
        <v>31.52</v>
      </c>
      <c r="K489">
        <v>0</v>
      </c>
      <c r="L489">
        <v>2.4199999999999999E-2</v>
      </c>
      <c r="M489">
        <v>0.1047</v>
      </c>
      <c r="N489">
        <v>98.443100000000001</v>
      </c>
      <c r="O489" t="s">
        <v>251</v>
      </c>
      <c r="P489" t="s">
        <v>44</v>
      </c>
      <c r="Q489">
        <f>I489-(K489*Standards!$I$15)</f>
        <v>1.6000000000000001E-3</v>
      </c>
    </row>
    <row r="490" spans="1:17">
      <c r="A490">
        <v>58</v>
      </c>
      <c r="B490">
        <v>2.6100000000000002E-2</v>
      </c>
      <c r="C490">
        <v>0</v>
      </c>
      <c r="D490">
        <v>35.630000000000003</v>
      </c>
      <c r="E490">
        <v>1.37E-2</v>
      </c>
      <c r="F490">
        <v>0</v>
      </c>
      <c r="G490">
        <v>0</v>
      </c>
      <c r="H490">
        <v>31.31</v>
      </c>
      <c r="I490">
        <v>1E-3</v>
      </c>
      <c r="J490">
        <v>31.97</v>
      </c>
      <c r="K490">
        <v>0</v>
      </c>
      <c r="L490">
        <v>4.3400000000000001E-2</v>
      </c>
      <c r="M490">
        <v>9.1800000000000007E-2</v>
      </c>
      <c r="N490">
        <v>99.086100000000002</v>
      </c>
      <c r="O490" t="s">
        <v>251</v>
      </c>
      <c r="P490" t="s">
        <v>44</v>
      </c>
      <c r="Q490">
        <f>I490-(K490*Standards!$I$15)</f>
        <v>1E-3</v>
      </c>
    </row>
    <row r="491" spans="1:17">
      <c r="A491">
        <v>24</v>
      </c>
      <c r="B491">
        <v>0</v>
      </c>
      <c r="C491">
        <v>0</v>
      </c>
      <c r="D491">
        <v>35.6</v>
      </c>
      <c r="E491">
        <v>5.0000000000000001E-3</v>
      </c>
      <c r="F491">
        <v>0</v>
      </c>
      <c r="G491">
        <v>0</v>
      </c>
      <c r="H491">
        <v>31.34</v>
      </c>
      <c r="I491">
        <v>0</v>
      </c>
      <c r="J491">
        <v>33.11</v>
      </c>
      <c r="K491">
        <v>0</v>
      </c>
      <c r="L491">
        <v>5.28E-2</v>
      </c>
      <c r="M491">
        <v>0.12379999999999999</v>
      </c>
      <c r="N491">
        <v>100.2316</v>
      </c>
      <c r="O491" t="s">
        <v>251</v>
      </c>
      <c r="P491" t="s">
        <v>44</v>
      </c>
      <c r="Q491">
        <f>I491-(K491*Standards!$I$15)</f>
        <v>0</v>
      </c>
    </row>
    <row r="492" spans="1:17">
      <c r="A492">
        <v>35</v>
      </c>
      <c r="B492">
        <v>0</v>
      </c>
      <c r="C492">
        <v>0</v>
      </c>
      <c r="D492">
        <v>35.56</v>
      </c>
      <c r="E492">
        <v>1.8800000000000001E-2</v>
      </c>
      <c r="F492">
        <v>0</v>
      </c>
      <c r="G492">
        <v>0</v>
      </c>
      <c r="H492">
        <v>31.31</v>
      </c>
      <c r="I492">
        <v>0</v>
      </c>
      <c r="J492">
        <v>33.22</v>
      </c>
      <c r="K492">
        <v>0</v>
      </c>
      <c r="L492">
        <v>1.9E-3</v>
      </c>
      <c r="M492">
        <v>9.5399999999999999E-2</v>
      </c>
      <c r="N492">
        <v>100.206</v>
      </c>
      <c r="O492" t="s">
        <v>251</v>
      </c>
      <c r="P492" t="s">
        <v>44</v>
      </c>
      <c r="Q492">
        <f>I492-(K492*Standards!$I$15)</f>
        <v>0</v>
      </c>
    </row>
    <row r="493" spans="1:17">
      <c r="A493">
        <v>75</v>
      </c>
      <c r="B493">
        <v>1.6899999999999998E-2</v>
      </c>
      <c r="C493">
        <v>0</v>
      </c>
      <c r="D493">
        <v>35.43</v>
      </c>
      <c r="E493">
        <v>1.4999999999999999E-2</v>
      </c>
      <c r="F493">
        <v>0</v>
      </c>
      <c r="G493">
        <v>0</v>
      </c>
      <c r="H493">
        <v>31.25</v>
      </c>
      <c r="I493">
        <v>0</v>
      </c>
      <c r="J493">
        <v>31.71</v>
      </c>
      <c r="K493">
        <v>0</v>
      </c>
      <c r="L493">
        <v>5.1799999999999999E-2</v>
      </c>
      <c r="M493">
        <v>0.12939999999999999</v>
      </c>
      <c r="N493">
        <v>98.603200000000001</v>
      </c>
      <c r="O493" t="s">
        <v>251</v>
      </c>
      <c r="P493" t="s">
        <v>44</v>
      </c>
      <c r="Q493">
        <f>I493-(K493*Standards!$I$15)</f>
        <v>0</v>
      </c>
    </row>
    <row r="494" spans="1:17">
      <c r="A494">
        <v>25</v>
      </c>
      <c r="B494">
        <v>1E-3</v>
      </c>
      <c r="C494">
        <v>0</v>
      </c>
      <c r="D494">
        <v>35.549999999999997</v>
      </c>
      <c r="E494">
        <v>7.1999999999999998E-3</v>
      </c>
      <c r="F494">
        <v>0</v>
      </c>
      <c r="G494">
        <v>0</v>
      </c>
      <c r="H494">
        <v>30.94</v>
      </c>
      <c r="I494">
        <v>0</v>
      </c>
      <c r="J494">
        <v>33.49</v>
      </c>
      <c r="K494">
        <v>0</v>
      </c>
      <c r="L494">
        <v>3.9100000000000003E-2</v>
      </c>
      <c r="M494">
        <v>0.10630000000000001</v>
      </c>
      <c r="N494">
        <v>100.1336</v>
      </c>
      <c r="O494" t="s">
        <v>251</v>
      </c>
      <c r="P494" t="s">
        <v>44</v>
      </c>
      <c r="Q494">
        <f>I494-(K494*Standards!$I$15)</f>
        <v>0</v>
      </c>
    </row>
    <row r="495" spans="1:17">
      <c r="A495">
        <v>114</v>
      </c>
      <c r="B495">
        <v>0</v>
      </c>
      <c r="C495">
        <v>0</v>
      </c>
      <c r="D495">
        <v>35.42</v>
      </c>
      <c r="E495">
        <v>0</v>
      </c>
      <c r="F495">
        <v>0</v>
      </c>
      <c r="G495">
        <v>0</v>
      </c>
      <c r="H495">
        <v>30.85</v>
      </c>
      <c r="I495">
        <v>1.8700000000000001E-2</v>
      </c>
      <c r="J495">
        <v>29.27</v>
      </c>
      <c r="K495">
        <v>0</v>
      </c>
      <c r="L495">
        <v>0.40660000000000002</v>
      </c>
      <c r="M495">
        <v>0.13700000000000001</v>
      </c>
      <c r="N495">
        <v>96.102400000000003</v>
      </c>
      <c r="O495" t="s">
        <v>252</v>
      </c>
      <c r="P495" t="s">
        <v>44</v>
      </c>
      <c r="Q495">
        <f>I495-(K495*Standards!$I$15)</f>
        <v>1.8700000000000001E-2</v>
      </c>
    </row>
    <row r="496" spans="1:17">
      <c r="A496">
        <v>108</v>
      </c>
      <c r="B496">
        <v>0</v>
      </c>
      <c r="C496">
        <v>0</v>
      </c>
      <c r="D496">
        <v>35.65</v>
      </c>
      <c r="E496">
        <v>5.5999999999999999E-3</v>
      </c>
      <c r="F496">
        <v>0</v>
      </c>
      <c r="G496">
        <v>0</v>
      </c>
      <c r="H496">
        <v>31.21</v>
      </c>
      <c r="I496">
        <v>1.04E-2</v>
      </c>
      <c r="J496">
        <v>29.14</v>
      </c>
      <c r="K496">
        <v>0</v>
      </c>
      <c r="L496">
        <v>6.2199999999999998E-2</v>
      </c>
      <c r="M496">
        <v>9.6199999999999994E-2</v>
      </c>
      <c r="N496">
        <v>96.174499999999995</v>
      </c>
      <c r="O496" t="s">
        <v>252</v>
      </c>
      <c r="P496" t="s">
        <v>44</v>
      </c>
      <c r="Q496">
        <f>I496-(K496*Standards!$I$15)</f>
        <v>1.04E-2</v>
      </c>
    </row>
    <row r="497" spans="1:17">
      <c r="A497">
        <v>78</v>
      </c>
      <c r="B497">
        <v>3.8999999999999998E-3</v>
      </c>
      <c r="C497">
        <v>0</v>
      </c>
      <c r="D497">
        <v>35.520000000000003</v>
      </c>
      <c r="E497">
        <v>0</v>
      </c>
      <c r="F497">
        <v>0</v>
      </c>
      <c r="G497">
        <v>0</v>
      </c>
      <c r="H497">
        <v>31.16</v>
      </c>
      <c r="I497">
        <v>1.01E-2</v>
      </c>
      <c r="J497">
        <v>31.76</v>
      </c>
      <c r="K497">
        <v>0</v>
      </c>
      <c r="L497">
        <v>1.6500000000000001E-2</v>
      </c>
      <c r="M497">
        <v>8.6800000000000002E-2</v>
      </c>
      <c r="N497">
        <v>98.557400000000001</v>
      </c>
      <c r="O497" t="s">
        <v>252</v>
      </c>
      <c r="P497" t="s">
        <v>44</v>
      </c>
      <c r="Q497">
        <f>I497-(K497*Standards!$I$15)</f>
        <v>1.01E-2</v>
      </c>
    </row>
    <row r="498" spans="1:17">
      <c r="A498">
        <v>115</v>
      </c>
      <c r="B498">
        <v>0</v>
      </c>
      <c r="C498">
        <v>0</v>
      </c>
      <c r="D498">
        <v>35.130000000000003</v>
      </c>
      <c r="E498">
        <v>6.1999999999999998E-3</v>
      </c>
      <c r="F498">
        <v>0</v>
      </c>
      <c r="G498">
        <v>0</v>
      </c>
      <c r="H498">
        <v>31.17</v>
      </c>
      <c r="I498">
        <v>9.4999999999999998E-3</v>
      </c>
      <c r="J498">
        <v>29.16</v>
      </c>
      <c r="K498">
        <v>0</v>
      </c>
      <c r="L498">
        <v>0.1091</v>
      </c>
      <c r="M498">
        <v>0.1033</v>
      </c>
      <c r="N498">
        <v>95.688100000000006</v>
      </c>
      <c r="O498" t="s">
        <v>252</v>
      </c>
      <c r="P498" t="s">
        <v>44</v>
      </c>
      <c r="Q498">
        <f>I498-(K498*Standards!$I$15)</f>
        <v>9.4999999999999998E-3</v>
      </c>
    </row>
    <row r="499" spans="1:17">
      <c r="A499">
        <v>107</v>
      </c>
      <c r="B499">
        <v>1.8E-3</v>
      </c>
      <c r="C499">
        <v>0</v>
      </c>
      <c r="D499">
        <v>35.35</v>
      </c>
      <c r="E499">
        <v>1.5E-3</v>
      </c>
      <c r="F499">
        <v>0</v>
      </c>
      <c r="G499">
        <v>0</v>
      </c>
      <c r="H499">
        <v>31.43</v>
      </c>
      <c r="I499">
        <v>8.6E-3</v>
      </c>
      <c r="J499">
        <v>28.74</v>
      </c>
      <c r="K499">
        <v>0</v>
      </c>
      <c r="L499">
        <v>6.8500000000000005E-2</v>
      </c>
      <c r="M499">
        <v>0.1167</v>
      </c>
      <c r="N499">
        <v>95.717100000000002</v>
      </c>
      <c r="O499" t="s">
        <v>252</v>
      </c>
      <c r="P499" t="s">
        <v>44</v>
      </c>
      <c r="Q499">
        <f>I499-(K499*Standards!$I$15)</f>
        <v>8.6E-3</v>
      </c>
    </row>
    <row r="500" spans="1:17">
      <c r="A500">
        <v>106</v>
      </c>
      <c r="B500">
        <v>0</v>
      </c>
      <c r="C500">
        <v>0</v>
      </c>
      <c r="D500">
        <v>35.54</v>
      </c>
      <c r="E500">
        <v>7.7000000000000002E-3</v>
      </c>
      <c r="F500">
        <v>0</v>
      </c>
      <c r="G500">
        <v>0</v>
      </c>
      <c r="H500">
        <v>30.98</v>
      </c>
      <c r="I500">
        <v>6.7000000000000002E-3</v>
      </c>
      <c r="J500">
        <v>29.48</v>
      </c>
      <c r="K500">
        <v>0</v>
      </c>
      <c r="L500">
        <v>6.1400000000000003E-2</v>
      </c>
      <c r="M500">
        <v>9.9000000000000005E-2</v>
      </c>
      <c r="N500">
        <v>96.174899999999994</v>
      </c>
      <c r="O500" t="s">
        <v>252</v>
      </c>
      <c r="P500" t="s">
        <v>44</v>
      </c>
      <c r="Q500">
        <f>I500-(K500*Standards!$I$15)</f>
        <v>6.7000000000000002E-3</v>
      </c>
    </row>
    <row r="501" spans="1:17">
      <c r="A501">
        <v>87</v>
      </c>
      <c r="B501">
        <v>0</v>
      </c>
      <c r="C501">
        <v>0</v>
      </c>
      <c r="D501">
        <v>35.46</v>
      </c>
      <c r="E501">
        <v>0</v>
      </c>
      <c r="F501">
        <v>0</v>
      </c>
      <c r="G501">
        <v>0</v>
      </c>
      <c r="H501">
        <v>31.48</v>
      </c>
      <c r="I501">
        <v>6.1999999999999998E-3</v>
      </c>
      <c r="J501">
        <v>28.63</v>
      </c>
      <c r="K501">
        <v>0</v>
      </c>
      <c r="L501">
        <v>0.17030000000000001</v>
      </c>
      <c r="M501">
        <v>0.1105</v>
      </c>
      <c r="N501">
        <v>95.857100000000003</v>
      </c>
      <c r="O501" t="s">
        <v>252</v>
      </c>
      <c r="P501" t="s">
        <v>44</v>
      </c>
      <c r="Q501">
        <f>I501-(K501*Standards!$I$15)</f>
        <v>6.1999999999999998E-3</v>
      </c>
    </row>
    <row r="502" spans="1:17">
      <c r="A502">
        <v>118</v>
      </c>
      <c r="B502">
        <v>0</v>
      </c>
      <c r="C502">
        <v>0</v>
      </c>
      <c r="D502">
        <v>35.340000000000003</v>
      </c>
      <c r="E502">
        <v>1.1999999999999999E-3</v>
      </c>
      <c r="F502">
        <v>0</v>
      </c>
      <c r="G502">
        <v>0</v>
      </c>
      <c r="H502">
        <v>31.31</v>
      </c>
      <c r="I502">
        <v>4.8999999999999998E-3</v>
      </c>
      <c r="J502">
        <v>28.98</v>
      </c>
      <c r="K502">
        <v>0</v>
      </c>
      <c r="L502">
        <v>4.5999999999999999E-2</v>
      </c>
      <c r="M502">
        <v>9.3200000000000005E-2</v>
      </c>
      <c r="N502">
        <v>95.775300000000001</v>
      </c>
      <c r="O502" t="s">
        <v>252</v>
      </c>
      <c r="P502" t="s">
        <v>44</v>
      </c>
      <c r="Q502">
        <f>I502-(K502*Standards!$I$15)</f>
        <v>4.8999999999999998E-3</v>
      </c>
    </row>
    <row r="503" spans="1:17">
      <c r="A503">
        <v>97</v>
      </c>
      <c r="B503">
        <v>0</v>
      </c>
      <c r="C503">
        <v>0</v>
      </c>
      <c r="D503">
        <v>35.590000000000003</v>
      </c>
      <c r="E503">
        <v>2E-3</v>
      </c>
      <c r="F503">
        <v>0</v>
      </c>
      <c r="G503">
        <v>0</v>
      </c>
      <c r="H503">
        <v>31.17</v>
      </c>
      <c r="I503">
        <v>3.5999999999999999E-3</v>
      </c>
      <c r="J503">
        <v>29.23</v>
      </c>
      <c r="K503">
        <v>0</v>
      </c>
      <c r="L503">
        <v>4.3999999999999997E-2</v>
      </c>
      <c r="M503">
        <v>0.1202</v>
      </c>
      <c r="N503">
        <v>96.159899999999993</v>
      </c>
      <c r="O503" t="s">
        <v>252</v>
      </c>
      <c r="P503" t="s">
        <v>44</v>
      </c>
      <c r="Q503">
        <f>I503-(K503*Standards!$I$15)</f>
        <v>3.5999999999999999E-3</v>
      </c>
    </row>
    <row r="504" spans="1:17">
      <c r="A504">
        <v>109</v>
      </c>
      <c r="B504">
        <v>0</v>
      </c>
      <c r="C504">
        <v>0</v>
      </c>
      <c r="D504">
        <v>35.53</v>
      </c>
      <c r="E504">
        <v>6.6E-3</v>
      </c>
      <c r="F504">
        <v>0</v>
      </c>
      <c r="G504">
        <v>0</v>
      </c>
      <c r="H504">
        <v>31.3</v>
      </c>
      <c r="I504">
        <v>2.2000000000000001E-3</v>
      </c>
      <c r="J504">
        <v>28.99</v>
      </c>
      <c r="K504">
        <v>0</v>
      </c>
      <c r="L504">
        <v>6.7100000000000007E-2</v>
      </c>
      <c r="M504">
        <v>0.1046</v>
      </c>
      <c r="N504">
        <v>96.000500000000002</v>
      </c>
      <c r="O504" t="s">
        <v>252</v>
      </c>
      <c r="P504" t="s">
        <v>44</v>
      </c>
      <c r="Q504">
        <f>I504-(K504*Standards!$I$15)</f>
        <v>2.2000000000000001E-3</v>
      </c>
    </row>
    <row r="505" spans="1:17">
      <c r="A505">
        <v>116</v>
      </c>
      <c r="B505">
        <v>0</v>
      </c>
      <c r="C505">
        <v>0</v>
      </c>
      <c r="D505">
        <v>35.520000000000003</v>
      </c>
      <c r="E505">
        <v>3.3E-3</v>
      </c>
      <c r="F505">
        <v>0</v>
      </c>
      <c r="G505">
        <v>8.0000000000000004E-4</v>
      </c>
      <c r="H505">
        <v>31.18</v>
      </c>
      <c r="I505">
        <v>8.9999999999999998E-4</v>
      </c>
      <c r="J505">
        <v>28.96</v>
      </c>
      <c r="K505">
        <v>0</v>
      </c>
      <c r="L505">
        <v>4.65E-2</v>
      </c>
      <c r="M505">
        <v>8.5900000000000004E-2</v>
      </c>
      <c r="N505">
        <v>95.797499999999999</v>
      </c>
      <c r="O505" t="s">
        <v>252</v>
      </c>
      <c r="P505" t="s">
        <v>44</v>
      </c>
      <c r="Q505">
        <f>I505-(K505*Standards!$I$15)</f>
        <v>8.9999999999999998E-4</v>
      </c>
    </row>
    <row r="506" spans="1:17">
      <c r="A506">
        <v>100</v>
      </c>
      <c r="B506">
        <v>0</v>
      </c>
      <c r="C506">
        <v>0</v>
      </c>
      <c r="D506">
        <v>35.56</v>
      </c>
      <c r="E506">
        <v>1.2999999999999999E-3</v>
      </c>
      <c r="F506">
        <v>8.0000000000000002E-3</v>
      </c>
      <c r="G506">
        <v>0</v>
      </c>
      <c r="H506">
        <v>31.27</v>
      </c>
      <c r="I506">
        <v>6.9999999999999999E-4</v>
      </c>
      <c r="J506">
        <v>29.99</v>
      </c>
      <c r="K506">
        <v>0</v>
      </c>
      <c r="L506">
        <v>3.9199999999999999E-2</v>
      </c>
      <c r="M506">
        <v>0.1187</v>
      </c>
      <c r="N506">
        <v>96.988</v>
      </c>
      <c r="O506" t="s">
        <v>252</v>
      </c>
      <c r="P506" t="s">
        <v>44</v>
      </c>
      <c r="Q506">
        <f>I506-(K506*Standards!$I$15)</f>
        <v>6.9999999999999999E-4</v>
      </c>
    </row>
    <row r="507" spans="1:17">
      <c r="A507">
        <v>102</v>
      </c>
      <c r="B507">
        <v>0</v>
      </c>
      <c r="C507">
        <v>0</v>
      </c>
      <c r="D507">
        <v>35.479999999999997</v>
      </c>
      <c r="E507">
        <v>7.1000000000000004E-3</v>
      </c>
      <c r="F507">
        <v>0</v>
      </c>
      <c r="G507">
        <v>0</v>
      </c>
      <c r="H507">
        <v>31.15</v>
      </c>
      <c r="I507">
        <v>6.9999999999999999E-4</v>
      </c>
      <c r="J507">
        <v>29.09</v>
      </c>
      <c r="K507">
        <v>0</v>
      </c>
      <c r="L507">
        <v>4.0599999999999997E-2</v>
      </c>
      <c r="M507">
        <v>0.1018</v>
      </c>
      <c r="N507">
        <v>95.8703</v>
      </c>
      <c r="O507" t="s">
        <v>252</v>
      </c>
      <c r="P507" t="s">
        <v>44</v>
      </c>
      <c r="Q507">
        <f>I507-(K507*Standards!$I$15)</f>
        <v>6.9999999999999999E-4</v>
      </c>
    </row>
    <row r="508" spans="1:17">
      <c r="A508">
        <v>117</v>
      </c>
      <c r="B508">
        <v>0</v>
      </c>
      <c r="C508">
        <v>0</v>
      </c>
      <c r="D508">
        <v>35.5</v>
      </c>
      <c r="E508">
        <v>1.6E-2</v>
      </c>
      <c r="F508">
        <v>0</v>
      </c>
      <c r="G508">
        <v>0</v>
      </c>
      <c r="H508">
        <v>30.86</v>
      </c>
      <c r="I508">
        <v>5.0000000000000001E-4</v>
      </c>
      <c r="J508">
        <v>29.18</v>
      </c>
      <c r="K508">
        <v>0</v>
      </c>
      <c r="L508">
        <v>5.1799999999999999E-2</v>
      </c>
      <c r="M508">
        <v>0.1013</v>
      </c>
      <c r="N508">
        <v>95.709699999999998</v>
      </c>
      <c r="O508" t="s">
        <v>252</v>
      </c>
      <c r="P508" t="s">
        <v>44</v>
      </c>
      <c r="Q508">
        <f>I508-(K508*Standards!$I$15)</f>
        <v>5.0000000000000001E-4</v>
      </c>
    </row>
    <row r="509" spans="1:17">
      <c r="A509">
        <v>101</v>
      </c>
      <c r="B509">
        <v>0</v>
      </c>
      <c r="C509">
        <v>0</v>
      </c>
      <c r="D509">
        <v>35.53</v>
      </c>
      <c r="E509">
        <v>7.4000000000000003E-3</v>
      </c>
      <c r="F509">
        <v>0</v>
      </c>
      <c r="G509">
        <v>0</v>
      </c>
      <c r="H509">
        <v>30.96</v>
      </c>
      <c r="I509">
        <v>1E-4</v>
      </c>
      <c r="J509">
        <v>29.51</v>
      </c>
      <c r="K509">
        <v>0</v>
      </c>
      <c r="L509">
        <v>2.47E-2</v>
      </c>
      <c r="M509">
        <v>0.1094</v>
      </c>
      <c r="N509">
        <v>96.141599999999997</v>
      </c>
      <c r="O509" t="s">
        <v>252</v>
      </c>
      <c r="P509" t="s">
        <v>44</v>
      </c>
      <c r="Q509">
        <f>I509-(K509*Standards!$I$15)</f>
        <v>1E-4</v>
      </c>
    </row>
    <row r="510" spans="1:17">
      <c r="A510">
        <v>96</v>
      </c>
      <c r="B510">
        <v>0</v>
      </c>
      <c r="C510">
        <v>0</v>
      </c>
      <c r="D510">
        <v>35.42</v>
      </c>
      <c r="E510">
        <v>0</v>
      </c>
      <c r="F510">
        <v>0</v>
      </c>
      <c r="G510">
        <v>0</v>
      </c>
      <c r="H510">
        <v>31.45</v>
      </c>
      <c r="I510">
        <v>0</v>
      </c>
      <c r="J510">
        <v>28.66</v>
      </c>
      <c r="K510">
        <v>0</v>
      </c>
      <c r="L510">
        <v>8.2400000000000001E-2</v>
      </c>
      <c r="M510">
        <v>0.1066</v>
      </c>
      <c r="N510">
        <v>95.718999999999994</v>
      </c>
      <c r="O510" t="s">
        <v>252</v>
      </c>
      <c r="P510" t="s">
        <v>44</v>
      </c>
      <c r="Q510">
        <f>I510-(K510*Standards!$I$15)</f>
        <v>0</v>
      </c>
    </row>
    <row r="511" spans="1:17">
      <c r="A511">
        <v>98</v>
      </c>
      <c r="B511">
        <v>0</v>
      </c>
      <c r="C511">
        <v>0</v>
      </c>
      <c r="D511">
        <v>35.46</v>
      </c>
      <c r="E511">
        <v>0</v>
      </c>
      <c r="F511">
        <v>0</v>
      </c>
      <c r="G511">
        <v>0</v>
      </c>
      <c r="H511">
        <v>31.15</v>
      </c>
      <c r="I511">
        <v>0</v>
      </c>
      <c r="J511">
        <v>29.45</v>
      </c>
      <c r="K511">
        <v>0</v>
      </c>
      <c r="L511">
        <v>6.6E-3</v>
      </c>
      <c r="M511">
        <v>9.4700000000000006E-2</v>
      </c>
      <c r="N511">
        <v>96.1614</v>
      </c>
      <c r="O511" t="s">
        <v>252</v>
      </c>
      <c r="P511" t="s">
        <v>44</v>
      </c>
      <c r="Q511">
        <f>I511-(K511*Standards!$I$15)</f>
        <v>0</v>
      </c>
    </row>
    <row r="512" spans="1:17">
      <c r="A512">
        <v>76</v>
      </c>
      <c r="B512">
        <v>0</v>
      </c>
      <c r="C512">
        <v>0</v>
      </c>
      <c r="D512">
        <v>35.57</v>
      </c>
      <c r="E512">
        <v>0</v>
      </c>
      <c r="F512">
        <v>0</v>
      </c>
      <c r="G512">
        <v>0</v>
      </c>
      <c r="H512">
        <v>31.12</v>
      </c>
      <c r="I512">
        <v>0</v>
      </c>
      <c r="J512">
        <v>32.64</v>
      </c>
      <c r="K512">
        <v>0</v>
      </c>
      <c r="L512">
        <v>4.87E-2</v>
      </c>
      <c r="M512">
        <v>0.1077</v>
      </c>
      <c r="N512">
        <v>99.486500000000007</v>
      </c>
      <c r="O512" t="s">
        <v>252</v>
      </c>
      <c r="P512" t="s">
        <v>44</v>
      </c>
      <c r="Q512">
        <f>I512-(K512*Standards!$I$15)</f>
        <v>0</v>
      </c>
    </row>
    <row r="513" spans="1:17">
      <c r="A513">
        <v>77</v>
      </c>
      <c r="B513">
        <v>0</v>
      </c>
      <c r="C513">
        <v>0</v>
      </c>
      <c r="D513">
        <v>35.630000000000003</v>
      </c>
      <c r="E513">
        <v>8.9999999999999998E-4</v>
      </c>
      <c r="F513">
        <v>0</v>
      </c>
      <c r="G513">
        <v>0</v>
      </c>
      <c r="H513">
        <v>31.02</v>
      </c>
      <c r="I513">
        <v>0</v>
      </c>
      <c r="J513">
        <v>32.22</v>
      </c>
      <c r="K513">
        <v>0</v>
      </c>
      <c r="L513">
        <v>5.1499999999999997E-2</v>
      </c>
      <c r="M513">
        <v>0.1002</v>
      </c>
      <c r="N513">
        <v>99.0227</v>
      </c>
      <c r="O513" t="s">
        <v>252</v>
      </c>
      <c r="P513" t="s">
        <v>44</v>
      </c>
      <c r="Q513">
        <f>I513-(K513*Standards!$I$15)</f>
        <v>0</v>
      </c>
    </row>
    <row r="514" spans="1:17">
      <c r="A514">
        <v>120</v>
      </c>
      <c r="B514">
        <v>0</v>
      </c>
      <c r="C514">
        <v>0</v>
      </c>
      <c r="D514">
        <v>35.49</v>
      </c>
      <c r="E514">
        <v>2.3999999999999998E-3</v>
      </c>
      <c r="F514">
        <v>0</v>
      </c>
      <c r="G514">
        <v>0</v>
      </c>
      <c r="H514">
        <v>30.99</v>
      </c>
      <c r="I514">
        <v>0</v>
      </c>
      <c r="J514">
        <v>29.05</v>
      </c>
      <c r="K514">
        <v>0</v>
      </c>
      <c r="L514">
        <v>9.5899999999999999E-2</v>
      </c>
      <c r="M514">
        <v>0.1144</v>
      </c>
      <c r="N514">
        <v>95.742800000000003</v>
      </c>
      <c r="O514" t="s">
        <v>252</v>
      </c>
      <c r="P514" t="s">
        <v>44</v>
      </c>
      <c r="Q514">
        <f>I514-(K514*Standards!$I$15)</f>
        <v>0</v>
      </c>
    </row>
    <row r="515" spans="1:17">
      <c r="A515">
        <v>103</v>
      </c>
      <c r="B515">
        <v>0</v>
      </c>
      <c r="C515">
        <v>0</v>
      </c>
      <c r="D515">
        <v>35.630000000000003</v>
      </c>
      <c r="E515">
        <v>5.8999999999999999E-3</v>
      </c>
      <c r="F515">
        <v>0</v>
      </c>
      <c r="G515">
        <v>0</v>
      </c>
      <c r="H515">
        <v>30.93</v>
      </c>
      <c r="I515">
        <v>0</v>
      </c>
      <c r="J515">
        <v>29.42</v>
      </c>
      <c r="K515">
        <v>0</v>
      </c>
      <c r="L515">
        <v>4.9500000000000002E-2</v>
      </c>
      <c r="M515">
        <v>0.11070000000000001</v>
      </c>
      <c r="N515">
        <v>96.146199999999993</v>
      </c>
      <c r="O515" t="s">
        <v>252</v>
      </c>
      <c r="P515" t="s">
        <v>44</v>
      </c>
      <c r="Q515">
        <f>I515-(K515*Standards!$I$15)</f>
        <v>0</v>
      </c>
    </row>
    <row r="516" spans="1:17">
      <c r="A516">
        <v>12</v>
      </c>
      <c r="B516">
        <v>0</v>
      </c>
      <c r="C516">
        <v>0</v>
      </c>
      <c r="D516">
        <v>35.19</v>
      </c>
      <c r="E516">
        <v>1.55E-2</v>
      </c>
      <c r="F516">
        <v>0</v>
      </c>
      <c r="G516">
        <v>0</v>
      </c>
      <c r="H516">
        <v>31.07</v>
      </c>
      <c r="I516">
        <v>9.3899999999999997E-2</v>
      </c>
      <c r="J516">
        <v>32.18</v>
      </c>
      <c r="K516">
        <v>0</v>
      </c>
      <c r="L516">
        <v>4.3299999999999998E-2</v>
      </c>
      <c r="M516">
        <v>0.1076</v>
      </c>
      <c r="N516">
        <v>98.700299999999999</v>
      </c>
      <c r="O516" t="s">
        <v>253</v>
      </c>
      <c r="P516" t="s">
        <v>44</v>
      </c>
      <c r="Q516">
        <f>I516-(K516*Standards!$I$15)</f>
        <v>9.3899999999999997E-2</v>
      </c>
    </row>
    <row r="517" spans="1:17">
      <c r="A517">
        <v>17</v>
      </c>
      <c r="B517">
        <v>0</v>
      </c>
      <c r="C517">
        <v>0</v>
      </c>
      <c r="D517">
        <v>35.409999999999997</v>
      </c>
      <c r="E517">
        <v>1.1000000000000001E-3</v>
      </c>
      <c r="F517">
        <v>0</v>
      </c>
      <c r="G517">
        <v>0</v>
      </c>
      <c r="H517">
        <v>31.12</v>
      </c>
      <c r="I517">
        <v>8.72E-2</v>
      </c>
      <c r="J517">
        <v>32.75</v>
      </c>
      <c r="K517">
        <v>0</v>
      </c>
      <c r="L517">
        <v>0.1593</v>
      </c>
      <c r="M517">
        <v>0.1128</v>
      </c>
      <c r="N517">
        <v>99.6404</v>
      </c>
      <c r="O517" t="s">
        <v>253</v>
      </c>
      <c r="P517" t="s">
        <v>44</v>
      </c>
      <c r="Q517">
        <f>I517-(K517*Standards!$I$15)</f>
        <v>8.72E-2</v>
      </c>
    </row>
    <row r="518" spans="1:17">
      <c r="A518">
        <v>13</v>
      </c>
      <c r="B518">
        <v>0</v>
      </c>
      <c r="C518">
        <v>0</v>
      </c>
      <c r="D518">
        <v>35.4</v>
      </c>
      <c r="E518">
        <v>0</v>
      </c>
      <c r="F518">
        <v>0</v>
      </c>
      <c r="G518">
        <v>0</v>
      </c>
      <c r="H518">
        <v>31.25</v>
      </c>
      <c r="I518">
        <v>7.8200000000000006E-2</v>
      </c>
      <c r="J518">
        <v>32.31</v>
      </c>
      <c r="K518">
        <v>0</v>
      </c>
      <c r="L518">
        <v>4.1599999999999998E-2</v>
      </c>
      <c r="M518">
        <v>0.11119999999999999</v>
      </c>
      <c r="N518">
        <v>99.191100000000006</v>
      </c>
      <c r="O518" t="s">
        <v>253</v>
      </c>
      <c r="P518" t="s">
        <v>44</v>
      </c>
      <c r="Q518">
        <f>I518-(K518*Standards!$I$15)</f>
        <v>7.8200000000000006E-2</v>
      </c>
    </row>
    <row r="519" spans="1:17">
      <c r="A519">
        <v>11</v>
      </c>
      <c r="B519">
        <v>0</v>
      </c>
      <c r="C519">
        <v>0</v>
      </c>
      <c r="D519">
        <v>35.54</v>
      </c>
      <c r="E519">
        <v>0</v>
      </c>
      <c r="F519">
        <v>0</v>
      </c>
      <c r="G519">
        <v>0</v>
      </c>
      <c r="H519">
        <v>30.91</v>
      </c>
      <c r="I519">
        <v>5.9499999999999997E-2</v>
      </c>
      <c r="J519">
        <v>31.86</v>
      </c>
      <c r="K519">
        <v>0</v>
      </c>
      <c r="L519">
        <v>0.14050000000000001</v>
      </c>
      <c r="M519">
        <v>0.1176</v>
      </c>
      <c r="N519">
        <v>98.627700000000004</v>
      </c>
      <c r="O519" t="s">
        <v>253</v>
      </c>
      <c r="P519" t="s">
        <v>44</v>
      </c>
      <c r="Q519">
        <f>I519-(K519*Standards!$I$15)</f>
        <v>5.9499999999999997E-2</v>
      </c>
    </row>
    <row r="520" spans="1:17">
      <c r="A520">
        <v>19</v>
      </c>
      <c r="B520">
        <v>0</v>
      </c>
      <c r="C520">
        <v>0</v>
      </c>
      <c r="D520">
        <v>34.89</v>
      </c>
      <c r="E520">
        <v>2.0999999999999999E-3</v>
      </c>
      <c r="F520">
        <v>0</v>
      </c>
      <c r="G520">
        <v>0</v>
      </c>
      <c r="H520">
        <v>30.54</v>
      </c>
      <c r="I520">
        <v>5.6500000000000002E-2</v>
      </c>
      <c r="J520">
        <v>32.74</v>
      </c>
      <c r="K520">
        <v>0</v>
      </c>
      <c r="L520">
        <v>0.38080000000000003</v>
      </c>
      <c r="M520">
        <v>0.10539999999999999</v>
      </c>
      <c r="N520">
        <v>98.7149</v>
      </c>
      <c r="O520" t="s">
        <v>253</v>
      </c>
      <c r="P520" t="s">
        <v>44</v>
      </c>
      <c r="Q520">
        <f>I520-(K520*Standards!$I$15)</f>
        <v>5.6500000000000002E-2</v>
      </c>
    </row>
    <row r="521" spans="1:17">
      <c r="A521">
        <v>18</v>
      </c>
      <c r="B521">
        <v>0</v>
      </c>
      <c r="C521">
        <v>0</v>
      </c>
      <c r="D521">
        <v>35.130000000000003</v>
      </c>
      <c r="E521">
        <v>0</v>
      </c>
      <c r="F521">
        <v>0</v>
      </c>
      <c r="G521">
        <v>0</v>
      </c>
      <c r="H521">
        <v>30.74</v>
      </c>
      <c r="I521">
        <v>5.5399999999999998E-2</v>
      </c>
      <c r="J521">
        <v>33</v>
      </c>
      <c r="K521">
        <v>0</v>
      </c>
      <c r="L521">
        <v>0.12709999999999999</v>
      </c>
      <c r="M521">
        <v>0.13830000000000001</v>
      </c>
      <c r="N521">
        <v>99.190799999999996</v>
      </c>
      <c r="O521" t="s">
        <v>253</v>
      </c>
      <c r="P521" t="s">
        <v>44</v>
      </c>
      <c r="Q521">
        <f>I521-(K521*Standards!$I$15)</f>
        <v>5.5399999999999998E-2</v>
      </c>
    </row>
    <row r="522" spans="1:17">
      <c r="A522">
        <v>53</v>
      </c>
      <c r="B522">
        <v>0</v>
      </c>
      <c r="C522">
        <v>0</v>
      </c>
      <c r="D522">
        <v>35.4</v>
      </c>
      <c r="E522">
        <v>2.0999999999999999E-3</v>
      </c>
      <c r="F522">
        <v>0</v>
      </c>
      <c r="G522">
        <v>0</v>
      </c>
      <c r="H522">
        <v>33.58</v>
      </c>
      <c r="I522">
        <v>1.2800000000000001E-2</v>
      </c>
      <c r="J522">
        <v>35.47</v>
      </c>
      <c r="K522">
        <v>0</v>
      </c>
      <c r="L522">
        <v>8.6E-3</v>
      </c>
      <c r="M522">
        <v>0.14749999999999999</v>
      </c>
      <c r="N522">
        <v>104.62090000000001</v>
      </c>
      <c r="O522" t="s">
        <v>254</v>
      </c>
      <c r="P522" t="s">
        <v>185</v>
      </c>
      <c r="Q522">
        <f>I522-(K522*Standards!$I$15)</f>
        <v>1.2800000000000001E-2</v>
      </c>
    </row>
    <row r="523" spans="1:17">
      <c r="A523">
        <v>54</v>
      </c>
      <c r="B523">
        <v>3.0000000000000001E-3</v>
      </c>
      <c r="C523">
        <v>0</v>
      </c>
      <c r="D523">
        <v>35.18</v>
      </c>
      <c r="E523">
        <v>6.8999999999999999E-3</v>
      </c>
      <c r="F523">
        <v>0</v>
      </c>
      <c r="G523">
        <v>0</v>
      </c>
      <c r="H523">
        <v>33.729999999999997</v>
      </c>
      <c r="I523">
        <v>8.3999999999999995E-3</v>
      </c>
      <c r="J523">
        <v>35.42</v>
      </c>
      <c r="K523">
        <v>0</v>
      </c>
      <c r="L523">
        <v>2.35E-2</v>
      </c>
      <c r="M523">
        <v>0.13639999999999999</v>
      </c>
      <c r="N523">
        <v>104.5081</v>
      </c>
      <c r="O523" t="s">
        <v>254</v>
      </c>
      <c r="P523" t="s">
        <v>185</v>
      </c>
      <c r="Q523">
        <f>I523-(K523*Standards!$I$15)</f>
        <v>8.3999999999999995E-3</v>
      </c>
    </row>
    <row r="524" spans="1:17">
      <c r="A524">
        <v>48</v>
      </c>
      <c r="B524">
        <v>0</v>
      </c>
      <c r="C524">
        <v>0</v>
      </c>
      <c r="D524">
        <v>35.26</v>
      </c>
      <c r="E524">
        <v>1.1900000000000001E-2</v>
      </c>
      <c r="F524">
        <v>0</v>
      </c>
      <c r="G524">
        <v>0</v>
      </c>
      <c r="H524">
        <v>33.79</v>
      </c>
      <c r="I524">
        <v>1.0699999999999999E-2</v>
      </c>
      <c r="J524">
        <v>35.36</v>
      </c>
      <c r="K524">
        <v>0</v>
      </c>
      <c r="L524">
        <v>1.4200000000000001E-2</v>
      </c>
      <c r="M524">
        <v>0.15260000000000001</v>
      </c>
      <c r="N524">
        <v>104.5993</v>
      </c>
      <c r="O524" t="s">
        <v>254</v>
      </c>
      <c r="P524" t="s">
        <v>185</v>
      </c>
      <c r="Q524">
        <f>I524-(K524*Standards!$I$15)</f>
        <v>1.0699999999999999E-2</v>
      </c>
    </row>
    <row r="525" spans="1:17">
      <c r="A525">
        <v>46</v>
      </c>
      <c r="B525">
        <v>0</v>
      </c>
      <c r="C525">
        <v>0</v>
      </c>
      <c r="D525">
        <v>35.22</v>
      </c>
      <c r="E525">
        <v>9.2999999999999992E-3</v>
      </c>
      <c r="F525">
        <v>0</v>
      </c>
      <c r="G525">
        <v>0</v>
      </c>
      <c r="H525">
        <v>33.46</v>
      </c>
      <c r="I525">
        <v>1.55E-2</v>
      </c>
      <c r="J525">
        <v>35.35</v>
      </c>
      <c r="K525">
        <v>0</v>
      </c>
      <c r="L525">
        <v>5.8999999999999997E-2</v>
      </c>
      <c r="M525">
        <v>0.14149999999999999</v>
      </c>
      <c r="N525">
        <v>104.2552</v>
      </c>
      <c r="O525" t="s">
        <v>254</v>
      </c>
      <c r="P525" t="s">
        <v>185</v>
      </c>
      <c r="Q525">
        <f>I525-(K525*Standards!$I$15)</f>
        <v>1.55E-2</v>
      </c>
    </row>
    <row r="526" spans="1:17">
      <c r="A526">
        <v>47</v>
      </c>
      <c r="B526">
        <v>5.0000000000000001E-3</v>
      </c>
      <c r="C526">
        <v>0</v>
      </c>
      <c r="D526">
        <v>35.17</v>
      </c>
      <c r="E526">
        <v>4.5999999999999999E-3</v>
      </c>
      <c r="F526">
        <v>5.1000000000000004E-3</v>
      </c>
      <c r="G526">
        <v>0</v>
      </c>
      <c r="H526">
        <v>33.79</v>
      </c>
      <c r="I526">
        <v>1.18E-2</v>
      </c>
      <c r="J526">
        <v>35.32</v>
      </c>
      <c r="K526">
        <v>0</v>
      </c>
      <c r="L526">
        <v>4.99E-2</v>
      </c>
      <c r="M526">
        <v>0.1303</v>
      </c>
      <c r="N526">
        <v>104.4866</v>
      </c>
      <c r="O526" t="s">
        <v>254</v>
      </c>
      <c r="P526" t="s">
        <v>185</v>
      </c>
      <c r="Q526">
        <f>I526-(K526*Standards!$I$15)</f>
        <v>1.18E-2</v>
      </c>
    </row>
    <row r="527" spans="1:17">
      <c r="A527">
        <v>49</v>
      </c>
      <c r="B527">
        <v>0</v>
      </c>
      <c r="C527">
        <v>0</v>
      </c>
      <c r="D527">
        <v>35.53</v>
      </c>
      <c r="E527">
        <v>0</v>
      </c>
      <c r="F527">
        <v>0</v>
      </c>
      <c r="G527">
        <v>0</v>
      </c>
      <c r="H527">
        <v>33.18</v>
      </c>
      <c r="I527">
        <v>0.20469999999999999</v>
      </c>
      <c r="J527">
        <v>35.26</v>
      </c>
      <c r="K527">
        <v>9.5299999999999996E-2</v>
      </c>
      <c r="L527">
        <v>2.76E-2</v>
      </c>
      <c r="M527">
        <v>0.1202</v>
      </c>
      <c r="N527">
        <v>104.4177</v>
      </c>
      <c r="O527" t="s">
        <v>254</v>
      </c>
      <c r="P527" t="s">
        <v>185</v>
      </c>
      <c r="Q527">
        <f>I527-(K527*Standards!$I$15)</f>
        <v>0.20448914874999999</v>
      </c>
    </row>
    <row r="528" spans="1:17">
      <c r="A528">
        <v>52</v>
      </c>
      <c r="B528">
        <v>0</v>
      </c>
      <c r="C528">
        <v>0</v>
      </c>
      <c r="D528">
        <v>35.200000000000003</v>
      </c>
      <c r="E528">
        <v>6.8999999999999999E-3</v>
      </c>
      <c r="F528">
        <v>0</v>
      </c>
      <c r="G528">
        <v>0</v>
      </c>
      <c r="H528">
        <v>33.31</v>
      </c>
      <c r="I528">
        <v>1.3599999999999999E-2</v>
      </c>
      <c r="J528">
        <v>35.25</v>
      </c>
      <c r="K528">
        <v>0</v>
      </c>
      <c r="L528">
        <v>1.54E-2</v>
      </c>
      <c r="M528">
        <v>0.16389999999999999</v>
      </c>
      <c r="N528">
        <v>103.9598</v>
      </c>
      <c r="O528" t="s">
        <v>254</v>
      </c>
      <c r="P528" t="s">
        <v>185</v>
      </c>
      <c r="Q528">
        <f>I528-(K528*Standards!$I$15)</f>
        <v>1.3599999999999999E-2</v>
      </c>
    </row>
    <row r="529" spans="1:24">
      <c r="A529">
        <v>50</v>
      </c>
      <c r="B529">
        <v>5.4000000000000003E-3</v>
      </c>
      <c r="C529">
        <v>0</v>
      </c>
      <c r="D529">
        <v>35.299999999999997</v>
      </c>
      <c r="E529">
        <v>2.3999999999999998E-3</v>
      </c>
      <c r="F529">
        <v>0</v>
      </c>
      <c r="G529">
        <v>0</v>
      </c>
      <c r="H529">
        <v>33.46</v>
      </c>
      <c r="I529">
        <v>2.07E-2</v>
      </c>
      <c r="J529">
        <v>35.24</v>
      </c>
      <c r="K529">
        <v>0</v>
      </c>
      <c r="L529">
        <v>4.2999999999999997E-2</v>
      </c>
      <c r="M529">
        <v>0.1694</v>
      </c>
      <c r="N529">
        <v>104.2409</v>
      </c>
      <c r="O529" t="s">
        <v>254</v>
      </c>
      <c r="P529" t="s">
        <v>185</v>
      </c>
      <c r="Q529">
        <f>I529-(K529*Standards!$I$15)</f>
        <v>2.07E-2</v>
      </c>
    </row>
    <row r="530" spans="1:24">
      <c r="A530">
        <v>51</v>
      </c>
      <c r="B530">
        <v>0</v>
      </c>
      <c r="C530">
        <v>0</v>
      </c>
      <c r="D530">
        <v>35.06</v>
      </c>
      <c r="E530">
        <v>0</v>
      </c>
      <c r="F530">
        <v>0</v>
      </c>
      <c r="G530">
        <v>0</v>
      </c>
      <c r="H530">
        <v>33.07</v>
      </c>
      <c r="I530">
        <v>0.1822</v>
      </c>
      <c r="J530">
        <v>35</v>
      </c>
      <c r="K530">
        <v>0.59750000000000003</v>
      </c>
      <c r="L530">
        <v>5.6000000000000001E-2</v>
      </c>
      <c r="M530">
        <v>0.1464</v>
      </c>
      <c r="N530">
        <v>104.1121</v>
      </c>
      <c r="O530" t="s">
        <v>254</v>
      </c>
      <c r="P530" t="s">
        <v>185</v>
      </c>
      <c r="Q530">
        <f>I530-(K530*Standards!$I$15)</f>
        <v>0.18087803124999999</v>
      </c>
    </row>
    <row r="531" spans="1:24">
      <c r="A531">
        <v>4</v>
      </c>
      <c r="B531">
        <v>4.1999999999999997E-3</v>
      </c>
      <c r="C531">
        <v>0</v>
      </c>
      <c r="D531">
        <v>35.32</v>
      </c>
      <c r="E531">
        <v>1.9300000000000001E-2</v>
      </c>
      <c r="F531">
        <v>0</v>
      </c>
      <c r="G531">
        <v>0</v>
      </c>
      <c r="H531">
        <v>32.229999999999997</v>
      </c>
      <c r="I531">
        <v>4.4299999999999999E-2</v>
      </c>
      <c r="J531">
        <v>34.32</v>
      </c>
      <c r="K531">
        <v>0</v>
      </c>
      <c r="L531">
        <v>1.5699999999999999E-2</v>
      </c>
      <c r="M531">
        <v>0.1686</v>
      </c>
      <c r="N531">
        <v>102.122</v>
      </c>
      <c r="O531" t="s">
        <v>255</v>
      </c>
      <c r="P531" t="s">
        <v>187</v>
      </c>
      <c r="Q531">
        <f>I531-(K531*Standards!$I$15)</f>
        <v>4.4299999999999999E-2</v>
      </c>
      <c r="R531" t="s">
        <v>187</v>
      </c>
      <c r="S531">
        <f>COUNT(Q531:Q561)</f>
        <v>31</v>
      </c>
      <c r="T531">
        <f>MAX(L531:L561)</f>
        <v>9.6299999999999997E-2</v>
      </c>
      <c r="U531">
        <f>AVERAGE(L531:L561)</f>
        <v>3.6248387096774193E-2</v>
      </c>
      <c r="V531">
        <f>10000*MAX(Q531:Q561)</f>
        <v>685</v>
      </c>
      <c r="W531">
        <f>10000*AVERAGE(Q531:Q561)</f>
        <v>430.45161290322585</v>
      </c>
      <c r="X531">
        <f>10000*STDEV(Q531:Q561)</f>
        <v>166.75347846640301</v>
      </c>
    </row>
    <row r="532" spans="1:24">
      <c r="A532">
        <v>5</v>
      </c>
      <c r="B532">
        <v>0</v>
      </c>
      <c r="C532">
        <v>0</v>
      </c>
      <c r="D532">
        <v>35.159999999999997</v>
      </c>
      <c r="E532">
        <v>2.2100000000000002E-2</v>
      </c>
      <c r="F532">
        <v>0</v>
      </c>
      <c r="G532">
        <v>0</v>
      </c>
      <c r="H532">
        <v>31.94</v>
      </c>
      <c r="I532">
        <v>4.6399999999999997E-2</v>
      </c>
      <c r="J532">
        <v>34.03</v>
      </c>
      <c r="K532">
        <v>0</v>
      </c>
      <c r="L532">
        <v>3.7100000000000001E-2</v>
      </c>
      <c r="M532">
        <v>0.16589999999999999</v>
      </c>
      <c r="N532">
        <v>101.4015</v>
      </c>
      <c r="O532" t="s">
        <v>255</v>
      </c>
      <c r="P532" t="s">
        <v>187</v>
      </c>
      <c r="Q532">
        <f>I532-(K532*Standards!$I$15)</f>
        <v>4.6399999999999997E-2</v>
      </c>
    </row>
    <row r="533" spans="1:24">
      <c r="A533">
        <v>29</v>
      </c>
      <c r="B533">
        <v>7.7000000000000002E-3</v>
      </c>
      <c r="C533">
        <v>0</v>
      </c>
      <c r="D533">
        <v>35.17</v>
      </c>
      <c r="E533">
        <v>1.7000000000000001E-2</v>
      </c>
      <c r="F533">
        <v>0</v>
      </c>
      <c r="G533">
        <v>0</v>
      </c>
      <c r="H533">
        <v>33.1</v>
      </c>
      <c r="I533">
        <v>4.8899999999999999E-2</v>
      </c>
      <c r="J533">
        <v>35.08</v>
      </c>
      <c r="K533">
        <v>0</v>
      </c>
      <c r="L533">
        <v>4.8099999999999997E-2</v>
      </c>
      <c r="M533">
        <v>0.14149999999999999</v>
      </c>
      <c r="N533">
        <v>103.6131</v>
      </c>
      <c r="O533" t="s">
        <v>256</v>
      </c>
      <c r="P533" t="s">
        <v>187</v>
      </c>
      <c r="Q533">
        <f>I533-(K533*Standards!$I$15)</f>
        <v>4.8899999999999999E-2</v>
      </c>
    </row>
    <row r="534" spans="1:24">
      <c r="A534">
        <v>30</v>
      </c>
      <c r="B534">
        <v>0</v>
      </c>
      <c r="C534">
        <v>0</v>
      </c>
      <c r="D534">
        <v>35</v>
      </c>
      <c r="E534">
        <v>1.2699999999999999E-2</v>
      </c>
      <c r="F534">
        <v>0</v>
      </c>
      <c r="G534">
        <v>0</v>
      </c>
      <c r="H534">
        <v>33.1</v>
      </c>
      <c r="I534">
        <v>3.3500000000000002E-2</v>
      </c>
      <c r="J534">
        <v>35.049999999999997</v>
      </c>
      <c r="K534">
        <v>0</v>
      </c>
      <c r="L534">
        <v>2.2499999999999999E-2</v>
      </c>
      <c r="M534">
        <v>0.16320000000000001</v>
      </c>
      <c r="N534">
        <v>103.3818</v>
      </c>
      <c r="O534" t="s">
        <v>256</v>
      </c>
      <c r="P534" t="s">
        <v>187</v>
      </c>
      <c r="Q534">
        <f>I534-(K534*Standards!$I$15)</f>
        <v>3.3500000000000002E-2</v>
      </c>
    </row>
    <row r="535" spans="1:24">
      <c r="A535">
        <v>32</v>
      </c>
      <c r="B535">
        <v>0</v>
      </c>
      <c r="C535">
        <v>0</v>
      </c>
      <c r="D535">
        <v>35.270000000000003</v>
      </c>
      <c r="E535">
        <v>3.4299999999999997E-2</v>
      </c>
      <c r="F535">
        <v>0</v>
      </c>
      <c r="G535">
        <v>0</v>
      </c>
      <c r="H535">
        <v>33.200000000000003</v>
      </c>
      <c r="I535">
        <v>3.5799999999999998E-2</v>
      </c>
      <c r="J535">
        <v>34.880000000000003</v>
      </c>
      <c r="K535">
        <v>0</v>
      </c>
      <c r="L535">
        <v>3.7600000000000001E-2</v>
      </c>
      <c r="M535">
        <v>0.15809999999999999</v>
      </c>
      <c r="N535">
        <v>103.6157</v>
      </c>
      <c r="O535" t="s">
        <v>256</v>
      </c>
      <c r="P535" t="s">
        <v>187</v>
      </c>
      <c r="Q535">
        <f>I535-(K535*Standards!$I$15)</f>
        <v>3.5799999999999998E-2</v>
      </c>
    </row>
    <row r="536" spans="1:24">
      <c r="A536">
        <v>17</v>
      </c>
      <c r="B536">
        <v>0</v>
      </c>
      <c r="C536">
        <v>0</v>
      </c>
      <c r="D536">
        <v>35.24</v>
      </c>
      <c r="E536">
        <v>3.3000000000000002E-2</v>
      </c>
      <c r="F536">
        <v>0</v>
      </c>
      <c r="G536">
        <v>0</v>
      </c>
      <c r="H536">
        <v>32.9</v>
      </c>
      <c r="I536">
        <v>2.2599999999999999E-2</v>
      </c>
      <c r="J536">
        <v>34.770000000000003</v>
      </c>
      <c r="K536">
        <v>0</v>
      </c>
      <c r="L536">
        <v>4.0300000000000002E-2</v>
      </c>
      <c r="M536">
        <v>0.1691</v>
      </c>
      <c r="N536">
        <v>103.17489999999999</v>
      </c>
      <c r="O536" t="s">
        <v>256</v>
      </c>
      <c r="P536" t="s">
        <v>187</v>
      </c>
      <c r="Q536">
        <f>I536-(K536*Standards!$I$15)</f>
        <v>2.2599999999999999E-2</v>
      </c>
    </row>
    <row r="537" spans="1:24">
      <c r="A537">
        <v>12</v>
      </c>
      <c r="B537">
        <v>7.9000000000000008E-3</v>
      </c>
      <c r="C537">
        <v>0</v>
      </c>
      <c r="D537">
        <v>35.21</v>
      </c>
      <c r="E537">
        <v>1.83E-2</v>
      </c>
      <c r="F537">
        <v>0</v>
      </c>
      <c r="G537">
        <v>0</v>
      </c>
      <c r="H537">
        <v>32.94</v>
      </c>
      <c r="I537">
        <v>6.0199999999999997E-2</v>
      </c>
      <c r="J537">
        <v>34.72</v>
      </c>
      <c r="K537">
        <v>0</v>
      </c>
      <c r="L537">
        <v>3.04E-2</v>
      </c>
      <c r="M537">
        <v>0.1363</v>
      </c>
      <c r="N537">
        <v>103.123</v>
      </c>
      <c r="O537" t="s">
        <v>256</v>
      </c>
      <c r="P537" t="s">
        <v>187</v>
      </c>
      <c r="Q537">
        <f>I537-(K537*Standards!$I$15)</f>
        <v>6.0199999999999997E-2</v>
      </c>
    </row>
    <row r="538" spans="1:24">
      <c r="A538">
        <v>13</v>
      </c>
      <c r="B538">
        <v>0</v>
      </c>
      <c r="C538">
        <v>0</v>
      </c>
      <c r="D538">
        <v>35.22</v>
      </c>
      <c r="E538">
        <v>2.46E-2</v>
      </c>
      <c r="F538">
        <v>0</v>
      </c>
      <c r="G538">
        <v>0</v>
      </c>
      <c r="H538">
        <v>32.85</v>
      </c>
      <c r="I538">
        <v>5.4199999999999998E-2</v>
      </c>
      <c r="J538">
        <v>34.630000000000003</v>
      </c>
      <c r="K538">
        <v>0</v>
      </c>
      <c r="L538">
        <v>3.5999999999999997E-2</v>
      </c>
      <c r="M538">
        <v>0.16059999999999999</v>
      </c>
      <c r="N538">
        <v>102.97539999999999</v>
      </c>
      <c r="O538" t="s">
        <v>256</v>
      </c>
      <c r="P538" t="s">
        <v>187</v>
      </c>
      <c r="Q538">
        <f>I538-(K538*Standards!$I$15)</f>
        <v>5.4199999999999998E-2</v>
      </c>
    </row>
    <row r="539" spans="1:24">
      <c r="A539">
        <v>14</v>
      </c>
      <c r="B539">
        <v>0</v>
      </c>
      <c r="C539">
        <v>0</v>
      </c>
      <c r="D539">
        <v>35.25</v>
      </c>
      <c r="E539">
        <v>2.7099999999999999E-2</v>
      </c>
      <c r="F539">
        <v>0</v>
      </c>
      <c r="G539">
        <v>0</v>
      </c>
      <c r="H539">
        <v>32.65</v>
      </c>
      <c r="I539">
        <v>5.4300000000000001E-2</v>
      </c>
      <c r="J539">
        <v>34.549999999999997</v>
      </c>
      <c r="K539">
        <v>0</v>
      </c>
      <c r="L539">
        <v>2.8299999999999999E-2</v>
      </c>
      <c r="M539">
        <v>0.16930000000000001</v>
      </c>
      <c r="N539">
        <v>102.7289</v>
      </c>
      <c r="O539" t="s">
        <v>256</v>
      </c>
      <c r="P539" t="s">
        <v>187</v>
      </c>
      <c r="Q539">
        <f>I539-(K539*Standards!$I$15)</f>
        <v>5.4300000000000001E-2</v>
      </c>
    </row>
    <row r="540" spans="1:24">
      <c r="A540">
        <v>28</v>
      </c>
      <c r="B540">
        <v>0</v>
      </c>
      <c r="C540">
        <v>0</v>
      </c>
      <c r="D540">
        <v>35.17</v>
      </c>
      <c r="E540">
        <v>2.5700000000000001E-2</v>
      </c>
      <c r="F540">
        <v>0</v>
      </c>
      <c r="G540">
        <v>0</v>
      </c>
      <c r="H540">
        <v>33.15</v>
      </c>
      <c r="I540">
        <v>5.2200000000000003E-2</v>
      </c>
      <c r="J540">
        <v>34.54</v>
      </c>
      <c r="K540">
        <v>0</v>
      </c>
      <c r="L540">
        <v>3.6400000000000002E-2</v>
      </c>
      <c r="M540">
        <v>0.16600000000000001</v>
      </c>
      <c r="N540">
        <v>103.1403</v>
      </c>
      <c r="O540" t="s">
        <v>256</v>
      </c>
      <c r="P540" t="s">
        <v>187</v>
      </c>
      <c r="Q540">
        <f>I540-(K540*Standards!$I$15)</f>
        <v>5.2200000000000003E-2</v>
      </c>
    </row>
    <row r="541" spans="1:24">
      <c r="A541">
        <v>16</v>
      </c>
      <c r="B541">
        <v>0</v>
      </c>
      <c r="C541">
        <v>0</v>
      </c>
      <c r="D541">
        <v>35.17</v>
      </c>
      <c r="E541">
        <v>2.07E-2</v>
      </c>
      <c r="F541">
        <v>0</v>
      </c>
      <c r="G541">
        <v>0</v>
      </c>
      <c r="H541">
        <v>32.450000000000003</v>
      </c>
      <c r="I541">
        <v>3.8199999999999998E-2</v>
      </c>
      <c r="J541">
        <v>34.43</v>
      </c>
      <c r="K541">
        <v>0</v>
      </c>
      <c r="L541">
        <v>4.5499999999999999E-2</v>
      </c>
      <c r="M541">
        <v>0.1875</v>
      </c>
      <c r="N541">
        <v>102.3419</v>
      </c>
      <c r="O541" t="s">
        <v>256</v>
      </c>
      <c r="P541" t="s">
        <v>187</v>
      </c>
      <c r="Q541">
        <f>I541-(K541*Standards!$I$15)</f>
        <v>3.8199999999999998E-2</v>
      </c>
    </row>
    <row r="542" spans="1:24">
      <c r="A542">
        <v>27</v>
      </c>
      <c r="B542">
        <v>0</v>
      </c>
      <c r="C542">
        <v>0</v>
      </c>
      <c r="D542">
        <v>35.090000000000003</v>
      </c>
      <c r="E542">
        <v>1.46E-2</v>
      </c>
      <c r="F542">
        <v>0</v>
      </c>
      <c r="G542">
        <v>0</v>
      </c>
      <c r="H542">
        <v>32.54</v>
      </c>
      <c r="I542">
        <v>3.9699999999999999E-2</v>
      </c>
      <c r="J542">
        <v>34.25</v>
      </c>
      <c r="K542">
        <v>0</v>
      </c>
      <c r="L542">
        <v>5.4800000000000001E-2</v>
      </c>
      <c r="M542">
        <v>0.127</v>
      </c>
      <c r="N542">
        <v>102.1161</v>
      </c>
      <c r="O542" t="s">
        <v>256</v>
      </c>
      <c r="P542" t="s">
        <v>187</v>
      </c>
      <c r="Q542">
        <f>I542-(K542*Standards!$I$15)</f>
        <v>3.9699999999999999E-2</v>
      </c>
    </row>
    <row r="543" spans="1:24">
      <c r="A543">
        <v>15</v>
      </c>
      <c r="B543">
        <v>0</v>
      </c>
      <c r="C543">
        <v>0</v>
      </c>
      <c r="D543">
        <v>35.229999999999997</v>
      </c>
      <c r="E543">
        <v>3.5200000000000002E-2</v>
      </c>
      <c r="F543">
        <v>0</v>
      </c>
      <c r="G543">
        <v>0</v>
      </c>
      <c r="H543">
        <v>32.65</v>
      </c>
      <c r="I543">
        <v>5.16E-2</v>
      </c>
      <c r="J543">
        <v>33.79</v>
      </c>
      <c r="K543">
        <v>0</v>
      </c>
      <c r="L543">
        <v>3.6700000000000003E-2</v>
      </c>
      <c r="M543">
        <v>0.1507</v>
      </c>
      <c r="N543">
        <v>101.94410000000001</v>
      </c>
      <c r="O543" t="s">
        <v>256</v>
      </c>
      <c r="P543" t="s">
        <v>187</v>
      </c>
      <c r="Q543">
        <f>I543-(K543*Standards!$I$15)</f>
        <v>5.16E-2</v>
      </c>
    </row>
    <row r="544" spans="1:24">
      <c r="A544">
        <v>49</v>
      </c>
      <c r="B544">
        <v>0</v>
      </c>
      <c r="C544">
        <v>0</v>
      </c>
      <c r="D544">
        <v>34.99</v>
      </c>
      <c r="E544">
        <v>7.1000000000000004E-3</v>
      </c>
      <c r="F544">
        <v>0</v>
      </c>
      <c r="G544">
        <v>0</v>
      </c>
      <c r="H544">
        <v>31.01</v>
      </c>
      <c r="I544">
        <v>0</v>
      </c>
      <c r="J544">
        <v>34.71</v>
      </c>
      <c r="K544">
        <v>0</v>
      </c>
      <c r="L544">
        <v>1.7100000000000001E-2</v>
      </c>
      <c r="M544">
        <v>0.1128</v>
      </c>
      <c r="N544">
        <v>100.84690000000001</v>
      </c>
      <c r="O544" t="s">
        <v>257</v>
      </c>
      <c r="P544" t="s">
        <v>187</v>
      </c>
      <c r="Q544">
        <f>I544-(K544*Standards!$I$15)</f>
        <v>0</v>
      </c>
    </row>
    <row r="545" spans="1:17">
      <c r="A545">
        <v>59</v>
      </c>
      <c r="B545">
        <v>0</v>
      </c>
      <c r="C545">
        <v>0</v>
      </c>
      <c r="D545">
        <v>35.020000000000003</v>
      </c>
      <c r="E545">
        <v>2.46E-2</v>
      </c>
      <c r="F545">
        <v>0</v>
      </c>
      <c r="G545">
        <v>0</v>
      </c>
      <c r="H545">
        <v>30.88</v>
      </c>
      <c r="I545">
        <v>6.1600000000000002E-2</v>
      </c>
      <c r="J545">
        <v>34.590000000000003</v>
      </c>
      <c r="K545">
        <v>0</v>
      </c>
      <c r="L545">
        <v>3.4099999999999998E-2</v>
      </c>
      <c r="M545">
        <v>0.11219999999999999</v>
      </c>
      <c r="N545">
        <v>100.7225</v>
      </c>
      <c r="O545" t="s">
        <v>257</v>
      </c>
      <c r="P545" t="s">
        <v>187</v>
      </c>
      <c r="Q545">
        <f>I545-(K545*Standards!$I$15)</f>
        <v>6.1600000000000002E-2</v>
      </c>
    </row>
    <row r="546" spans="1:17">
      <c r="A546">
        <v>50</v>
      </c>
      <c r="B546">
        <v>0</v>
      </c>
      <c r="C546">
        <v>0</v>
      </c>
      <c r="D546">
        <v>34.99</v>
      </c>
      <c r="E546">
        <v>4.4999999999999997E-3</v>
      </c>
      <c r="F546">
        <v>0</v>
      </c>
      <c r="G546">
        <v>0</v>
      </c>
      <c r="H546">
        <v>31.15</v>
      </c>
      <c r="I546">
        <v>2.7000000000000001E-3</v>
      </c>
      <c r="J546">
        <v>34.57</v>
      </c>
      <c r="K546">
        <v>0</v>
      </c>
      <c r="L546">
        <v>2.24E-2</v>
      </c>
      <c r="M546">
        <v>0.12590000000000001</v>
      </c>
      <c r="N546">
        <v>100.86539999999999</v>
      </c>
      <c r="O546" t="s">
        <v>257</v>
      </c>
      <c r="P546" t="s">
        <v>187</v>
      </c>
      <c r="Q546">
        <f>I546-(K546*Standards!$I$15)</f>
        <v>2.7000000000000001E-3</v>
      </c>
    </row>
    <row r="547" spans="1:17">
      <c r="A547">
        <v>77</v>
      </c>
      <c r="B547">
        <v>0</v>
      </c>
      <c r="C547">
        <v>0</v>
      </c>
      <c r="D547">
        <v>35.11</v>
      </c>
      <c r="E547">
        <v>2.2700000000000001E-2</v>
      </c>
      <c r="F547">
        <v>0</v>
      </c>
      <c r="G547">
        <v>3.3E-3</v>
      </c>
      <c r="H547">
        <v>30.59</v>
      </c>
      <c r="I547">
        <v>4.2299999999999997E-2</v>
      </c>
      <c r="J547">
        <v>34.51</v>
      </c>
      <c r="K547">
        <v>0</v>
      </c>
      <c r="L547">
        <v>3.5900000000000001E-2</v>
      </c>
      <c r="M547">
        <v>0.11070000000000001</v>
      </c>
      <c r="N547">
        <v>100.4248</v>
      </c>
      <c r="O547" t="s">
        <v>257</v>
      </c>
      <c r="P547" t="s">
        <v>187</v>
      </c>
      <c r="Q547">
        <f>I547-(K547*Standards!$I$15)</f>
        <v>4.2299999999999997E-2</v>
      </c>
    </row>
    <row r="548" spans="1:17">
      <c r="A548">
        <v>61</v>
      </c>
      <c r="B548">
        <v>0</v>
      </c>
      <c r="C548">
        <v>0</v>
      </c>
      <c r="D548">
        <v>35.04</v>
      </c>
      <c r="E548">
        <v>9.4999999999999998E-3</v>
      </c>
      <c r="F548">
        <v>0</v>
      </c>
      <c r="G548">
        <v>2.8999999999999998E-3</v>
      </c>
      <c r="H548">
        <v>30.94</v>
      </c>
      <c r="I548">
        <v>6.5100000000000005E-2</v>
      </c>
      <c r="J548">
        <v>34.5</v>
      </c>
      <c r="K548">
        <v>0</v>
      </c>
      <c r="L548">
        <v>3.6900000000000002E-2</v>
      </c>
      <c r="M548">
        <v>0.12540000000000001</v>
      </c>
      <c r="N548">
        <v>100.7197</v>
      </c>
      <c r="O548" t="s">
        <v>257</v>
      </c>
      <c r="P548" t="s">
        <v>187</v>
      </c>
      <c r="Q548">
        <f>I548-(K548*Standards!$I$15)</f>
        <v>6.5100000000000005E-2</v>
      </c>
    </row>
    <row r="549" spans="1:17">
      <c r="A549">
        <v>79</v>
      </c>
      <c r="B549">
        <v>0</v>
      </c>
      <c r="C549">
        <v>0</v>
      </c>
      <c r="D549">
        <v>35.369999999999997</v>
      </c>
      <c r="E549">
        <v>1.2200000000000001E-2</v>
      </c>
      <c r="F549">
        <v>0</v>
      </c>
      <c r="G549">
        <v>0</v>
      </c>
      <c r="H549">
        <v>30.8</v>
      </c>
      <c r="I549">
        <v>4.1300000000000003E-2</v>
      </c>
      <c r="J549">
        <v>34.5</v>
      </c>
      <c r="K549">
        <v>0</v>
      </c>
      <c r="L549">
        <v>6.6E-3</v>
      </c>
      <c r="M549">
        <v>0.10639999999999999</v>
      </c>
      <c r="N549">
        <v>100.8364</v>
      </c>
      <c r="O549" t="s">
        <v>257</v>
      </c>
      <c r="P549" t="s">
        <v>187</v>
      </c>
      <c r="Q549">
        <f>I549-(K549*Standards!$I$15)</f>
        <v>4.1300000000000003E-2</v>
      </c>
    </row>
    <row r="550" spans="1:17">
      <c r="A550">
        <v>53</v>
      </c>
      <c r="B550">
        <v>0</v>
      </c>
      <c r="C550">
        <v>0</v>
      </c>
      <c r="D550">
        <v>34.97</v>
      </c>
      <c r="E550">
        <v>2.0899999999999998E-2</v>
      </c>
      <c r="F550">
        <v>0</v>
      </c>
      <c r="G550">
        <v>0</v>
      </c>
      <c r="H550">
        <v>30.98</v>
      </c>
      <c r="I550">
        <v>2.2499999999999999E-2</v>
      </c>
      <c r="J550">
        <v>34.479999999999997</v>
      </c>
      <c r="K550">
        <v>0</v>
      </c>
      <c r="L550">
        <v>4.0800000000000003E-2</v>
      </c>
      <c r="M550">
        <v>0.11509999999999999</v>
      </c>
      <c r="N550">
        <v>100.6292</v>
      </c>
      <c r="O550" t="s">
        <v>257</v>
      </c>
      <c r="P550" t="s">
        <v>187</v>
      </c>
      <c r="Q550">
        <f>I550-(K550*Standards!$I$15)</f>
        <v>2.2499999999999999E-2</v>
      </c>
    </row>
    <row r="551" spans="1:17">
      <c r="A551">
        <v>52</v>
      </c>
      <c r="B551">
        <v>0</v>
      </c>
      <c r="C551">
        <v>0</v>
      </c>
      <c r="D551">
        <v>35.03</v>
      </c>
      <c r="E551">
        <v>1.5599999999999999E-2</v>
      </c>
      <c r="F551">
        <v>0</v>
      </c>
      <c r="G551">
        <v>0</v>
      </c>
      <c r="H551">
        <v>31.06</v>
      </c>
      <c r="I551">
        <v>2.29E-2</v>
      </c>
      <c r="J551">
        <v>34.46</v>
      </c>
      <c r="K551">
        <v>0</v>
      </c>
      <c r="L551">
        <v>2.47E-2</v>
      </c>
      <c r="M551">
        <v>0.1052</v>
      </c>
      <c r="N551">
        <v>100.7183</v>
      </c>
      <c r="O551" t="s">
        <v>257</v>
      </c>
      <c r="P551" t="s">
        <v>187</v>
      </c>
      <c r="Q551">
        <f>I551-(K551*Standards!$I$15)</f>
        <v>2.29E-2</v>
      </c>
    </row>
    <row r="552" spans="1:17">
      <c r="A552">
        <v>63</v>
      </c>
      <c r="B552">
        <v>1E-3</v>
      </c>
      <c r="C552">
        <v>0</v>
      </c>
      <c r="D552">
        <v>35.090000000000003</v>
      </c>
      <c r="E552">
        <v>7.1999999999999998E-3</v>
      </c>
      <c r="F552">
        <v>0</v>
      </c>
      <c r="G552">
        <v>0</v>
      </c>
      <c r="H552">
        <v>31.22</v>
      </c>
      <c r="I552">
        <v>6.2600000000000003E-2</v>
      </c>
      <c r="J552">
        <v>34.450000000000003</v>
      </c>
      <c r="K552">
        <v>0</v>
      </c>
      <c r="L552">
        <v>2.7199999999999998E-2</v>
      </c>
      <c r="M552">
        <v>0.13</v>
      </c>
      <c r="N552">
        <v>100.9879</v>
      </c>
      <c r="O552" t="s">
        <v>257</v>
      </c>
      <c r="P552" t="s">
        <v>187</v>
      </c>
      <c r="Q552">
        <f>I552-(K552*Standards!$I$15)</f>
        <v>6.2600000000000003E-2</v>
      </c>
    </row>
    <row r="553" spans="1:17">
      <c r="A553">
        <v>78</v>
      </c>
      <c r="B553">
        <v>0</v>
      </c>
      <c r="C553">
        <v>0</v>
      </c>
      <c r="D553">
        <v>34.979999999999997</v>
      </c>
      <c r="E553">
        <v>1.4999999999999999E-2</v>
      </c>
      <c r="F553">
        <v>0</v>
      </c>
      <c r="G553">
        <v>0</v>
      </c>
      <c r="H553">
        <v>30.93</v>
      </c>
      <c r="I553">
        <v>3.9600000000000003E-2</v>
      </c>
      <c r="J553">
        <v>34.409999999999997</v>
      </c>
      <c r="K553">
        <v>0</v>
      </c>
      <c r="L553">
        <v>9.6299999999999997E-2</v>
      </c>
      <c r="M553">
        <v>0.1152</v>
      </c>
      <c r="N553">
        <v>100.586</v>
      </c>
      <c r="O553" t="s">
        <v>257</v>
      </c>
      <c r="P553" t="s">
        <v>187</v>
      </c>
      <c r="Q553">
        <f>I553-(K553*Standards!$I$15)</f>
        <v>3.9600000000000003E-2</v>
      </c>
    </row>
    <row r="554" spans="1:17">
      <c r="A554">
        <v>62</v>
      </c>
      <c r="B554">
        <v>0</v>
      </c>
      <c r="C554">
        <v>0</v>
      </c>
      <c r="D554">
        <v>35.369999999999997</v>
      </c>
      <c r="E554">
        <v>2.1299999999999999E-2</v>
      </c>
      <c r="F554">
        <v>0</v>
      </c>
      <c r="G554">
        <v>0</v>
      </c>
      <c r="H554">
        <v>31.22</v>
      </c>
      <c r="I554">
        <v>5.6800000000000003E-2</v>
      </c>
      <c r="J554">
        <v>34.409999999999997</v>
      </c>
      <c r="K554">
        <v>0</v>
      </c>
      <c r="L554">
        <v>2.7099999999999999E-2</v>
      </c>
      <c r="M554">
        <v>0.14649999999999999</v>
      </c>
      <c r="N554">
        <v>101.2516</v>
      </c>
      <c r="O554" t="s">
        <v>257</v>
      </c>
      <c r="P554" t="s">
        <v>187</v>
      </c>
      <c r="Q554">
        <f>I554-(K554*Standards!$I$15)</f>
        <v>5.6800000000000003E-2</v>
      </c>
    </row>
    <row r="555" spans="1:17">
      <c r="A555">
        <v>51</v>
      </c>
      <c r="B555">
        <v>0</v>
      </c>
      <c r="C555">
        <v>0</v>
      </c>
      <c r="D555">
        <v>35.130000000000003</v>
      </c>
      <c r="E555">
        <v>1.0999999999999999E-2</v>
      </c>
      <c r="F555">
        <v>0</v>
      </c>
      <c r="G555">
        <v>0</v>
      </c>
      <c r="H555">
        <v>31.03</v>
      </c>
      <c r="I555">
        <v>3.32E-2</v>
      </c>
      <c r="J555">
        <v>34.380000000000003</v>
      </c>
      <c r="K555">
        <v>0</v>
      </c>
      <c r="L555">
        <v>2.92E-2</v>
      </c>
      <c r="M555">
        <v>0.125</v>
      </c>
      <c r="N555">
        <v>100.7384</v>
      </c>
      <c r="O555" t="s">
        <v>257</v>
      </c>
      <c r="P555" t="s">
        <v>187</v>
      </c>
      <c r="Q555">
        <f>I555-(K555*Standards!$I$15)</f>
        <v>3.32E-2</v>
      </c>
    </row>
    <row r="556" spans="1:17">
      <c r="A556">
        <v>57</v>
      </c>
      <c r="B556">
        <v>0</v>
      </c>
      <c r="C556">
        <v>0</v>
      </c>
      <c r="D556">
        <v>34.99</v>
      </c>
      <c r="E556">
        <v>8.5000000000000006E-3</v>
      </c>
      <c r="F556">
        <v>2.8E-3</v>
      </c>
      <c r="G556">
        <v>0</v>
      </c>
      <c r="H556">
        <v>31.3</v>
      </c>
      <c r="I556">
        <v>4.1599999999999998E-2</v>
      </c>
      <c r="J556">
        <v>34.369999999999997</v>
      </c>
      <c r="K556">
        <v>0</v>
      </c>
      <c r="L556">
        <v>3.3399999999999999E-2</v>
      </c>
      <c r="M556">
        <v>0.13120000000000001</v>
      </c>
      <c r="N556">
        <v>100.8775</v>
      </c>
      <c r="O556" t="s">
        <v>257</v>
      </c>
      <c r="P556" t="s">
        <v>187</v>
      </c>
      <c r="Q556">
        <f>I556-(K556*Standards!$I$15)</f>
        <v>4.1599999999999998E-2</v>
      </c>
    </row>
    <row r="557" spans="1:17">
      <c r="A557">
        <v>58</v>
      </c>
      <c r="B557">
        <v>0</v>
      </c>
      <c r="C557">
        <v>0</v>
      </c>
      <c r="D557">
        <v>35.14</v>
      </c>
      <c r="E557">
        <v>1.37E-2</v>
      </c>
      <c r="F557">
        <v>0</v>
      </c>
      <c r="G557">
        <v>0</v>
      </c>
      <c r="H557">
        <v>30.92</v>
      </c>
      <c r="I557">
        <v>5.91E-2</v>
      </c>
      <c r="J557">
        <v>34.369999999999997</v>
      </c>
      <c r="K557">
        <v>0</v>
      </c>
      <c r="L557">
        <v>1.7100000000000001E-2</v>
      </c>
      <c r="M557">
        <v>0.1338</v>
      </c>
      <c r="N557">
        <v>100.6536</v>
      </c>
      <c r="O557" t="s">
        <v>257</v>
      </c>
      <c r="P557" t="s">
        <v>187</v>
      </c>
      <c r="Q557">
        <f>I557-(K557*Standards!$I$15)</f>
        <v>5.91E-2</v>
      </c>
    </row>
    <row r="558" spans="1:17">
      <c r="A558">
        <v>60</v>
      </c>
      <c r="B558">
        <v>0</v>
      </c>
      <c r="C558">
        <v>0</v>
      </c>
      <c r="D558">
        <v>35.07</v>
      </c>
      <c r="E558">
        <v>1.0999999999999999E-2</v>
      </c>
      <c r="F558">
        <v>0</v>
      </c>
      <c r="G558">
        <v>0</v>
      </c>
      <c r="H558">
        <v>31.13</v>
      </c>
      <c r="I558">
        <v>6.8500000000000005E-2</v>
      </c>
      <c r="J558">
        <v>34.32</v>
      </c>
      <c r="K558">
        <v>0</v>
      </c>
      <c r="L558">
        <v>8.4099999999999994E-2</v>
      </c>
      <c r="M558">
        <v>0.1149</v>
      </c>
      <c r="N558">
        <v>100.7984</v>
      </c>
      <c r="O558" t="s">
        <v>257</v>
      </c>
      <c r="P558" t="s">
        <v>187</v>
      </c>
      <c r="Q558">
        <f>I558-(K558*Standards!$I$15)</f>
        <v>6.8500000000000005E-2</v>
      </c>
    </row>
    <row r="559" spans="1:17">
      <c r="A559">
        <v>55</v>
      </c>
      <c r="B559">
        <v>3.7000000000000002E-3</v>
      </c>
      <c r="C559">
        <v>0</v>
      </c>
      <c r="D559">
        <v>35.049999999999997</v>
      </c>
      <c r="E559">
        <v>3.8E-3</v>
      </c>
      <c r="F559">
        <v>0</v>
      </c>
      <c r="G559">
        <v>0</v>
      </c>
      <c r="H559">
        <v>30.88</v>
      </c>
      <c r="I559">
        <v>4.2299999999999997E-2</v>
      </c>
      <c r="J559">
        <v>34.31</v>
      </c>
      <c r="K559">
        <v>0</v>
      </c>
      <c r="L559">
        <v>5.4699999999999999E-2</v>
      </c>
      <c r="M559">
        <v>0.13239999999999999</v>
      </c>
      <c r="N559">
        <v>100.4768</v>
      </c>
      <c r="O559" t="s">
        <v>257</v>
      </c>
      <c r="P559" t="s">
        <v>187</v>
      </c>
      <c r="Q559">
        <f>I559-(K559*Standards!$I$15)</f>
        <v>4.2299999999999997E-2</v>
      </c>
    </row>
    <row r="560" spans="1:17">
      <c r="A560">
        <v>64</v>
      </c>
      <c r="B560">
        <v>0</v>
      </c>
      <c r="C560">
        <v>0</v>
      </c>
      <c r="D560">
        <v>35.049999999999997</v>
      </c>
      <c r="E560">
        <v>8.8999999999999999E-3</v>
      </c>
      <c r="F560">
        <v>0</v>
      </c>
      <c r="G560">
        <v>0</v>
      </c>
      <c r="H560">
        <v>31.02</v>
      </c>
      <c r="I560">
        <v>5.6500000000000002E-2</v>
      </c>
      <c r="J560">
        <v>34.15</v>
      </c>
      <c r="K560">
        <v>0</v>
      </c>
      <c r="L560">
        <v>4.6399999999999997E-2</v>
      </c>
      <c r="M560">
        <v>0.13930000000000001</v>
      </c>
      <c r="N560">
        <v>100.47110000000001</v>
      </c>
      <c r="O560" t="s">
        <v>257</v>
      </c>
      <c r="P560" t="s">
        <v>187</v>
      </c>
      <c r="Q560">
        <f>I560-(K560*Standards!$I$15)</f>
        <v>5.6500000000000002E-2</v>
      </c>
    </row>
    <row r="561" spans="1:24">
      <c r="A561">
        <v>56</v>
      </c>
      <c r="B561">
        <v>0</v>
      </c>
      <c r="C561">
        <v>0</v>
      </c>
      <c r="D561">
        <v>35.049999999999997</v>
      </c>
      <c r="E561">
        <v>3.2500000000000001E-2</v>
      </c>
      <c r="F561">
        <v>0</v>
      </c>
      <c r="G561">
        <v>0</v>
      </c>
      <c r="H561">
        <v>30.34</v>
      </c>
      <c r="I561">
        <v>3.39E-2</v>
      </c>
      <c r="J561">
        <v>34.1</v>
      </c>
      <c r="K561">
        <v>0</v>
      </c>
      <c r="L561">
        <v>2.0299999999999999E-2</v>
      </c>
      <c r="M561">
        <v>0.13969999999999999</v>
      </c>
      <c r="N561">
        <v>99.716499999999996</v>
      </c>
      <c r="O561" t="s">
        <v>257</v>
      </c>
      <c r="P561" t="s">
        <v>187</v>
      </c>
      <c r="Q561">
        <f>I561-(K561*Standards!$I$15)</f>
        <v>3.39E-2</v>
      </c>
    </row>
    <row r="562" spans="1:24">
      <c r="A562">
        <v>20</v>
      </c>
      <c r="B562">
        <v>0</v>
      </c>
      <c r="C562">
        <v>0</v>
      </c>
      <c r="D562">
        <v>35.909999999999997</v>
      </c>
      <c r="E562">
        <v>4.1999999999999997E-3</v>
      </c>
      <c r="F562">
        <v>0</v>
      </c>
      <c r="G562">
        <v>0</v>
      </c>
      <c r="H562">
        <v>31.06</v>
      </c>
      <c r="I562">
        <v>0</v>
      </c>
      <c r="J562">
        <v>33.82</v>
      </c>
      <c r="K562">
        <v>0</v>
      </c>
      <c r="L562">
        <v>0.61599999999999999</v>
      </c>
      <c r="M562">
        <v>0.1457</v>
      </c>
      <c r="N562">
        <v>101.5558</v>
      </c>
      <c r="O562" t="s">
        <v>258</v>
      </c>
      <c r="P562" t="s">
        <v>189</v>
      </c>
      <c r="Q562">
        <f>I562-(K562*Standards!$I$15)</f>
        <v>0</v>
      </c>
      <c r="R562" t="s">
        <v>189</v>
      </c>
      <c r="S562">
        <f>COUNT(Q562:Q570)</f>
        <v>9</v>
      </c>
      <c r="T562">
        <f>MAX(L562:L570)</f>
        <v>0.69069999999999998</v>
      </c>
      <c r="U562">
        <f>AVERAGE(L562:L570)</f>
        <v>0.38790000000000002</v>
      </c>
      <c r="V562">
        <f>10000*MAX(Q562:Q570)</f>
        <v>35</v>
      </c>
      <c r="W562">
        <f>10000*AVERAGE(Q562:Q570)</f>
        <v>8.4444444444444446</v>
      </c>
      <c r="X562">
        <f>10000*STDEV(Q562:Q570)</f>
        <v>11.875511684882373</v>
      </c>
    </row>
    <row r="563" spans="1:24">
      <c r="A563">
        <v>21</v>
      </c>
      <c r="B563">
        <v>8.5000000000000006E-3</v>
      </c>
      <c r="C563">
        <v>0</v>
      </c>
      <c r="D563">
        <v>35.39</v>
      </c>
      <c r="E563">
        <v>1.04E-2</v>
      </c>
      <c r="F563">
        <v>0</v>
      </c>
      <c r="G563">
        <v>0</v>
      </c>
      <c r="H563">
        <v>31.54</v>
      </c>
      <c r="I563">
        <v>3.5000000000000001E-3</v>
      </c>
      <c r="J563">
        <v>33.409999999999997</v>
      </c>
      <c r="K563">
        <v>0</v>
      </c>
      <c r="L563">
        <v>0.6431</v>
      </c>
      <c r="M563">
        <v>0.1454</v>
      </c>
      <c r="N563">
        <v>101.1508</v>
      </c>
      <c r="O563" t="s">
        <v>258</v>
      </c>
      <c r="P563" t="s">
        <v>189</v>
      </c>
      <c r="Q563">
        <f>I563-(K563*Standards!$I$15)</f>
        <v>3.5000000000000001E-3</v>
      </c>
    </row>
    <row r="564" spans="1:24">
      <c r="A564">
        <v>22</v>
      </c>
      <c r="B564">
        <v>7.0000000000000001E-3</v>
      </c>
      <c r="C564">
        <v>0</v>
      </c>
      <c r="D564">
        <v>35.44</v>
      </c>
      <c r="E564">
        <v>0</v>
      </c>
      <c r="F564">
        <v>0</v>
      </c>
      <c r="G564">
        <v>0</v>
      </c>
      <c r="H564">
        <v>31.28</v>
      </c>
      <c r="I564">
        <v>1.1999999999999999E-3</v>
      </c>
      <c r="J564">
        <v>33.68</v>
      </c>
      <c r="K564">
        <v>0</v>
      </c>
      <c r="L564">
        <v>0.69069999999999998</v>
      </c>
      <c r="M564">
        <v>0.14399999999999999</v>
      </c>
      <c r="N564">
        <v>101.2428</v>
      </c>
      <c r="O564" t="s">
        <v>258</v>
      </c>
      <c r="P564" t="s">
        <v>189</v>
      </c>
      <c r="Q564">
        <f>I564-(K564*Standards!$I$15)</f>
        <v>1.1999999999999999E-3</v>
      </c>
    </row>
    <row r="565" spans="1:24">
      <c r="A565">
        <v>25</v>
      </c>
      <c r="B565">
        <v>5.8999999999999999E-3</v>
      </c>
      <c r="C565">
        <v>0</v>
      </c>
      <c r="D565">
        <v>35.36</v>
      </c>
      <c r="E565">
        <v>0</v>
      </c>
      <c r="F565">
        <v>0</v>
      </c>
      <c r="G565">
        <v>0</v>
      </c>
      <c r="H565">
        <v>31.27</v>
      </c>
      <c r="I565">
        <v>0</v>
      </c>
      <c r="J565">
        <v>34.090000000000003</v>
      </c>
      <c r="K565">
        <v>0</v>
      </c>
      <c r="L565">
        <v>0.19370000000000001</v>
      </c>
      <c r="M565">
        <v>0.15609999999999999</v>
      </c>
      <c r="N565">
        <v>101.0757</v>
      </c>
      <c r="O565" t="s">
        <v>258</v>
      </c>
      <c r="P565" t="s">
        <v>189</v>
      </c>
      <c r="Q565">
        <f>I565-(K565*Standards!$I$15)</f>
        <v>0</v>
      </c>
    </row>
    <row r="566" spans="1:24">
      <c r="A566">
        <v>26</v>
      </c>
      <c r="B566">
        <v>1.29E-2</v>
      </c>
      <c r="C566">
        <v>0</v>
      </c>
      <c r="D566">
        <v>35.51</v>
      </c>
      <c r="E566">
        <v>0</v>
      </c>
      <c r="F566">
        <v>0</v>
      </c>
      <c r="G566">
        <v>0</v>
      </c>
      <c r="H566">
        <v>31.4</v>
      </c>
      <c r="I566">
        <v>0</v>
      </c>
      <c r="J566">
        <v>33.85</v>
      </c>
      <c r="K566">
        <v>0</v>
      </c>
      <c r="L566">
        <v>0.23930000000000001</v>
      </c>
      <c r="M566">
        <v>0.1208</v>
      </c>
      <c r="N566">
        <v>101.13290000000001</v>
      </c>
      <c r="O566" t="s">
        <v>258</v>
      </c>
      <c r="P566" t="s">
        <v>189</v>
      </c>
      <c r="Q566">
        <f>I566-(K566*Standards!$I$15)</f>
        <v>0</v>
      </c>
    </row>
    <row r="567" spans="1:24">
      <c r="A567">
        <v>27</v>
      </c>
      <c r="B567">
        <v>1.2200000000000001E-2</v>
      </c>
      <c r="C567">
        <v>0</v>
      </c>
      <c r="D567">
        <v>35.270000000000003</v>
      </c>
      <c r="E567">
        <v>6.0000000000000001E-3</v>
      </c>
      <c r="F567">
        <v>0</v>
      </c>
      <c r="G567">
        <v>0</v>
      </c>
      <c r="H567">
        <v>30.94</v>
      </c>
      <c r="I567">
        <v>1E-4</v>
      </c>
      <c r="J567">
        <v>33.76</v>
      </c>
      <c r="K567">
        <v>0</v>
      </c>
      <c r="L567">
        <v>0.2341</v>
      </c>
      <c r="M567">
        <v>0.125</v>
      </c>
      <c r="N567">
        <v>100.3473</v>
      </c>
      <c r="O567" t="s">
        <v>258</v>
      </c>
      <c r="P567" t="s">
        <v>189</v>
      </c>
      <c r="Q567">
        <f>I567-(K567*Standards!$I$15)</f>
        <v>1E-4</v>
      </c>
    </row>
    <row r="568" spans="1:24">
      <c r="A568">
        <v>28</v>
      </c>
      <c r="B568">
        <v>1.38E-2</v>
      </c>
      <c r="C568">
        <v>0</v>
      </c>
      <c r="D568">
        <v>35.42</v>
      </c>
      <c r="E568">
        <v>4.7000000000000002E-3</v>
      </c>
      <c r="F568">
        <v>0</v>
      </c>
      <c r="G568">
        <v>0</v>
      </c>
      <c r="H568">
        <v>30.84</v>
      </c>
      <c r="I568">
        <v>0</v>
      </c>
      <c r="J568">
        <v>34.25</v>
      </c>
      <c r="K568">
        <v>0</v>
      </c>
      <c r="L568">
        <v>0.30449999999999999</v>
      </c>
      <c r="M568">
        <v>0.1522</v>
      </c>
      <c r="N568">
        <v>100.9851</v>
      </c>
      <c r="O568" t="s">
        <v>258</v>
      </c>
      <c r="P568" t="s">
        <v>189</v>
      </c>
      <c r="Q568">
        <f>I568-(K568*Standards!$I$15)</f>
        <v>0</v>
      </c>
    </row>
    <row r="569" spans="1:24">
      <c r="A569">
        <v>29</v>
      </c>
      <c r="B569">
        <v>2.5999999999999999E-3</v>
      </c>
      <c r="C569">
        <v>0</v>
      </c>
      <c r="D569">
        <v>35.369999999999997</v>
      </c>
      <c r="E569">
        <v>1.1000000000000001E-3</v>
      </c>
      <c r="F569">
        <v>0</v>
      </c>
      <c r="G569">
        <v>0</v>
      </c>
      <c r="H569">
        <v>30.98</v>
      </c>
      <c r="I569">
        <v>1.1999999999999999E-3</v>
      </c>
      <c r="J569">
        <v>34.14</v>
      </c>
      <c r="K569">
        <v>0</v>
      </c>
      <c r="L569">
        <v>0.27350000000000002</v>
      </c>
      <c r="M569">
        <v>0.1353</v>
      </c>
      <c r="N569">
        <v>100.9036</v>
      </c>
      <c r="O569" t="s">
        <v>258</v>
      </c>
      <c r="P569" t="s">
        <v>189</v>
      </c>
      <c r="Q569">
        <f>I569-(K569*Standards!$I$15)</f>
        <v>1.1999999999999999E-3</v>
      </c>
    </row>
    <row r="570" spans="1:24">
      <c r="A570">
        <v>30</v>
      </c>
      <c r="B570">
        <v>0</v>
      </c>
      <c r="C570">
        <v>0</v>
      </c>
      <c r="D570">
        <v>35.56</v>
      </c>
      <c r="E570">
        <v>3.8999999999999998E-3</v>
      </c>
      <c r="F570">
        <v>5.7000000000000002E-3</v>
      </c>
      <c r="G570">
        <v>0</v>
      </c>
      <c r="H570">
        <v>31</v>
      </c>
      <c r="I570">
        <v>1.6000000000000001E-3</v>
      </c>
      <c r="J570">
        <v>34.1</v>
      </c>
      <c r="K570">
        <v>0</v>
      </c>
      <c r="L570">
        <v>0.29620000000000002</v>
      </c>
      <c r="M570">
        <v>0.13739999999999999</v>
      </c>
      <c r="N570">
        <v>101.10469999999999</v>
      </c>
      <c r="O570" t="s">
        <v>258</v>
      </c>
      <c r="P570" t="s">
        <v>189</v>
      </c>
      <c r="Q570">
        <f>I570-(K570*Standards!$I$15)</f>
        <v>1.6000000000000001E-3</v>
      </c>
    </row>
    <row r="571" spans="1:24">
      <c r="A571">
        <v>99</v>
      </c>
      <c r="B571">
        <v>0</v>
      </c>
      <c r="C571">
        <v>0</v>
      </c>
      <c r="D571">
        <v>35.380000000000003</v>
      </c>
      <c r="E571">
        <v>1.24E-2</v>
      </c>
      <c r="F571">
        <v>0</v>
      </c>
      <c r="G571">
        <v>1.2999999999999999E-3</v>
      </c>
      <c r="H571">
        <v>30.95</v>
      </c>
      <c r="I571">
        <v>1.06E-2</v>
      </c>
      <c r="J571">
        <v>34.130000000000003</v>
      </c>
      <c r="K571">
        <v>0</v>
      </c>
      <c r="L571">
        <v>1.9900000000000001E-2</v>
      </c>
      <c r="M571">
        <v>0.1087</v>
      </c>
      <c r="N571">
        <v>100.61279999999999</v>
      </c>
      <c r="O571" t="s">
        <v>259</v>
      </c>
      <c r="P571" t="s">
        <v>71</v>
      </c>
      <c r="Q571">
        <f>I571-(K571*Standards!$I$15)</f>
        <v>1.06E-2</v>
      </c>
    </row>
    <row r="572" spans="1:24">
      <c r="A572">
        <v>100</v>
      </c>
      <c r="B572">
        <v>0</v>
      </c>
      <c r="C572">
        <v>0</v>
      </c>
      <c r="D572">
        <v>35.4</v>
      </c>
      <c r="E572">
        <v>9.2999999999999992E-3</v>
      </c>
      <c r="F572">
        <v>0</v>
      </c>
      <c r="G572">
        <v>0</v>
      </c>
      <c r="H572">
        <v>30.88</v>
      </c>
      <c r="I572">
        <v>3.3999999999999998E-3</v>
      </c>
      <c r="J572">
        <v>34.07</v>
      </c>
      <c r="K572">
        <v>0</v>
      </c>
      <c r="L572">
        <v>2.5999999999999999E-2</v>
      </c>
      <c r="M572">
        <v>0.1066</v>
      </c>
      <c r="N572">
        <v>100.4952</v>
      </c>
      <c r="O572" t="s">
        <v>259</v>
      </c>
      <c r="P572" t="s">
        <v>71</v>
      </c>
      <c r="Q572">
        <f>I572-(K572*Standards!$I$15)</f>
        <v>3.3999999999999998E-3</v>
      </c>
    </row>
    <row r="573" spans="1:24">
      <c r="A573">
        <v>101</v>
      </c>
      <c r="B573">
        <v>0</v>
      </c>
      <c r="C573">
        <v>0</v>
      </c>
      <c r="D573">
        <v>35.17</v>
      </c>
      <c r="E573">
        <v>2.7099999999999999E-2</v>
      </c>
      <c r="F573">
        <v>0</v>
      </c>
      <c r="G573">
        <v>0</v>
      </c>
      <c r="H573">
        <v>31.14</v>
      </c>
      <c r="I573">
        <v>1.2E-2</v>
      </c>
      <c r="J573">
        <v>33.68</v>
      </c>
      <c r="K573">
        <v>0</v>
      </c>
      <c r="L573">
        <v>4.5199999999999997E-2</v>
      </c>
      <c r="M573">
        <v>0.1222</v>
      </c>
      <c r="N573">
        <v>100.1964</v>
      </c>
      <c r="O573" t="s">
        <v>259</v>
      </c>
      <c r="P573" t="s">
        <v>71</v>
      </c>
      <c r="Q573">
        <f>I573-(K573*Standards!$I$15)</f>
        <v>1.2E-2</v>
      </c>
    </row>
    <row r="574" spans="1:24">
      <c r="A574">
        <v>102</v>
      </c>
      <c r="B574">
        <v>0</v>
      </c>
      <c r="C574">
        <v>0</v>
      </c>
      <c r="D574">
        <v>35.229999999999997</v>
      </c>
      <c r="E574">
        <v>1.2200000000000001E-2</v>
      </c>
      <c r="F574">
        <v>0</v>
      </c>
      <c r="G574">
        <v>1.1000000000000001E-3</v>
      </c>
      <c r="H574">
        <v>31.15</v>
      </c>
      <c r="I574">
        <v>1.14E-2</v>
      </c>
      <c r="J574">
        <v>33.35</v>
      </c>
      <c r="K574">
        <v>0</v>
      </c>
      <c r="L574">
        <v>4.9000000000000002E-2</v>
      </c>
      <c r="M574">
        <v>0.1067</v>
      </c>
      <c r="N574">
        <v>99.910399999999996</v>
      </c>
      <c r="O574" t="s">
        <v>259</v>
      </c>
      <c r="P574" t="s">
        <v>71</v>
      </c>
      <c r="Q574">
        <f>I574-(K574*Standards!$I$15)</f>
        <v>1.14E-2</v>
      </c>
    </row>
    <row r="575" spans="1:24">
      <c r="A575">
        <v>103</v>
      </c>
      <c r="B575">
        <v>0</v>
      </c>
      <c r="C575">
        <v>0</v>
      </c>
      <c r="D575">
        <v>35.36</v>
      </c>
      <c r="E575">
        <v>1.01E-2</v>
      </c>
      <c r="F575">
        <v>0</v>
      </c>
      <c r="G575">
        <v>1.6999999999999999E-3</v>
      </c>
      <c r="H575">
        <v>31.19</v>
      </c>
      <c r="I575">
        <v>4.1999999999999997E-3</v>
      </c>
      <c r="J575">
        <v>33.69</v>
      </c>
      <c r="K575">
        <v>0</v>
      </c>
      <c r="L575">
        <v>2.0199999999999999E-2</v>
      </c>
      <c r="M575">
        <v>0.1173</v>
      </c>
      <c r="N575">
        <v>100.3935</v>
      </c>
      <c r="O575" t="s">
        <v>259</v>
      </c>
      <c r="P575" t="s">
        <v>71</v>
      </c>
      <c r="Q575">
        <f>I575-(K575*Standards!$I$15)</f>
        <v>4.1999999999999997E-3</v>
      </c>
    </row>
    <row r="576" spans="1:24">
      <c r="A576">
        <v>104</v>
      </c>
      <c r="B576">
        <v>0</v>
      </c>
      <c r="C576">
        <v>0</v>
      </c>
      <c r="D576">
        <v>35.33</v>
      </c>
      <c r="E576">
        <v>4.1999999999999997E-3</v>
      </c>
      <c r="F576">
        <v>0</v>
      </c>
      <c r="G576">
        <v>1.1000000000000001E-3</v>
      </c>
      <c r="H576">
        <v>31.15</v>
      </c>
      <c r="I576">
        <v>0</v>
      </c>
      <c r="J576">
        <v>34.06</v>
      </c>
      <c r="K576">
        <v>0</v>
      </c>
      <c r="L576">
        <v>3.78E-2</v>
      </c>
      <c r="M576">
        <v>0.1125</v>
      </c>
      <c r="N576">
        <v>100.6956</v>
      </c>
      <c r="O576" t="s">
        <v>259</v>
      </c>
      <c r="P576" t="s">
        <v>71</v>
      </c>
      <c r="Q576">
        <f>I576-(K576*Standards!$I$15)</f>
        <v>0</v>
      </c>
    </row>
    <row r="577" spans="1:17">
      <c r="A577">
        <v>105</v>
      </c>
      <c r="B577">
        <v>0</v>
      </c>
      <c r="C577">
        <v>0</v>
      </c>
      <c r="D577">
        <v>35.32</v>
      </c>
      <c r="E577">
        <v>1.8700000000000001E-2</v>
      </c>
      <c r="F577">
        <v>0</v>
      </c>
      <c r="G577">
        <v>2.5000000000000001E-3</v>
      </c>
      <c r="H577">
        <v>31.21</v>
      </c>
      <c r="I577">
        <v>7.3000000000000001E-3</v>
      </c>
      <c r="J577">
        <v>33.869999999999997</v>
      </c>
      <c r="K577">
        <v>0</v>
      </c>
      <c r="L577">
        <v>5.0200000000000002E-2</v>
      </c>
      <c r="M577">
        <v>0.11609999999999999</v>
      </c>
      <c r="N577">
        <v>100.5947</v>
      </c>
      <c r="O577" t="s">
        <v>259</v>
      </c>
      <c r="P577" t="s">
        <v>71</v>
      </c>
      <c r="Q577">
        <f>I577-(K577*Standards!$I$15)</f>
        <v>7.3000000000000001E-3</v>
      </c>
    </row>
    <row r="578" spans="1:17">
      <c r="A578">
        <v>106</v>
      </c>
      <c r="B578">
        <v>0</v>
      </c>
      <c r="C578">
        <v>0</v>
      </c>
      <c r="D578">
        <v>35.380000000000003</v>
      </c>
      <c r="E578">
        <v>0</v>
      </c>
      <c r="F578">
        <v>0</v>
      </c>
      <c r="G578">
        <v>0</v>
      </c>
      <c r="H578">
        <v>31.07</v>
      </c>
      <c r="I578">
        <v>4.5999999999999999E-3</v>
      </c>
      <c r="J578">
        <v>34</v>
      </c>
      <c r="K578">
        <v>0</v>
      </c>
      <c r="L578">
        <v>3.6499999999999998E-2</v>
      </c>
      <c r="M578">
        <v>0.11360000000000001</v>
      </c>
      <c r="N578">
        <v>100.6046</v>
      </c>
      <c r="O578" t="s">
        <v>259</v>
      </c>
      <c r="P578" t="s">
        <v>71</v>
      </c>
      <c r="Q578">
        <f>I578-(K578*Standards!$I$15)</f>
        <v>4.5999999999999999E-3</v>
      </c>
    </row>
    <row r="579" spans="1:17">
      <c r="A579">
        <v>151</v>
      </c>
      <c r="B579">
        <v>0</v>
      </c>
      <c r="C579">
        <v>0</v>
      </c>
      <c r="D579">
        <v>35.6</v>
      </c>
      <c r="E579">
        <v>2.2000000000000001E-3</v>
      </c>
      <c r="F579">
        <v>0</v>
      </c>
      <c r="G579">
        <v>0</v>
      </c>
      <c r="H579">
        <v>31.51</v>
      </c>
      <c r="I579">
        <v>4.7000000000000002E-3</v>
      </c>
      <c r="J579">
        <v>35.229999999999997</v>
      </c>
      <c r="K579">
        <v>0</v>
      </c>
      <c r="L579">
        <v>4.2799999999999998E-2</v>
      </c>
      <c r="M579">
        <v>0.15049999999999999</v>
      </c>
      <c r="N579">
        <v>102.5401</v>
      </c>
      <c r="O579">
        <v>202</v>
      </c>
      <c r="P579" t="s">
        <v>44</v>
      </c>
      <c r="Q579">
        <f>I579-(K579*Standards!$I$15)</f>
        <v>4.7000000000000002E-3</v>
      </c>
    </row>
    <row r="580" spans="1:17">
      <c r="A580">
        <v>21</v>
      </c>
      <c r="B580">
        <v>6.3E-3</v>
      </c>
      <c r="C580">
        <v>0</v>
      </c>
      <c r="D580">
        <v>35.56</v>
      </c>
      <c r="E580">
        <v>1.72E-2</v>
      </c>
      <c r="F580">
        <v>0</v>
      </c>
      <c r="G580">
        <v>0</v>
      </c>
      <c r="H580">
        <v>31.45</v>
      </c>
      <c r="I580">
        <v>1.55E-2</v>
      </c>
      <c r="J580">
        <v>35.049999999999997</v>
      </c>
      <c r="K580">
        <v>0</v>
      </c>
      <c r="L580">
        <v>4.4600000000000001E-2</v>
      </c>
      <c r="M580">
        <v>0.13780000000000001</v>
      </c>
      <c r="N580">
        <v>102.2814</v>
      </c>
      <c r="O580" t="s">
        <v>260</v>
      </c>
      <c r="P580" t="s">
        <v>44</v>
      </c>
      <c r="Q580">
        <f>I580-(K580*Standards!$I$15)</f>
        <v>1.55E-2</v>
      </c>
    </row>
    <row r="581" spans="1:17">
      <c r="A581">
        <v>35</v>
      </c>
      <c r="B581">
        <v>2.8999999999999998E-3</v>
      </c>
      <c r="C581">
        <v>0</v>
      </c>
      <c r="D581">
        <v>35.53</v>
      </c>
      <c r="E581">
        <v>1.0800000000000001E-2</v>
      </c>
      <c r="F581">
        <v>0</v>
      </c>
      <c r="G581">
        <v>0</v>
      </c>
      <c r="H581">
        <v>31.25</v>
      </c>
      <c r="I581">
        <v>3.44E-2</v>
      </c>
      <c r="J581">
        <v>34.869999999999997</v>
      </c>
      <c r="K581">
        <v>0</v>
      </c>
      <c r="L581">
        <v>0.1061</v>
      </c>
      <c r="M581">
        <v>0.15060000000000001</v>
      </c>
      <c r="N581">
        <v>101.95480000000001</v>
      </c>
      <c r="O581" t="s">
        <v>260</v>
      </c>
      <c r="P581" t="s">
        <v>44</v>
      </c>
      <c r="Q581">
        <f>I581-(K581*Standards!$I$15)</f>
        <v>3.44E-2</v>
      </c>
    </row>
    <row r="582" spans="1:17">
      <c r="A582">
        <v>142</v>
      </c>
      <c r="B582">
        <v>0</v>
      </c>
      <c r="C582">
        <v>0</v>
      </c>
      <c r="D582">
        <v>35.35</v>
      </c>
      <c r="E582">
        <v>3.2000000000000002E-3</v>
      </c>
      <c r="F582">
        <v>0</v>
      </c>
      <c r="G582">
        <v>2.9999999999999997E-4</v>
      </c>
      <c r="H582">
        <v>30.96</v>
      </c>
      <c r="I582">
        <v>4.0000000000000001E-3</v>
      </c>
      <c r="J582">
        <v>34.86</v>
      </c>
      <c r="K582">
        <v>0</v>
      </c>
      <c r="L582">
        <v>5.8299999999999998E-2</v>
      </c>
      <c r="M582">
        <v>0.15090000000000001</v>
      </c>
      <c r="N582">
        <v>101.3866</v>
      </c>
      <c r="O582" t="s">
        <v>63</v>
      </c>
      <c r="P582" t="s">
        <v>44</v>
      </c>
      <c r="Q582">
        <f>I582-(K582*Standards!$I$15)</f>
        <v>4.0000000000000001E-3</v>
      </c>
    </row>
    <row r="583" spans="1:17">
      <c r="A583">
        <v>111</v>
      </c>
      <c r="B583">
        <v>0</v>
      </c>
      <c r="C583">
        <v>0</v>
      </c>
      <c r="D583">
        <v>35.32</v>
      </c>
      <c r="E583">
        <v>1.6999999999999999E-3</v>
      </c>
      <c r="F583">
        <v>0</v>
      </c>
      <c r="G583">
        <v>0</v>
      </c>
      <c r="H583">
        <v>30.99</v>
      </c>
      <c r="I583">
        <v>8.6999999999999994E-3</v>
      </c>
      <c r="J583">
        <v>34.86</v>
      </c>
      <c r="K583">
        <v>0</v>
      </c>
      <c r="L583">
        <v>3.61E-2</v>
      </c>
      <c r="M583">
        <v>0.11459999999999999</v>
      </c>
      <c r="N583">
        <v>101.331</v>
      </c>
      <c r="O583" t="s">
        <v>63</v>
      </c>
      <c r="P583" t="s">
        <v>44</v>
      </c>
      <c r="Q583">
        <f>I583-(K583*Standards!$I$15)</f>
        <v>8.6999999999999994E-3</v>
      </c>
    </row>
    <row r="584" spans="1:17">
      <c r="A584">
        <v>2</v>
      </c>
      <c r="B584">
        <v>1.26E-2</v>
      </c>
      <c r="C584">
        <v>0</v>
      </c>
      <c r="D584">
        <v>35.35</v>
      </c>
      <c r="E584">
        <v>1.2999999999999999E-3</v>
      </c>
      <c r="F584">
        <v>0</v>
      </c>
      <c r="G584">
        <v>0</v>
      </c>
      <c r="H584">
        <v>31.3</v>
      </c>
      <c r="I584">
        <v>6.7000000000000004E-2</v>
      </c>
      <c r="J584">
        <v>34.799999999999997</v>
      </c>
      <c r="K584">
        <v>0</v>
      </c>
      <c r="L584">
        <v>4.3099999999999999E-2</v>
      </c>
      <c r="M584">
        <v>0.12089999999999999</v>
      </c>
      <c r="N584">
        <v>101.6948</v>
      </c>
      <c r="O584" t="s">
        <v>261</v>
      </c>
      <c r="P584" t="s">
        <v>44</v>
      </c>
      <c r="Q584">
        <f>I584-(K584*Standards!$I$15)</f>
        <v>6.7000000000000004E-2</v>
      </c>
    </row>
    <row r="585" spans="1:17">
      <c r="A585">
        <v>24</v>
      </c>
      <c r="B585">
        <v>1.84E-2</v>
      </c>
      <c r="C585">
        <v>0</v>
      </c>
      <c r="D585">
        <v>35.32</v>
      </c>
      <c r="E585">
        <v>9.2999999999999992E-3</v>
      </c>
      <c r="F585">
        <v>0</v>
      </c>
      <c r="G585">
        <v>4.7000000000000002E-3</v>
      </c>
      <c r="H585">
        <v>31.34</v>
      </c>
      <c r="I585">
        <v>2.1499999999999998E-2</v>
      </c>
      <c r="J585">
        <v>34.79</v>
      </c>
      <c r="K585">
        <v>0</v>
      </c>
      <c r="L585">
        <v>0.23419999999999999</v>
      </c>
      <c r="M585">
        <v>0.1469</v>
      </c>
      <c r="N585">
        <v>101.8849</v>
      </c>
      <c r="O585" t="s">
        <v>260</v>
      </c>
      <c r="P585" t="s">
        <v>44</v>
      </c>
      <c r="Q585">
        <f>I585-(K585*Standards!$I$15)</f>
        <v>2.1499999999999998E-2</v>
      </c>
    </row>
    <row r="586" spans="1:17">
      <c r="A586">
        <v>1</v>
      </c>
      <c r="B586">
        <v>2.3E-2</v>
      </c>
      <c r="C586">
        <v>0</v>
      </c>
      <c r="D586">
        <v>35.54</v>
      </c>
      <c r="E586">
        <v>1.9400000000000001E-2</v>
      </c>
      <c r="F586">
        <v>0</v>
      </c>
      <c r="G586">
        <v>0</v>
      </c>
      <c r="H586">
        <v>31.53</v>
      </c>
      <c r="I586">
        <v>3.3700000000000001E-2</v>
      </c>
      <c r="J586">
        <v>34.79</v>
      </c>
      <c r="K586">
        <v>0</v>
      </c>
      <c r="L586">
        <v>2.6599999999999999E-2</v>
      </c>
      <c r="M586">
        <v>0.16189999999999999</v>
      </c>
      <c r="N586">
        <v>102.1246</v>
      </c>
      <c r="O586" t="s">
        <v>261</v>
      </c>
      <c r="P586" t="s">
        <v>44</v>
      </c>
      <c r="Q586">
        <f>I586-(K586*Standards!$I$15)</f>
        <v>3.3700000000000001E-2</v>
      </c>
    </row>
    <row r="587" spans="1:17">
      <c r="A587">
        <v>27</v>
      </c>
      <c r="B587">
        <v>9.4000000000000004E-3</v>
      </c>
      <c r="C587">
        <v>0</v>
      </c>
      <c r="D587">
        <v>35.32</v>
      </c>
      <c r="E587">
        <v>7.6E-3</v>
      </c>
      <c r="F587">
        <v>0</v>
      </c>
      <c r="G587">
        <v>0</v>
      </c>
      <c r="H587">
        <v>31.47</v>
      </c>
      <c r="I587">
        <v>2.7300000000000001E-2</v>
      </c>
      <c r="J587">
        <v>34.78</v>
      </c>
      <c r="K587">
        <v>0</v>
      </c>
      <c r="L587">
        <v>5.4300000000000001E-2</v>
      </c>
      <c r="M587">
        <v>0.1454</v>
      </c>
      <c r="N587">
        <v>101.8139</v>
      </c>
      <c r="O587" t="s">
        <v>260</v>
      </c>
      <c r="P587" t="s">
        <v>44</v>
      </c>
      <c r="Q587">
        <f>I587-(K587*Standards!$I$15)</f>
        <v>2.7300000000000001E-2</v>
      </c>
    </row>
    <row r="588" spans="1:17">
      <c r="A588">
        <v>15</v>
      </c>
      <c r="B588">
        <v>3.1699999999999999E-2</v>
      </c>
      <c r="C588">
        <v>0</v>
      </c>
      <c r="D588">
        <v>35.369999999999997</v>
      </c>
      <c r="E588">
        <v>4.1000000000000003E-3</v>
      </c>
      <c r="F588">
        <v>0</v>
      </c>
      <c r="G588">
        <v>0</v>
      </c>
      <c r="H588">
        <v>30.82</v>
      </c>
      <c r="I588">
        <v>3.1600000000000003E-2</v>
      </c>
      <c r="J588">
        <v>34.770000000000003</v>
      </c>
      <c r="K588">
        <v>0</v>
      </c>
      <c r="L588">
        <v>4.6100000000000002E-2</v>
      </c>
      <c r="M588">
        <v>0.14130000000000001</v>
      </c>
      <c r="N588">
        <v>101.21469999999999</v>
      </c>
      <c r="O588" t="s">
        <v>260</v>
      </c>
      <c r="P588" t="s">
        <v>44</v>
      </c>
      <c r="Q588">
        <f>I588-(K588*Standards!$I$15)</f>
        <v>3.1600000000000003E-2</v>
      </c>
    </row>
    <row r="589" spans="1:17">
      <c r="A589">
        <v>23</v>
      </c>
      <c r="B589">
        <v>1.4800000000000001E-2</v>
      </c>
      <c r="C589">
        <v>0</v>
      </c>
      <c r="D589">
        <v>35.29</v>
      </c>
      <c r="E589">
        <v>0</v>
      </c>
      <c r="F589">
        <v>0</v>
      </c>
      <c r="G589">
        <v>0</v>
      </c>
      <c r="H589">
        <v>31.66</v>
      </c>
      <c r="I589">
        <v>1.2999999999999999E-2</v>
      </c>
      <c r="J589">
        <v>34.770000000000003</v>
      </c>
      <c r="K589">
        <v>0</v>
      </c>
      <c r="L589">
        <v>3.1899999999999998E-2</v>
      </c>
      <c r="M589">
        <v>0.1416</v>
      </c>
      <c r="N589">
        <v>101.9212</v>
      </c>
      <c r="O589" t="s">
        <v>260</v>
      </c>
      <c r="P589" t="s">
        <v>44</v>
      </c>
      <c r="Q589">
        <f>I589-(K589*Standards!$I$15)</f>
        <v>1.2999999999999999E-2</v>
      </c>
    </row>
    <row r="590" spans="1:17">
      <c r="A590">
        <v>31</v>
      </c>
      <c r="B590">
        <v>1.3100000000000001E-2</v>
      </c>
      <c r="C590">
        <v>0</v>
      </c>
      <c r="D590">
        <v>35.46</v>
      </c>
      <c r="E590">
        <v>2.8E-3</v>
      </c>
      <c r="F590">
        <v>0</v>
      </c>
      <c r="G590">
        <v>0</v>
      </c>
      <c r="H590">
        <v>31.21</v>
      </c>
      <c r="I590">
        <v>2.3099999999999999E-2</v>
      </c>
      <c r="J590">
        <v>34.76</v>
      </c>
      <c r="K590">
        <v>0</v>
      </c>
      <c r="L590">
        <v>2.5499999999999998E-2</v>
      </c>
      <c r="M590">
        <v>0.13020000000000001</v>
      </c>
      <c r="N590">
        <v>101.6246</v>
      </c>
      <c r="O590" t="s">
        <v>260</v>
      </c>
      <c r="P590" t="s">
        <v>44</v>
      </c>
      <c r="Q590">
        <f>I590-(K590*Standards!$I$15)</f>
        <v>2.3099999999999999E-2</v>
      </c>
    </row>
    <row r="591" spans="1:17">
      <c r="A591">
        <v>19</v>
      </c>
      <c r="B591">
        <v>4.1500000000000002E-2</v>
      </c>
      <c r="C591">
        <v>0</v>
      </c>
      <c r="D591">
        <v>35.69</v>
      </c>
      <c r="E591">
        <v>1.47E-2</v>
      </c>
      <c r="F591">
        <v>0</v>
      </c>
      <c r="G591">
        <v>0</v>
      </c>
      <c r="H591">
        <v>31.46</v>
      </c>
      <c r="I591">
        <v>1.95E-2</v>
      </c>
      <c r="J591">
        <v>34.75</v>
      </c>
      <c r="K591">
        <v>0</v>
      </c>
      <c r="L591">
        <v>0.16719999999999999</v>
      </c>
      <c r="M591">
        <v>0.1419</v>
      </c>
      <c r="N591">
        <v>102.2847</v>
      </c>
      <c r="O591" t="s">
        <v>260</v>
      </c>
      <c r="P591" t="s">
        <v>44</v>
      </c>
      <c r="Q591">
        <f>I591-(K591*Standards!$I$15)</f>
        <v>1.95E-2</v>
      </c>
    </row>
    <row r="592" spans="1:17">
      <c r="A592">
        <v>5</v>
      </c>
      <c r="B592">
        <v>1.5299999999999999E-2</v>
      </c>
      <c r="C592">
        <v>0</v>
      </c>
      <c r="D592">
        <v>35.479999999999997</v>
      </c>
      <c r="E592">
        <v>0</v>
      </c>
      <c r="F592">
        <v>2.3999999999999998E-3</v>
      </c>
      <c r="G592">
        <v>0</v>
      </c>
      <c r="H592">
        <v>31.48</v>
      </c>
      <c r="I592">
        <v>3.04E-2</v>
      </c>
      <c r="J592">
        <v>34.74</v>
      </c>
      <c r="K592">
        <v>0</v>
      </c>
      <c r="L592">
        <v>5.0500000000000003E-2</v>
      </c>
      <c r="M592">
        <v>0.14949999999999999</v>
      </c>
      <c r="N592">
        <v>101.9481</v>
      </c>
      <c r="O592" t="s">
        <v>260</v>
      </c>
      <c r="P592" t="s">
        <v>44</v>
      </c>
      <c r="Q592">
        <f>I592-(K592*Standards!$I$15)</f>
        <v>3.04E-2</v>
      </c>
    </row>
    <row r="593" spans="1:17">
      <c r="A593">
        <v>129</v>
      </c>
      <c r="B593">
        <v>2.0000000000000001E-4</v>
      </c>
      <c r="C593">
        <v>0</v>
      </c>
      <c r="D593">
        <v>35.31</v>
      </c>
      <c r="E593">
        <v>2.8E-3</v>
      </c>
      <c r="F593">
        <v>0</v>
      </c>
      <c r="G593">
        <v>0</v>
      </c>
      <c r="H593">
        <v>30.96</v>
      </c>
      <c r="I593">
        <v>4.1000000000000003E-3</v>
      </c>
      <c r="J593">
        <v>34.74</v>
      </c>
      <c r="K593">
        <v>0</v>
      </c>
      <c r="L593">
        <v>4.6399999999999997E-2</v>
      </c>
      <c r="M593">
        <v>0.11899999999999999</v>
      </c>
      <c r="N593">
        <v>101.1824</v>
      </c>
      <c r="O593" t="s">
        <v>63</v>
      </c>
      <c r="P593" t="s">
        <v>44</v>
      </c>
      <c r="Q593">
        <f>I593-(K593*Standards!$I$15)</f>
        <v>4.1000000000000003E-3</v>
      </c>
    </row>
    <row r="594" spans="1:17">
      <c r="A594">
        <v>137</v>
      </c>
      <c r="B594">
        <v>0</v>
      </c>
      <c r="C594">
        <v>0</v>
      </c>
      <c r="D594">
        <v>35.86</v>
      </c>
      <c r="E594">
        <v>0</v>
      </c>
      <c r="F594">
        <v>0</v>
      </c>
      <c r="G594">
        <v>0</v>
      </c>
      <c r="H594">
        <v>31.15</v>
      </c>
      <c r="I594">
        <v>3.0999999999999999E-3</v>
      </c>
      <c r="J594">
        <v>34.729999999999997</v>
      </c>
      <c r="K594">
        <v>0</v>
      </c>
      <c r="L594">
        <v>5.2299999999999999E-2</v>
      </c>
      <c r="M594">
        <v>0.129</v>
      </c>
      <c r="N594">
        <v>101.9243</v>
      </c>
      <c r="O594" t="s">
        <v>63</v>
      </c>
      <c r="P594" t="s">
        <v>44</v>
      </c>
      <c r="Q594">
        <f>I594-(K594*Standards!$I$15)</f>
        <v>3.0999999999999999E-3</v>
      </c>
    </row>
    <row r="595" spans="1:17">
      <c r="A595">
        <v>17</v>
      </c>
      <c r="B595">
        <v>1.6799999999999999E-2</v>
      </c>
      <c r="C595">
        <v>0</v>
      </c>
      <c r="D595">
        <v>35.4</v>
      </c>
      <c r="E595">
        <v>7.9000000000000008E-3</v>
      </c>
      <c r="F595">
        <v>0</v>
      </c>
      <c r="G595">
        <v>0</v>
      </c>
      <c r="H595">
        <v>31.68</v>
      </c>
      <c r="I595">
        <v>2.12E-2</v>
      </c>
      <c r="J595">
        <v>34.729999999999997</v>
      </c>
      <c r="K595">
        <v>0</v>
      </c>
      <c r="L595">
        <v>3.3500000000000002E-2</v>
      </c>
      <c r="M595">
        <v>0.13400000000000001</v>
      </c>
      <c r="N595">
        <v>102.0234</v>
      </c>
      <c r="O595" t="s">
        <v>260</v>
      </c>
      <c r="P595" t="s">
        <v>44</v>
      </c>
      <c r="Q595">
        <f>I595-(K595*Standards!$I$15)</f>
        <v>2.12E-2</v>
      </c>
    </row>
    <row r="596" spans="1:17">
      <c r="A596">
        <v>140</v>
      </c>
      <c r="B596">
        <v>0</v>
      </c>
      <c r="C596">
        <v>0</v>
      </c>
      <c r="D596">
        <v>35.39</v>
      </c>
      <c r="E596">
        <v>0</v>
      </c>
      <c r="F596">
        <v>0</v>
      </c>
      <c r="G596">
        <v>0</v>
      </c>
      <c r="H596">
        <v>31.16</v>
      </c>
      <c r="I596">
        <v>4.1999999999999997E-3</v>
      </c>
      <c r="J596">
        <v>34.72</v>
      </c>
      <c r="K596">
        <v>0</v>
      </c>
      <c r="L596">
        <v>7.0599999999999996E-2</v>
      </c>
      <c r="M596">
        <v>0.1216</v>
      </c>
      <c r="N596">
        <v>101.46639999999999</v>
      </c>
      <c r="O596" t="s">
        <v>63</v>
      </c>
      <c r="P596" t="s">
        <v>44</v>
      </c>
      <c r="Q596">
        <f>I596-(K596*Standards!$I$15)</f>
        <v>4.1999999999999997E-3</v>
      </c>
    </row>
    <row r="597" spans="1:17">
      <c r="A597">
        <v>8</v>
      </c>
      <c r="B597">
        <v>3.5400000000000001E-2</v>
      </c>
      <c r="C597">
        <v>0</v>
      </c>
      <c r="D597">
        <v>35.61</v>
      </c>
      <c r="E597">
        <v>1.34E-2</v>
      </c>
      <c r="F597">
        <v>0</v>
      </c>
      <c r="G597">
        <v>0</v>
      </c>
      <c r="H597">
        <v>31.41</v>
      </c>
      <c r="I597">
        <v>2.5000000000000001E-2</v>
      </c>
      <c r="J597">
        <v>34.700000000000003</v>
      </c>
      <c r="K597">
        <v>0</v>
      </c>
      <c r="L597">
        <v>7.7799999999999994E-2</v>
      </c>
      <c r="M597">
        <v>0.14399999999999999</v>
      </c>
      <c r="N597">
        <v>102.0155</v>
      </c>
      <c r="O597" t="s">
        <v>260</v>
      </c>
      <c r="P597" t="s">
        <v>44</v>
      </c>
      <c r="Q597">
        <f>I597-(K597*Standards!$I$15)</f>
        <v>2.5000000000000001E-2</v>
      </c>
    </row>
    <row r="598" spans="1:17">
      <c r="A598">
        <v>26</v>
      </c>
      <c r="B598">
        <v>1.6299999999999999E-2</v>
      </c>
      <c r="C598">
        <v>0</v>
      </c>
      <c r="D598">
        <v>35.4</v>
      </c>
      <c r="E598">
        <v>1.9099999999999999E-2</v>
      </c>
      <c r="F598">
        <v>0</v>
      </c>
      <c r="G598">
        <v>0</v>
      </c>
      <c r="H598">
        <v>31.25</v>
      </c>
      <c r="I598">
        <v>2.53E-2</v>
      </c>
      <c r="J598">
        <v>34.700000000000003</v>
      </c>
      <c r="K598">
        <v>0</v>
      </c>
      <c r="L598">
        <v>5.3600000000000002E-2</v>
      </c>
      <c r="M598">
        <v>0.13589999999999999</v>
      </c>
      <c r="N598">
        <v>101.6002</v>
      </c>
      <c r="O598" t="s">
        <v>260</v>
      </c>
      <c r="P598" t="s">
        <v>44</v>
      </c>
      <c r="Q598">
        <f>I598-(K598*Standards!$I$15)</f>
        <v>2.53E-2</v>
      </c>
    </row>
    <row r="599" spans="1:17">
      <c r="A599">
        <v>139</v>
      </c>
      <c r="B599">
        <v>0</v>
      </c>
      <c r="C599">
        <v>0</v>
      </c>
      <c r="D599">
        <v>35.58</v>
      </c>
      <c r="E599">
        <v>0</v>
      </c>
      <c r="F599">
        <v>0</v>
      </c>
      <c r="G599">
        <v>0</v>
      </c>
      <c r="H599">
        <v>30.86</v>
      </c>
      <c r="I599">
        <v>0</v>
      </c>
      <c r="J599">
        <v>34.69</v>
      </c>
      <c r="K599">
        <v>0</v>
      </c>
      <c r="L599">
        <v>4.19E-2</v>
      </c>
      <c r="M599">
        <v>0.12740000000000001</v>
      </c>
      <c r="N599">
        <v>101.2993</v>
      </c>
      <c r="O599" t="s">
        <v>63</v>
      </c>
      <c r="P599" t="s">
        <v>44</v>
      </c>
      <c r="Q599">
        <f>I599-(K599*Standards!$I$15)</f>
        <v>0</v>
      </c>
    </row>
    <row r="600" spans="1:17">
      <c r="A600">
        <v>130</v>
      </c>
      <c r="B600">
        <v>5.0000000000000001E-4</v>
      </c>
      <c r="C600">
        <v>0</v>
      </c>
      <c r="D600">
        <v>35.39</v>
      </c>
      <c r="E600">
        <v>0</v>
      </c>
      <c r="F600">
        <v>0</v>
      </c>
      <c r="G600">
        <v>0</v>
      </c>
      <c r="H600">
        <v>30.81</v>
      </c>
      <c r="I600">
        <v>0</v>
      </c>
      <c r="J600">
        <v>34.69</v>
      </c>
      <c r="K600">
        <v>0</v>
      </c>
      <c r="L600">
        <v>2.7300000000000001E-2</v>
      </c>
      <c r="M600">
        <v>0.1239</v>
      </c>
      <c r="N600">
        <v>101.0416</v>
      </c>
      <c r="O600" t="s">
        <v>63</v>
      </c>
      <c r="P600" t="s">
        <v>44</v>
      </c>
      <c r="Q600">
        <f>I600-(K600*Standards!$I$15)</f>
        <v>0</v>
      </c>
    </row>
    <row r="601" spans="1:17">
      <c r="A601">
        <v>13</v>
      </c>
      <c r="B601">
        <v>1.37E-2</v>
      </c>
      <c r="C601">
        <v>0</v>
      </c>
      <c r="D601">
        <v>35.450000000000003</v>
      </c>
      <c r="E601">
        <v>2.3999999999999998E-3</v>
      </c>
      <c r="F601">
        <v>0</v>
      </c>
      <c r="G601">
        <v>0</v>
      </c>
      <c r="H601">
        <v>30.87</v>
      </c>
      <c r="I601">
        <v>4.65E-2</v>
      </c>
      <c r="J601">
        <v>34.68</v>
      </c>
      <c r="K601">
        <v>0</v>
      </c>
      <c r="L601">
        <v>4.4499999999999998E-2</v>
      </c>
      <c r="M601">
        <v>0.16159999999999999</v>
      </c>
      <c r="N601">
        <v>101.26860000000001</v>
      </c>
      <c r="O601" t="s">
        <v>260</v>
      </c>
      <c r="P601" t="s">
        <v>44</v>
      </c>
      <c r="Q601">
        <f>I601-(K601*Standards!$I$15)</f>
        <v>4.65E-2</v>
      </c>
    </row>
    <row r="602" spans="1:17">
      <c r="A602">
        <v>109</v>
      </c>
      <c r="B602">
        <v>3.3999999999999998E-3</v>
      </c>
      <c r="C602">
        <v>0</v>
      </c>
      <c r="D602">
        <v>35.25</v>
      </c>
      <c r="E602">
        <v>2.8999999999999998E-3</v>
      </c>
      <c r="F602">
        <v>0</v>
      </c>
      <c r="G602">
        <v>0</v>
      </c>
      <c r="H602">
        <v>30.69</v>
      </c>
      <c r="I602">
        <v>8.3999999999999995E-3</v>
      </c>
      <c r="J602">
        <v>34.67</v>
      </c>
      <c r="K602">
        <v>0</v>
      </c>
      <c r="L602">
        <v>4.7199999999999999E-2</v>
      </c>
      <c r="M602">
        <v>0.1338</v>
      </c>
      <c r="N602">
        <v>100.8056</v>
      </c>
      <c r="O602" t="s">
        <v>63</v>
      </c>
      <c r="P602" t="s">
        <v>44</v>
      </c>
      <c r="Q602">
        <f>I602-(K602*Standards!$I$15)</f>
        <v>8.3999999999999995E-3</v>
      </c>
    </row>
    <row r="603" spans="1:17">
      <c r="A603">
        <v>138</v>
      </c>
      <c r="B603">
        <v>0</v>
      </c>
      <c r="C603">
        <v>0</v>
      </c>
      <c r="D603">
        <v>35.17</v>
      </c>
      <c r="E603">
        <v>0</v>
      </c>
      <c r="F603">
        <v>0</v>
      </c>
      <c r="G603">
        <v>0</v>
      </c>
      <c r="H603">
        <v>30.83</v>
      </c>
      <c r="I603">
        <v>1.4E-3</v>
      </c>
      <c r="J603">
        <v>34.67</v>
      </c>
      <c r="K603">
        <v>0</v>
      </c>
      <c r="L603">
        <v>3.95E-2</v>
      </c>
      <c r="M603">
        <v>0.1234</v>
      </c>
      <c r="N603">
        <v>100.8342</v>
      </c>
      <c r="O603" t="s">
        <v>63</v>
      </c>
      <c r="P603" t="s">
        <v>44</v>
      </c>
      <c r="Q603">
        <f>I603-(K603*Standards!$I$15)</f>
        <v>1.4E-3</v>
      </c>
    </row>
    <row r="604" spans="1:17">
      <c r="A604">
        <v>9</v>
      </c>
      <c r="B604">
        <v>3.27E-2</v>
      </c>
      <c r="C604">
        <v>0</v>
      </c>
      <c r="D604">
        <v>35.75</v>
      </c>
      <c r="E604">
        <v>6.3E-3</v>
      </c>
      <c r="F604">
        <v>0</v>
      </c>
      <c r="G604">
        <v>0</v>
      </c>
      <c r="H604">
        <v>31.2</v>
      </c>
      <c r="I604">
        <v>3.1699999999999999E-2</v>
      </c>
      <c r="J604">
        <v>34.67</v>
      </c>
      <c r="K604">
        <v>0</v>
      </c>
      <c r="L604">
        <v>3.9399999999999998E-2</v>
      </c>
      <c r="M604">
        <v>0.1416</v>
      </c>
      <c r="N604">
        <v>101.8716</v>
      </c>
      <c r="O604" t="s">
        <v>260</v>
      </c>
      <c r="P604" t="s">
        <v>44</v>
      </c>
      <c r="Q604">
        <f>I604-(K604*Standards!$I$15)</f>
        <v>3.1699999999999999E-2</v>
      </c>
    </row>
    <row r="605" spans="1:17">
      <c r="A605">
        <v>18</v>
      </c>
      <c r="B605">
        <v>3.8600000000000002E-2</v>
      </c>
      <c r="C605">
        <v>0</v>
      </c>
      <c r="D605">
        <v>35.35</v>
      </c>
      <c r="E605">
        <v>0</v>
      </c>
      <c r="F605">
        <v>0</v>
      </c>
      <c r="G605">
        <v>0</v>
      </c>
      <c r="H605">
        <v>31.66</v>
      </c>
      <c r="I605">
        <v>2.4400000000000002E-2</v>
      </c>
      <c r="J605">
        <v>34.659999999999997</v>
      </c>
      <c r="K605">
        <v>0</v>
      </c>
      <c r="L605">
        <v>5.4600000000000003E-2</v>
      </c>
      <c r="M605">
        <v>0.16600000000000001</v>
      </c>
      <c r="N605">
        <v>101.95359999999999</v>
      </c>
      <c r="O605" t="s">
        <v>260</v>
      </c>
      <c r="P605" t="s">
        <v>44</v>
      </c>
      <c r="Q605">
        <f>I605-(K605*Standards!$I$15)</f>
        <v>2.4400000000000002E-2</v>
      </c>
    </row>
    <row r="606" spans="1:17">
      <c r="A606">
        <v>22</v>
      </c>
      <c r="B606">
        <v>0</v>
      </c>
      <c r="C606">
        <v>0</v>
      </c>
      <c r="D606">
        <v>35.409999999999997</v>
      </c>
      <c r="E606">
        <v>7.9000000000000008E-3</v>
      </c>
      <c r="F606">
        <v>0</v>
      </c>
      <c r="G606">
        <v>0</v>
      </c>
      <c r="H606">
        <v>31.31</v>
      </c>
      <c r="I606">
        <v>2.4E-2</v>
      </c>
      <c r="J606">
        <v>34.619999999999997</v>
      </c>
      <c r="K606">
        <v>0</v>
      </c>
      <c r="L606">
        <v>0.1757</v>
      </c>
      <c r="M606">
        <v>0.13389999999999999</v>
      </c>
      <c r="N606">
        <v>101.6814</v>
      </c>
      <c r="O606" t="s">
        <v>260</v>
      </c>
      <c r="P606" t="s">
        <v>44</v>
      </c>
      <c r="Q606">
        <f>I606-(K606*Standards!$I$15)</f>
        <v>2.4E-2</v>
      </c>
    </row>
    <row r="607" spans="1:17">
      <c r="A607">
        <v>69</v>
      </c>
      <c r="B607">
        <v>0</v>
      </c>
      <c r="C607">
        <v>0</v>
      </c>
      <c r="D607">
        <v>35.14</v>
      </c>
      <c r="E607">
        <v>5.1000000000000004E-3</v>
      </c>
      <c r="F607">
        <v>0</v>
      </c>
      <c r="G607">
        <v>0</v>
      </c>
      <c r="H607">
        <v>30.89</v>
      </c>
      <c r="I607">
        <v>3.9899999999999998E-2</v>
      </c>
      <c r="J607">
        <v>34.619999999999997</v>
      </c>
      <c r="K607">
        <v>0</v>
      </c>
      <c r="L607">
        <v>6.3399999999999998E-2</v>
      </c>
      <c r="M607">
        <v>0.14269999999999999</v>
      </c>
      <c r="N607">
        <v>100.901</v>
      </c>
      <c r="O607" t="s">
        <v>129</v>
      </c>
      <c r="P607" t="s">
        <v>44</v>
      </c>
      <c r="Q607">
        <f>I607-(K607*Standards!$I$15)</f>
        <v>3.9899999999999998E-2</v>
      </c>
    </row>
    <row r="608" spans="1:17">
      <c r="A608">
        <v>110</v>
      </c>
      <c r="B608">
        <v>0</v>
      </c>
      <c r="C608">
        <v>0</v>
      </c>
      <c r="D608">
        <v>35.299999999999997</v>
      </c>
      <c r="E608">
        <v>1.35E-2</v>
      </c>
      <c r="F608">
        <v>0</v>
      </c>
      <c r="G608">
        <v>0</v>
      </c>
      <c r="H608">
        <v>30.72</v>
      </c>
      <c r="I608">
        <v>1.4E-3</v>
      </c>
      <c r="J608">
        <v>34.61</v>
      </c>
      <c r="K608">
        <v>0</v>
      </c>
      <c r="L608">
        <v>6.4100000000000004E-2</v>
      </c>
      <c r="M608">
        <v>0.1479</v>
      </c>
      <c r="N608">
        <v>100.8569</v>
      </c>
      <c r="O608" t="s">
        <v>63</v>
      </c>
      <c r="P608" t="s">
        <v>44</v>
      </c>
      <c r="Q608">
        <f>I608-(K608*Standards!$I$15)</f>
        <v>1.4E-3</v>
      </c>
    </row>
    <row r="609" spans="1:17">
      <c r="A609">
        <v>74</v>
      </c>
      <c r="B609">
        <v>0</v>
      </c>
      <c r="C609">
        <v>0</v>
      </c>
      <c r="D609">
        <v>35.049999999999997</v>
      </c>
      <c r="E609">
        <v>2.2599999999999999E-2</v>
      </c>
      <c r="F609">
        <v>0</v>
      </c>
      <c r="G609">
        <v>0</v>
      </c>
      <c r="H609">
        <v>31.2</v>
      </c>
      <c r="I609">
        <v>3.6900000000000002E-2</v>
      </c>
      <c r="J609">
        <v>34.6</v>
      </c>
      <c r="K609">
        <v>0</v>
      </c>
      <c r="L609">
        <v>6.3899999999999998E-2</v>
      </c>
      <c r="M609">
        <v>0.1555</v>
      </c>
      <c r="N609">
        <v>101.1289</v>
      </c>
      <c r="O609" t="s">
        <v>129</v>
      </c>
      <c r="P609" t="s">
        <v>44</v>
      </c>
      <c r="Q609">
        <f>I609-(K609*Standards!$I$15)</f>
        <v>3.6900000000000002E-2</v>
      </c>
    </row>
    <row r="610" spans="1:17">
      <c r="A610">
        <v>107</v>
      </c>
      <c r="B610">
        <v>0</v>
      </c>
      <c r="C610">
        <v>0</v>
      </c>
      <c r="D610">
        <v>35.369999999999997</v>
      </c>
      <c r="E610">
        <v>1.0999999999999999E-2</v>
      </c>
      <c r="F610">
        <v>0</v>
      </c>
      <c r="G610">
        <v>1.4E-3</v>
      </c>
      <c r="H610">
        <v>30.88</v>
      </c>
      <c r="I610">
        <v>5.5999999999999999E-3</v>
      </c>
      <c r="J610">
        <v>34.57</v>
      </c>
      <c r="K610">
        <v>0</v>
      </c>
      <c r="L610">
        <v>6.5100000000000005E-2</v>
      </c>
      <c r="M610">
        <v>0.1434</v>
      </c>
      <c r="N610">
        <v>101.04640000000001</v>
      </c>
      <c r="O610" t="s">
        <v>63</v>
      </c>
      <c r="P610" t="s">
        <v>44</v>
      </c>
      <c r="Q610">
        <f>I610-(K610*Standards!$I$15)</f>
        <v>5.5999999999999999E-3</v>
      </c>
    </row>
    <row r="611" spans="1:17">
      <c r="A611">
        <v>14</v>
      </c>
      <c r="B611">
        <v>2.4E-2</v>
      </c>
      <c r="C611">
        <v>0</v>
      </c>
      <c r="D611">
        <v>35.380000000000003</v>
      </c>
      <c r="E611">
        <v>0</v>
      </c>
      <c r="F611">
        <v>0</v>
      </c>
      <c r="G611">
        <v>0</v>
      </c>
      <c r="H611">
        <v>30.99</v>
      </c>
      <c r="I611">
        <v>4.02E-2</v>
      </c>
      <c r="J611">
        <v>34.54</v>
      </c>
      <c r="K611">
        <v>0</v>
      </c>
      <c r="L611">
        <v>8.48E-2</v>
      </c>
      <c r="M611">
        <v>0.13669999999999999</v>
      </c>
      <c r="N611">
        <v>101.1956</v>
      </c>
      <c r="O611" t="s">
        <v>260</v>
      </c>
      <c r="P611" t="s">
        <v>44</v>
      </c>
      <c r="Q611">
        <f>I611-(K611*Standards!$I$15)</f>
        <v>4.02E-2</v>
      </c>
    </row>
    <row r="612" spans="1:17">
      <c r="A612">
        <v>93</v>
      </c>
      <c r="B612">
        <v>0</v>
      </c>
      <c r="C612">
        <v>0</v>
      </c>
      <c r="D612">
        <v>35.380000000000003</v>
      </c>
      <c r="E612">
        <v>8.2000000000000007E-3</v>
      </c>
      <c r="F612">
        <v>0</v>
      </c>
      <c r="G612">
        <v>0</v>
      </c>
      <c r="H612">
        <v>30.82</v>
      </c>
      <c r="I612">
        <v>6.8999999999999999E-3</v>
      </c>
      <c r="J612">
        <v>34.54</v>
      </c>
      <c r="K612">
        <v>0</v>
      </c>
      <c r="L612">
        <v>6.2100000000000002E-2</v>
      </c>
      <c r="M612">
        <v>0.13500000000000001</v>
      </c>
      <c r="N612">
        <v>100.9522</v>
      </c>
      <c r="O612" t="s">
        <v>63</v>
      </c>
      <c r="P612" t="s">
        <v>44</v>
      </c>
      <c r="Q612">
        <f>I612-(K612*Standards!$I$15)</f>
        <v>6.8999999999999999E-3</v>
      </c>
    </row>
    <row r="613" spans="1:17">
      <c r="A613">
        <v>38</v>
      </c>
      <c r="B613">
        <v>1.2500000000000001E-2</v>
      </c>
      <c r="C613">
        <v>0</v>
      </c>
      <c r="D613">
        <v>35.47</v>
      </c>
      <c r="E613">
        <v>2.29E-2</v>
      </c>
      <c r="F613">
        <v>0</v>
      </c>
      <c r="G613">
        <v>2.0999999999999999E-3</v>
      </c>
      <c r="H613">
        <v>31.02</v>
      </c>
      <c r="I613">
        <v>1.84E-2</v>
      </c>
      <c r="J613">
        <v>34.54</v>
      </c>
      <c r="K613">
        <v>0</v>
      </c>
      <c r="L613">
        <v>5.79E-2</v>
      </c>
      <c r="M613">
        <v>0.13139999999999999</v>
      </c>
      <c r="N613">
        <v>101.2752</v>
      </c>
      <c r="O613" t="s">
        <v>260</v>
      </c>
      <c r="P613" t="s">
        <v>44</v>
      </c>
      <c r="Q613">
        <f>I613-(K613*Standards!$I$15)</f>
        <v>1.84E-2</v>
      </c>
    </row>
    <row r="614" spans="1:17">
      <c r="A614">
        <v>127</v>
      </c>
      <c r="B614">
        <v>0</v>
      </c>
      <c r="C614">
        <v>0</v>
      </c>
      <c r="D614">
        <v>35.270000000000003</v>
      </c>
      <c r="E614">
        <v>4.1999999999999997E-3</v>
      </c>
      <c r="F614">
        <v>0</v>
      </c>
      <c r="G614">
        <v>0</v>
      </c>
      <c r="H614">
        <v>30.74</v>
      </c>
      <c r="I614">
        <v>1.9E-3</v>
      </c>
      <c r="J614">
        <v>34.53</v>
      </c>
      <c r="K614">
        <v>0</v>
      </c>
      <c r="L614">
        <v>0.11360000000000001</v>
      </c>
      <c r="M614">
        <v>0.1411</v>
      </c>
      <c r="N614">
        <v>100.80070000000001</v>
      </c>
      <c r="O614" t="s">
        <v>63</v>
      </c>
      <c r="P614" t="s">
        <v>44</v>
      </c>
      <c r="Q614">
        <f>I614-(K614*Standards!$I$15)</f>
        <v>1.9E-3</v>
      </c>
    </row>
    <row r="615" spans="1:17">
      <c r="A615">
        <v>73</v>
      </c>
      <c r="B615">
        <v>0</v>
      </c>
      <c r="C615">
        <v>0</v>
      </c>
      <c r="D615">
        <v>35.25</v>
      </c>
      <c r="E615">
        <v>3.0700000000000002E-2</v>
      </c>
      <c r="F615">
        <v>0</v>
      </c>
      <c r="G615">
        <v>0</v>
      </c>
      <c r="H615">
        <v>30.97</v>
      </c>
      <c r="I615">
        <v>3.09E-2</v>
      </c>
      <c r="J615">
        <v>34.53</v>
      </c>
      <c r="K615">
        <v>0</v>
      </c>
      <c r="L615">
        <v>1.7899999999999999E-2</v>
      </c>
      <c r="M615">
        <v>0.1323</v>
      </c>
      <c r="N615">
        <v>100.96169999999999</v>
      </c>
      <c r="O615" t="s">
        <v>129</v>
      </c>
      <c r="P615" t="s">
        <v>44</v>
      </c>
      <c r="Q615">
        <f>I615-(K615*Standards!$I$15)</f>
        <v>3.09E-2</v>
      </c>
    </row>
    <row r="616" spans="1:17">
      <c r="A616">
        <v>7</v>
      </c>
      <c r="B616">
        <v>4.1799999999999997E-2</v>
      </c>
      <c r="C616">
        <v>0</v>
      </c>
      <c r="D616">
        <v>35.299999999999997</v>
      </c>
      <c r="E616">
        <v>2.6700000000000002E-2</v>
      </c>
      <c r="F616">
        <v>0</v>
      </c>
      <c r="G616">
        <v>0</v>
      </c>
      <c r="H616">
        <v>31.26</v>
      </c>
      <c r="I616">
        <v>7.1499999999999994E-2</v>
      </c>
      <c r="J616">
        <v>34.520000000000003</v>
      </c>
      <c r="K616">
        <v>0</v>
      </c>
      <c r="L616">
        <v>6.8599999999999994E-2</v>
      </c>
      <c r="M616">
        <v>0.1255</v>
      </c>
      <c r="N616">
        <v>101.4141</v>
      </c>
      <c r="O616" t="s">
        <v>260</v>
      </c>
      <c r="P616" t="s">
        <v>44</v>
      </c>
      <c r="Q616">
        <f>I616-(K616*Standards!$I$15)</f>
        <v>7.1499999999999994E-2</v>
      </c>
    </row>
    <row r="617" spans="1:17">
      <c r="A617">
        <v>50</v>
      </c>
      <c r="B617">
        <v>0</v>
      </c>
      <c r="C617">
        <v>0</v>
      </c>
      <c r="D617">
        <v>35.18</v>
      </c>
      <c r="E617">
        <v>1.2500000000000001E-2</v>
      </c>
      <c r="F617">
        <v>0</v>
      </c>
      <c r="G617">
        <v>0</v>
      </c>
      <c r="H617">
        <v>31.15</v>
      </c>
      <c r="I617">
        <v>3.2500000000000001E-2</v>
      </c>
      <c r="J617">
        <v>34.51</v>
      </c>
      <c r="K617">
        <v>0</v>
      </c>
      <c r="L617">
        <v>4.4699999999999997E-2</v>
      </c>
      <c r="M617">
        <v>0.13589999999999999</v>
      </c>
      <c r="N617">
        <v>101.0655</v>
      </c>
      <c r="O617" t="s">
        <v>262</v>
      </c>
      <c r="P617" t="s">
        <v>44</v>
      </c>
      <c r="Q617">
        <f>I617-(K617*Standards!$I$15)</f>
        <v>3.2500000000000001E-2</v>
      </c>
    </row>
    <row r="618" spans="1:17">
      <c r="A618">
        <v>78</v>
      </c>
      <c r="B618">
        <v>0</v>
      </c>
      <c r="C618">
        <v>0</v>
      </c>
      <c r="D618">
        <v>35.04</v>
      </c>
      <c r="E618">
        <v>2.1499999999999998E-2</v>
      </c>
      <c r="F618">
        <v>7.6E-3</v>
      </c>
      <c r="G618">
        <v>0</v>
      </c>
      <c r="H618">
        <v>31</v>
      </c>
      <c r="I618">
        <v>0</v>
      </c>
      <c r="J618">
        <v>34.479999999999997</v>
      </c>
      <c r="K618">
        <v>0</v>
      </c>
      <c r="L618">
        <v>5.74E-2</v>
      </c>
      <c r="M618">
        <v>0.1537</v>
      </c>
      <c r="N618">
        <v>100.7602</v>
      </c>
      <c r="O618" t="s">
        <v>129</v>
      </c>
      <c r="P618" t="s">
        <v>44</v>
      </c>
      <c r="Q618">
        <f>I618-(K618*Standards!$I$15)</f>
        <v>0</v>
      </c>
    </row>
    <row r="619" spans="1:17">
      <c r="A619">
        <v>70</v>
      </c>
      <c r="B619">
        <v>0</v>
      </c>
      <c r="C619">
        <v>0</v>
      </c>
      <c r="D619">
        <v>35.18</v>
      </c>
      <c r="E619">
        <v>2.46E-2</v>
      </c>
      <c r="F619">
        <v>0</v>
      </c>
      <c r="G619">
        <v>0</v>
      </c>
      <c r="H619">
        <v>30.96</v>
      </c>
      <c r="I619">
        <v>4.1300000000000003E-2</v>
      </c>
      <c r="J619">
        <v>34.479999999999997</v>
      </c>
      <c r="K619">
        <v>0</v>
      </c>
      <c r="L619">
        <v>2.1999999999999999E-2</v>
      </c>
      <c r="M619">
        <v>0.13880000000000001</v>
      </c>
      <c r="N619">
        <v>100.8466</v>
      </c>
      <c r="O619" t="s">
        <v>129</v>
      </c>
      <c r="P619" t="s">
        <v>44</v>
      </c>
      <c r="Q619">
        <f>I619-(K619*Standards!$I$15)</f>
        <v>4.1300000000000003E-2</v>
      </c>
    </row>
    <row r="620" spans="1:17">
      <c r="A620">
        <v>147</v>
      </c>
      <c r="B620">
        <v>0</v>
      </c>
      <c r="C620">
        <v>0</v>
      </c>
      <c r="D620">
        <v>35.17</v>
      </c>
      <c r="E620">
        <v>1.8499999999999999E-2</v>
      </c>
      <c r="F620">
        <v>0</v>
      </c>
      <c r="G620">
        <v>0</v>
      </c>
      <c r="H620">
        <v>30.75</v>
      </c>
      <c r="I620">
        <v>6.6E-3</v>
      </c>
      <c r="J620">
        <v>34.47</v>
      </c>
      <c r="K620">
        <v>0</v>
      </c>
      <c r="L620">
        <v>6.1100000000000002E-2</v>
      </c>
      <c r="M620">
        <v>0.1173</v>
      </c>
      <c r="N620">
        <v>100.5934</v>
      </c>
      <c r="O620">
        <v>202</v>
      </c>
      <c r="P620" t="s">
        <v>44</v>
      </c>
      <c r="Q620">
        <f>I620-(K620*Standards!$I$15)</f>
        <v>6.6E-3</v>
      </c>
    </row>
    <row r="621" spans="1:17">
      <c r="A621">
        <v>108</v>
      </c>
      <c r="B621">
        <v>0</v>
      </c>
      <c r="C621">
        <v>0</v>
      </c>
      <c r="D621">
        <v>35.32</v>
      </c>
      <c r="E621">
        <v>4.1000000000000003E-3</v>
      </c>
      <c r="F621">
        <v>0</v>
      </c>
      <c r="G621">
        <v>0</v>
      </c>
      <c r="H621">
        <v>30.6</v>
      </c>
      <c r="I621">
        <v>8.2000000000000007E-3</v>
      </c>
      <c r="J621">
        <v>34.46</v>
      </c>
      <c r="K621">
        <v>0</v>
      </c>
      <c r="L621">
        <v>0.1331</v>
      </c>
      <c r="M621">
        <v>0.13730000000000001</v>
      </c>
      <c r="N621">
        <v>100.6627</v>
      </c>
      <c r="O621" t="s">
        <v>63</v>
      </c>
      <c r="P621" t="s">
        <v>44</v>
      </c>
      <c r="Q621">
        <f>I621-(K621*Standards!$I$15)</f>
        <v>8.2000000000000007E-3</v>
      </c>
    </row>
    <row r="622" spans="1:17">
      <c r="A622">
        <v>6</v>
      </c>
      <c r="B622">
        <v>5.45E-2</v>
      </c>
      <c r="C622">
        <v>0</v>
      </c>
      <c r="D622">
        <v>35.01</v>
      </c>
      <c r="E622">
        <v>0</v>
      </c>
      <c r="F622">
        <v>0</v>
      </c>
      <c r="G622">
        <v>0</v>
      </c>
      <c r="H622">
        <v>31.29</v>
      </c>
      <c r="I622">
        <v>3.6200000000000003E-2</v>
      </c>
      <c r="J622">
        <v>34.44</v>
      </c>
      <c r="K622">
        <v>0</v>
      </c>
      <c r="L622">
        <v>5.3699999999999998E-2</v>
      </c>
      <c r="M622">
        <v>0.14369999999999999</v>
      </c>
      <c r="N622">
        <v>101.02809999999999</v>
      </c>
      <c r="O622" t="s">
        <v>260</v>
      </c>
      <c r="P622" t="s">
        <v>44</v>
      </c>
      <c r="Q622">
        <f>I622-(K622*Standards!$I$15)</f>
        <v>3.6200000000000003E-2</v>
      </c>
    </row>
    <row r="623" spans="1:17">
      <c r="A623">
        <v>75</v>
      </c>
      <c r="B623">
        <v>0</v>
      </c>
      <c r="C623">
        <v>0</v>
      </c>
      <c r="D623">
        <v>35.22</v>
      </c>
      <c r="E623">
        <v>2.5399999999999999E-2</v>
      </c>
      <c r="F623">
        <v>0</v>
      </c>
      <c r="G623">
        <v>0</v>
      </c>
      <c r="H623">
        <v>31.02</v>
      </c>
      <c r="I623">
        <v>3.9699999999999999E-2</v>
      </c>
      <c r="J623">
        <v>34.43</v>
      </c>
      <c r="K623">
        <v>0</v>
      </c>
      <c r="L623">
        <v>0.1014</v>
      </c>
      <c r="M623">
        <v>0.14119999999999999</v>
      </c>
      <c r="N623">
        <v>100.9776</v>
      </c>
      <c r="O623" t="s">
        <v>129</v>
      </c>
      <c r="P623" t="s">
        <v>44</v>
      </c>
      <c r="Q623">
        <f>I623-(K623*Standards!$I$15)</f>
        <v>3.9699999999999999E-2</v>
      </c>
    </row>
    <row r="624" spans="1:17">
      <c r="A624">
        <v>52</v>
      </c>
      <c r="B624">
        <v>0</v>
      </c>
      <c r="C624">
        <v>0</v>
      </c>
      <c r="D624">
        <v>35.200000000000003</v>
      </c>
      <c r="E624">
        <v>2.9700000000000001E-2</v>
      </c>
      <c r="F624">
        <v>0</v>
      </c>
      <c r="G624">
        <v>0</v>
      </c>
      <c r="H624">
        <v>30.94</v>
      </c>
      <c r="I624">
        <v>3.1800000000000002E-2</v>
      </c>
      <c r="J624">
        <v>34.42</v>
      </c>
      <c r="K624">
        <v>0</v>
      </c>
      <c r="L624">
        <v>4.7600000000000003E-2</v>
      </c>
      <c r="M624">
        <v>0.1605</v>
      </c>
      <c r="N624">
        <v>100.8295</v>
      </c>
      <c r="O624" t="s">
        <v>262</v>
      </c>
      <c r="P624" t="s">
        <v>44</v>
      </c>
      <c r="Q624">
        <f>I624-(K624*Standards!$I$15)</f>
        <v>3.1800000000000002E-2</v>
      </c>
    </row>
    <row r="625" spans="1:17">
      <c r="A625">
        <v>72</v>
      </c>
      <c r="B625">
        <v>4.0000000000000002E-4</v>
      </c>
      <c r="C625">
        <v>0</v>
      </c>
      <c r="D625">
        <v>35.18</v>
      </c>
      <c r="E625">
        <v>4.36E-2</v>
      </c>
      <c r="F625">
        <v>0</v>
      </c>
      <c r="G625">
        <v>0</v>
      </c>
      <c r="H625">
        <v>30.89</v>
      </c>
      <c r="I625">
        <v>3.3399999999999999E-2</v>
      </c>
      <c r="J625">
        <v>34.409999999999997</v>
      </c>
      <c r="K625">
        <v>0</v>
      </c>
      <c r="L625">
        <v>0.1822</v>
      </c>
      <c r="M625">
        <v>0.15679999999999999</v>
      </c>
      <c r="N625">
        <v>100.8963</v>
      </c>
      <c r="O625" t="s">
        <v>129</v>
      </c>
      <c r="P625" t="s">
        <v>44</v>
      </c>
      <c r="Q625">
        <f>I625-(K625*Standards!$I$15)</f>
        <v>3.3399999999999999E-2</v>
      </c>
    </row>
    <row r="626" spans="1:17">
      <c r="A626">
        <v>128</v>
      </c>
      <c r="B626">
        <v>0</v>
      </c>
      <c r="C626">
        <v>0</v>
      </c>
      <c r="D626">
        <v>35.17</v>
      </c>
      <c r="E626">
        <v>0</v>
      </c>
      <c r="F626">
        <v>0</v>
      </c>
      <c r="G626">
        <v>0</v>
      </c>
      <c r="H626">
        <v>30.61</v>
      </c>
      <c r="I626">
        <v>2.9999999999999997E-4</v>
      </c>
      <c r="J626">
        <v>34.409999999999997</v>
      </c>
      <c r="K626">
        <v>0</v>
      </c>
      <c r="L626">
        <v>0.12770000000000001</v>
      </c>
      <c r="M626">
        <v>0.14779999999999999</v>
      </c>
      <c r="N626">
        <v>100.4657</v>
      </c>
      <c r="O626" t="s">
        <v>63</v>
      </c>
      <c r="P626" t="s">
        <v>44</v>
      </c>
      <c r="Q626">
        <f>I626-(K626*Standards!$I$15)</f>
        <v>2.9999999999999997E-4</v>
      </c>
    </row>
    <row r="627" spans="1:17">
      <c r="A627">
        <v>60</v>
      </c>
      <c r="B627">
        <v>0</v>
      </c>
      <c r="C627">
        <v>0</v>
      </c>
      <c r="D627">
        <v>35.1</v>
      </c>
      <c r="E627">
        <v>2.46E-2</v>
      </c>
      <c r="F627">
        <v>0</v>
      </c>
      <c r="G627">
        <v>0</v>
      </c>
      <c r="H627">
        <v>30.82</v>
      </c>
      <c r="I627">
        <v>4.3299999999999998E-2</v>
      </c>
      <c r="J627">
        <v>34.39</v>
      </c>
      <c r="K627">
        <v>0</v>
      </c>
      <c r="L627">
        <v>4.4699999999999997E-2</v>
      </c>
      <c r="M627">
        <v>0.1394</v>
      </c>
      <c r="N627">
        <v>100.56189999999999</v>
      </c>
      <c r="O627" t="s">
        <v>262</v>
      </c>
      <c r="P627" t="s">
        <v>44</v>
      </c>
      <c r="Q627">
        <f>I627-(K627*Standards!$I$15)</f>
        <v>4.3299999999999998E-2</v>
      </c>
    </row>
    <row r="628" spans="1:17">
      <c r="A628">
        <v>88</v>
      </c>
      <c r="B628">
        <v>0</v>
      </c>
      <c r="C628">
        <v>0</v>
      </c>
      <c r="D628">
        <v>35.18</v>
      </c>
      <c r="E628">
        <v>2.4299999999999999E-2</v>
      </c>
      <c r="F628">
        <v>0</v>
      </c>
      <c r="G628">
        <v>0</v>
      </c>
      <c r="H628">
        <v>31.01</v>
      </c>
      <c r="I628">
        <v>2.86E-2</v>
      </c>
      <c r="J628">
        <v>34.369999999999997</v>
      </c>
      <c r="K628">
        <v>0</v>
      </c>
      <c r="L628">
        <v>6.0299999999999999E-2</v>
      </c>
      <c r="M628">
        <v>0.1305</v>
      </c>
      <c r="N628">
        <v>100.8036</v>
      </c>
      <c r="O628" t="s">
        <v>129</v>
      </c>
      <c r="P628" t="s">
        <v>44</v>
      </c>
      <c r="Q628">
        <f>I628-(K628*Standards!$I$15)</f>
        <v>2.86E-2</v>
      </c>
    </row>
    <row r="629" spans="1:17">
      <c r="A629">
        <v>51</v>
      </c>
      <c r="B629">
        <v>0</v>
      </c>
      <c r="C629">
        <v>0</v>
      </c>
      <c r="D629">
        <v>35.31</v>
      </c>
      <c r="E629">
        <v>9.2999999999999992E-3</v>
      </c>
      <c r="F629">
        <v>0</v>
      </c>
      <c r="G629">
        <v>0</v>
      </c>
      <c r="H629">
        <v>30.85</v>
      </c>
      <c r="I629">
        <v>3.0499999999999999E-2</v>
      </c>
      <c r="J629">
        <v>34.35</v>
      </c>
      <c r="K629">
        <v>0</v>
      </c>
      <c r="L629">
        <v>8.4500000000000006E-2</v>
      </c>
      <c r="M629">
        <v>0.14899999999999999</v>
      </c>
      <c r="N629">
        <v>100.7833</v>
      </c>
      <c r="O629" t="s">
        <v>262</v>
      </c>
      <c r="P629" t="s">
        <v>44</v>
      </c>
      <c r="Q629">
        <f>I629-(K629*Standards!$I$15)</f>
        <v>3.0499999999999999E-2</v>
      </c>
    </row>
    <row r="630" spans="1:17">
      <c r="A630">
        <v>82</v>
      </c>
      <c r="B630">
        <v>0</v>
      </c>
      <c r="C630">
        <v>0</v>
      </c>
      <c r="D630">
        <v>35.159999999999997</v>
      </c>
      <c r="E630">
        <v>2.5999999999999999E-2</v>
      </c>
      <c r="F630">
        <v>0</v>
      </c>
      <c r="G630">
        <v>0</v>
      </c>
      <c r="H630">
        <v>30.7</v>
      </c>
      <c r="I630">
        <v>3.5900000000000001E-2</v>
      </c>
      <c r="J630">
        <v>34.35</v>
      </c>
      <c r="K630">
        <v>0</v>
      </c>
      <c r="L630">
        <v>5.7799999999999997E-2</v>
      </c>
      <c r="M630">
        <v>0.1244</v>
      </c>
      <c r="N630">
        <v>100.45399999999999</v>
      </c>
      <c r="O630" t="s">
        <v>129</v>
      </c>
      <c r="P630" t="s">
        <v>44</v>
      </c>
      <c r="Q630">
        <f>I630-(K630*Standards!$I$15)</f>
        <v>3.5900000000000001E-2</v>
      </c>
    </row>
    <row r="631" spans="1:17">
      <c r="A631">
        <v>149</v>
      </c>
      <c r="B631">
        <v>4.5999999999999999E-3</v>
      </c>
      <c r="C631">
        <v>0</v>
      </c>
      <c r="D631">
        <v>35.14</v>
      </c>
      <c r="E631">
        <v>2.6200000000000001E-2</v>
      </c>
      <c r="F631">
        <v>0</v>
      </c>
      <c r="G631">
        <v>0</v>
      </c>
      <c r="H631">
        <v>30.6</v>
      </c>
      <c r="I631">
        <v>1.4E-3</v>
      </c>
      <c r="J631">
        <v>34.35</v>
      </c>
      <c r="K631">
        <v>0</v>
      </c>
      <c r="L631">
        <v>2.53E-2</v>
      </c>
      <c r="M631">
        <v>0.1376</v>
      </c>
      <c r="N631">
        <v>100.285</v>
      </c>
      <c r="O631">
        <v>202</v>
      </c>
      <c r="P631" t="s">
        <v>44</v>
      </c>
      <c r="Q631">
        <f>I631-(K631*Standards!$I$15)</f>
        <v>1.4E-3</v>
      </c>
    </row>
    <row r="632" spans="1:17">
      <c r="A632">
        <v>118</v>
      </c>
      <c r="B632">
        <v>8.0999999999999996E-3</v>
      </c>
      <c r="C632">
        <v>0</v>
      </c>
      <c r="D632">
        <v>35.33</v>
      </c>
      <c r="E632">
        <v>0</v>
      </c>
      <c r="F632">
        <v>0</v>
      </c>
      <c r="G632">
        <v>0</v>
      </c>
      <c r="H632">
        <v>30.71</v>
      </c>
      <c r="I632">
        <v>0</v>
      </c>
      <c r="J632">
        <v>34.340000000000003</v>
      </c>
      <c r="K632">
        <v>0</v>
      </c>
      <c r="L632">
        <v>4.4499999999999998E-2</v>
      </c>
      <c r="M632">
        <v>0.14349999999999999</v>
      </c>
      <c r="N632">
        <v>100.57599999999999</v>
      </c>
      <c r="O632" t="s">
        <v>63</v>
      </c>
      <c r="P632" t="s">
        <v>44</v>
      </c>
      <c r="Q632">
        <f>I632-(K632*Standards!$I$15)</f>
        <v>0</v>
      </c>
    </row>
    <row r="633" spans="1:17">
      <c r="A633">
        <v>68</v>
      </c>
      <c r="B633">
        <v>0</v>
      </c>
      <c r="C633">
        <v>0</v>
      </c>
      <c r="D633">
        <v>35.06</v>
      </c>
      <c r="E633">
        <v>2.3800000000000002E-2</v>
      </c>
      <c r="F633">
        <v>0</v>
      </c>
      <c r="G633">
        <v>0</v>
      </c>
      <c r="H633">
        <v>30.65</v>
      </c>
      <c r="I633">
        <v>3.73E-2</v>
      </c>
      <c r="J633">
        <v>34.32</v>
      </c>
      <c r="K633">
        <v>0</v>
      </c>
      <c r="L633">
        <v>6.9500000000000006E-2</v>
      </c>
      <c r="M633">
        <v>0.14480000000000001</v>
      </c>
      <c r="N633">
        <v>100.30540000000001</v>
      </c>
      <c r="O633" t="s">
        <v>129</v>
      </c>
      <c r="P633" t="s">
        <v>44</v>
      </c>
      <c r="Q633">
        <f>I633-(K633*Standards!$I$15)</f>
        <v>3.73E-2</v>
      </c>
    </row>
    <row r="634" spans="1:17">
      <c r="A634">
        <v>84</v>
      </c>
      <c r="B634">
        <v>0</v>
      </c>
      <c r="C634">
        <v>0</v>
      </c>
      <c r="D634">
        <v>35.14</v>
      </c>
      <c r="E634">
        <v>1.9300000000000001E-2</v>
      </c>
      <c r="F634">
        <v>0</v>
      </c>
      <c r="G634">
        <v>0</v>
      </c>
      <c r="H634">
        <v>31.06</v>
      </c>
      <c r="I634">
        <v>3.5200000000000002E-2</v>
      </c>
      <c r="J634">
        <v>34.32</v>
      </c>
      <c r="K634">
        <v>0</v>
      </c>
      <c r="L634">
        <v>3.4700000000000002E-2</v>
      </c>
      <c r="M634">
        <v>0.1701</v>
      </c>
      <c r="N634">
        <v>100.7792</v>
      </c>
      <c r="O634" t="s">
        <v>129</v>
      </c>
      <c r="P634" t="s">
        <v>44</v>
      </c>
      <c r="Q634">
        <f>I634-(K634*Standards!$I$15)</f>
        <v>3.5200000000000002E-2</v>
      </c>
    </row>
    <row r="635" spans="1:17">
      <c r="A635">
        <v>87</v>
      </c>
      <c r="B635">
        <v>0</v>
      </c>
      <c r="C635">
        <v>0</v>
      </c>
      <c r="D635">
        <v>35.29</v>
      </c>
      <c r="E635">
        <v>2.4799999999999999E-2</v>
      </c>
      <c r="F635">
        <v>0</v>
      </c>
      <c r="G635">
        <v>2.8E-3</v>
      </c>
      <c r="H635">
        <v>30.95</v>
      </c>
      <c r="I635">
        <v>3.15E-2</v>
      </c>
      <c r="J635">
        <v>34.299999999999997</v>
      </c>
      <c r="K635">
        <v>0</v>
      </c>
      <c r="L635">
        <v>3.7100000000000001E-2</v>
      </c>
      <c r="M635">
        <v>0.1545</v>
      </c>
      <c r="N635">
        <v>100.7907</v>
      </c>
      <c r="O635" t="s">
        <v>129</v>
      </c>
      <c r="P635" t="s">
        <v>44</v>
      </c>
      <c r="Q635">
        <f>I635-(K635*Standards!$I$15)</f>
        <v>3.15E-2</v>
      </c>
    </row>
    <row r="636" spans="1:17">
      <c r="A636">
        <v>148</v>
      </c>
      <c r="B636">
        <v>0</v>
      </c>
      <c r="C636">
        <v>0</v>
      </c>
      <c r="D636">
        <v>35.14</v>
      </c>
      <c r="E636">
        <v>1.9599999999999999E-2</v>
      </c>
      <c r="F636">
        <v>0</v>
      </c>
      <c r="G636">
        <v>0</v>
      </c>
      <c r="H636">
        <v>30.66</v>
      </c>
      <c r="I636">
        <v>5.7000000000000002E-3</v>
      </c>
      <c r="J636">
        <v>34.26</v>
      </c>
      <c r="K636">
        <v>0</v>
      </c>
      <c r="L636">
        <v>4.7699999999999999E-2</v>
      </c>
      <c r="M636">
        <v>0.13489999999999999</v>
      </c>
      <c r="N636">
        <v>100.26779999999999</v>
      </c>
      <c r="O636">
        <v>202</v>
      </c>
      <c r="P636" t="s">
        <v>44</v>
      </c>
      <c r="Q636">
        <f>I636-(K636*Standards!$I$15)</f>
        <v>5.7000000000000002E-3</v>
      </c>
    </row>
    <row r="637" spans="1:17">
      <c r="A637">
        <v>114</v>
      </c>
      <c r="B637">
        <v>0</v>
      </c>
      <c r="C637">
        <v>0</v>
      </c>
      <c r="D637">
        <v>35.340000000000003</v>
      </c>
      <c r="E637">
        <v>0</v>
      </c>
      <c r="F637">
        <v>5.3E-3</v>
      </c>
      <c r="G637">
        <v>0</v>
      </c>
      <c r="H637">
        <v>30.55</v>
      </c>
      <c r="I637">
        <v>4.7999999999999996E-3</v>
      </c>
      <c r="J637">
        <v>34.159999999999997</v>
      </c>
      <c r="K637">
        <v>0</v>
      </c>
      <c r="L637">
        <v>0.25619999999999998</v>
      </c>
      <c r="M637">
        <v>0.1535</v>
      </c>
      <c r="N637">
        <v>100.4697</v>
      </c>
      <c r="O637" t="s">
        <v>63</v>
      </c>
      <c r="P637" t="s">
        <v>44</v>
      </c>
      <c r="Q637">
        <f>I637-(K637*Standards!$I$15)</f>
        <v>4.7999999999999996E-3</v>
      </c>
    </row>
    <row r="638" spans="1:17">
      <c r="A638">
        <v>152</v>
      </c>
      <c r="B638">
        <v>0</v>
      </c>
      <c r="C638">
        <v>0</v>
      </c>
      <c r="D638">
        <v>35.04</v>
      </c>
      <c r="E638">
        <v>4.7000000000000002E-3</v>
      </c>
      <c r="F638">
        <v>0</v>
      </c>
      <c r="G638">
        <v>8.0000000000000004E-4</v>
      </c>
      <c r="H638">
        <v>30.54</v>
      </c>
      <c r="I638">
        <v>5.5999999999999999E-3</v>
      </c>
      <c r="J638">
        <v>34.119999999999997</v>
      </c>
      <c r="K638">
        <v>0</v>
      </c>
      <c r="L638">
        <v>6.9000000000000006E-2</v>
      </c>
      <c r="M638">
        <v>0.127</v>
      </c>
      <c r="N638">
        <v>99.907200000000003</v>
      </c>
      <c r="O638">
        <v>202</v>
      </c>
      <c r="P638" t="s">
        <v>44</v>
      </c>
      <c r="Q638">
        <f>I638-(K638*Standards!$I$15)</f>
        <v>5.5999999999999999E-3</v>
      </c>
    </row>
    <row r="639" spans="1:17">
      <c r="A639">
        <v>83</v>
      </c>
      <c r="B639">
        <v>0</v>
      </c>
      <c r="C639">
        <v>0</v>
      </c>
      <c r="D639">
        <v>35.15</v>
      </c>
      <c r="E639">
        <v>2.2599999999999999E-2</v>
      </c>
      <c r="F639">
        <v>0</v>
      </c>
      <c r="G639">
        <v>0</v>
      </c>
      <c r="H639">
        <v>30.91</v>
      </c>
      <c r="I639">
        <v>2.23E-2</v>
      </c>
      <c r="J639">
        <v>33.99</v>
      </c>
      <c r="K639">
        <v>0</v>
      </c>
      <c r="L639">
        <v>1.38E-2</v>
      </c>
      <c r="M639">
        <v>0.14810000000000001</v>
      </c>
      <c r="N639">
        <v>100.2567</v>
      </c>
      <c r="O639" t="s">
        <v>129</v>
      </c>
      <c r="P639" t="s">
        <v>44</v>
      </c>
      <c r="Q639">
        <f>I639-(K639*Standards!$I$15)</f>
        <v>2.23E-2</v>
      </c>
    </row>
    <row r="640" spans="1:17">
      <c r="A640">
        <v>20</v>
      </c>
      <c r="B640">
        <v>9.0499999999999997E-2</v>
      </c>
      <c r="C640">
        <v>0</v>
      </c>
      <c r="D640">
        <v>34.51</v>
      </c>
      <c r="E640">
        <v>1.6799999999999999E-2</v>
      </c>
      <c r="F640">
        <v>0</v>
      </c>
      <c r="G640">
        <v>0</v>
      </c>
      <c r="H640">
        <v>30.54</v>
      </c>
      <c r="I640">
        <v>0.02</v>
      </c>
      <c r="J640">
        <v>33.93</v>
      </c>
      <c r="K640">
        <v>0</v>
      </c>
      <c r="L640">
        <v>0.21870000000000001</v>
      </c>
      <c r="M640">
        <v>0.15590000000000001</v>
      </c>
      <c r="N640">
        <v>99.481899999999996</v>
      </c>
      <c r="O640" t="s">
        <v>260</v>
      </c>
      <c r="P640" t="s">
        <v>44</v>
      </c>
      <c r="Q640">
        <f>I640-(K640*Standards!$I$15)</f>
        <v>0.02</v>
      </c>
    </row>
    <row r="641" spans="1:23">
      <c r="A641">
        <v>11</v>
      </c>
      <c r="B641">
        <v>4.0399999999999998E-2</v>
      </c>
      <c r="C641">
        <v>0</v>
      </c>
      <c r="D641">
        <v>35.57</v>
      </c>
      <c r="E641">
        <v>1.34E-2</v>
      </c>
      <c r="F641">
        <v>0</v>
      </c>
      <c r="G641">
        <v>0</v>
      </c>
      <c r="H641">
        <v>41.98</v>
      </c>
      <c r="I641">
        <v>4.0000000000000001E-3</v>
      </c>
      <c r="J641">
        <v>23.32</v>
      </c>
      <c r="K641">
        <v>0</v>
      </c>
      <c r="L641">
        <v>1.8700000000000001E-2</v>
      </c>
      <c r="M641">
        <v>0.14810000000000001</v>
      </c>
      <c r="N641">
        <v>101.0946</v>
      </c>
      <c r="O641" t="s">
        <v>260</v>
      </c>
      <c r="P641" t="s">
        <v>44</v>
      </c>
      <c r="Q641">
        <f>I641-(K641*Standards!$I$15)</f>
        <v>4.0000000000000001E-3</v>
      </c>
    </row>
    <row r="642" spans="1:23">
      <c r="A642">
        <v>98</v>
      </c>
      <c r="B642">
        <v>0</v>
      </c>
      <c r="C642">
        <v>0</v>
      </c>
      <c r="D642">
        <v>35.17</v>
      </c>
      <c r="E642">
        <v>0</v>
      </c>
      <c r="F642">
        <v>0</v>
      </c>
      <c r="G642">
        <v>0</v>
      </c>
      <c r="H642">
        <v>30.52</v>
      </c>
      <c r="I642">
        <v>2.1299999999999999E-2</v>
      </c>
      <c r="J642">
        <v>34.619999999999997</v>
      </c>
      <c r="K642">
        <v>0</v>
      </c>
      <c r="L642">
        <v>5.6000000000000001E-2</v>
      </c>
      <c r="M642">
        <v>9.3200000000000005E-2</v>
      </c>
      <c r="N642">
        <v>100.4804</v>
      </c>
      <c r="O642" t="s">
        <v>263</v>
      </c>
      <c r="P642" t="s">
        <v>21</v>
      </c>
      <c r="Q642">
        <f>I642-(K642*Standards!$I$15)</f>
        <v>2.1299999999999999E-2</v>
      </c>
      <c r="R642" t="s">
        <v>21</v>
      </c>
      <c r="S642">
        <f>COUNT(Q642:Q723)</f>
        <v>82</v>
      </c>
      <c r="T642">
        <f>MAX(L642:L723)</f>
        <v>5.8000000000000003E-2</v>
      </c>
      <c r="U642">
        <f>AVERAGE(L642:L723)</f>
        <v>2.3046341463414634E-2</v>
      </c>
      <c r="V642">
        <f>10000*MAX(Q642:Q723)</f>
        <v>488.00000000000006</v>
      </c>
      <c r="W642">
        <f>10000*AVERAGE(Q642:Q723)</f>
        <v>286.71951219512192</v>
      </c>
    </row>
    <row r="643" spans="1:23">
      <c r="A643">
        <v>87</v>
      </c>
      <c r="B643">
        <v>2.7000000000000001E-3</v>
      </c>
      <c r="C643">
        <v>0</v>
      </c>
      <c r="D643">
        <v>35.159999999999997</v>
      </c>
      <c r="E643">
        <v>0</v>
      </c>
      <c r="F643">
        <v>0</v>
      </c>
      <c r="G643">
        <v>0</v>
      </c>
      <c r="H643">
        <v>29.96</v>
      </c>
      <c r="I643">
        <v>1.44E-2</v>
      </c>
      <c r="J643">
        <v>34.520000000000003</v>
      </c>
      <c r="K643">
        <v>0</v>
      </c>
      <c r="L643">
        <v>2.1700000000000001E-2</v>
      </c>
      <c r="M643">
        <v>0.13139999999999999</v>
      </c>
      <c r="N643">
        <v>99.810199999999995</v>
      </c>
      <c r="O643" t="s">
        <v>263</v>
      </c>
      <c r="P643" t="s">
        <v>21</v>
      </c>
      <c r="Q643">
        <f>I643-(K643*Standards!$I$15)</f>
        <v>1.44E-2</v>
      </c>
    </row>
    <row r="644" spans="1:23">
      <c r="A644">
        <v>72</v>
      </c>
      <c r="B644">
        <v>2.9999999999999997E-4</v>
      </c>
      <c r="C644">
        <v>0</v>
      </c>
      <c r="D644">
        <v>35.18</v>
      </c>
      <c r="E644">
        <v>2.18E-2</v>
      </c>
      <c r="F644">
        <v>0</v>
      </c>
      <c r="G644">
        <v>0</v>
      </c>
      <c r="H644">
        <v>30.08</v>
      </c>
      <c r="I644">
        <v>1.6E-2</v>
      </c>
      <c r="J644">
        <v>34.51</v>
      </c>
      <c r="K644">
        <v>0</v>
      </c>
      <c r="L644">
        <v>2.0899999999999998E-2</v>
      </c>
      <c r="M644">
        <v>0.14080000000000001</v>
      </c>
      <c r="N644">
        <v>99.969899999999996</v>
      </c>
      <c r="O644" t="s">
        <v>263</v>
      </c>
      <c r="P644" t="s">
        <v>21</v>
      </c>
      <c r="Q644">
        <f>I644-(K644*Standards!$I$15)</f>
        <v>1.6E-2</v>
      </c>
    </row>
    <row r="645" spans="1:23">
      <c r="A645">
        <v>76</v>
      </c>
      <c r="B645">
        <v>0</v>
      </c>
      <c r="C645">
        <v>0</v>
      </c>
      <c r="D645">
        <v>35.33</v>
      </c>
      <c r="E645">
        <v>0</v>
      </c>
      <c r="F645">
        <v>9.9000000000000008E-3</v>
      </c>
      <c r="G645">
        <v>0</v>
      </c>
      <c r="H645">
        <v>30.45</v>
      </c>
      <c r="I645">
        <v>1.23E-2</v>
      </c>
      <c r="J645">
        <v>34.5</v>
      </c>
      <c r="K645">
        <v>0</v>
      </c>
      <c r="L645">
        <v>2.07E-2</v>
      </c>
      <c r="M645">
        <v>0.11940000000000001</v>
      </c>
      <c r="N645">
        <v>100.4422</v>
      </c>
      <c r="O645" t="s">
        <v>263</v>
      </c>
      <c r="P645" t="s">
        <v>21</v>
      </c>
      <c r="Q645">
        <f>I645-(K645*Standards!$I$15)</f>
        <v>1.23E-2</v>
      </c>
    </row>
    <row r="646" spans="1:23">
      <c r="A646">
        <v>74</v>
      </c>
      <c r="B646">
        <v>3.5000000000000001E-3</v>
      </c>
      <c r="C646">
        <v>0</v>
      </c>
      <c r="D646">
        <v>35.36</v>
      </c>
      <c r="E646">
        <v>6.4000000000000003E-3</v>
      </c>
      <c r="F646">
        <v>0</v>
      </c>
      <c r="G646">
        <v>0</v>
      </c>
      <c r="H646">
        <v>30.57</v>
      </c>
      <c r="I646">
        <v>1.6500000000000001E-2</v>
      </c>
      <c r="J646">
        <v>34.479999999999997</v>
      </c>
      <c r="K646">
        <v>0</v>
      </c>
      <c r="L646">
        <v>5.2999999999999999E-2</v>
      </c>
      <c r="M646">
        <v>0.1384</v>
      </c>
      <c r="N646">
        <v>100.6277</v>
      </c>
      <c r="O646" t="s">
        <v>263</v>
      </c>
      <c r="P646" t="s">
        <v>21</v>
      </c>
      <c r="Q646">
        <f>I646-(K646*Standards!$I$15)</f>
        <v>1.6500000000000001E-2</v>
      </c>
    </row>
    <row r="647" spans="1:23">
      <c r="A647">
        <v>100</v>
      </c>
      <c r="B647">
        <v>0</v>
      </c>
      <c r="C647">
        <v>0</v>
      </c>
      <c r="D647">
        <v>35.35</v>
      </c>
      <c r="E647">
        <v>0</v>
      </c>
      <c r="F647">
        <v>0</v>
      </c>
      <c r="G647">
        <v>0</v>
      </c>
      <c r="H647">
        <v>30.03</v>
      </c>
      <c r="I647">
        <v>1.43E-2</v>
      </c>
      <c r="J647">
        <v>34.46</v>
      </c>
      <c r="K647">
        <v>0</v>
      </c>
      <c r="L647">
        <v>2.07E-2</v>
      </c>
      <c r="M647">
        <v>0.13469999999999999</v>
      </c>
      <c r="N647">
        <v>100.00960000000001</v>
      </c>
      <c r="O647" t="s">
        <v>263</v>
      </c>
      <c r="P647" t="s">
        <v>21</v>
      </c>
      <c r="Q647">
        <f>I647-(K647*Standards!$I$15)</f>
        <v>1.43E-2</v>
      </c>
    </row>
    <row r="648" spans="1:23">
      <c r="A648">
        <v>88</v>
      </c>
      <c r="B648">
        <v>0</v>
      </c>
      <c r="C648">
        <v>0</v>
      </c>
      <c r="D648">
        <v>35.69</v>
      </c>
      <c r="E648">
        <v>0</v>
      </c>
      <c r="F648">
        <v>0</v>
      </c>
      <c r="G648">
        <v>0</v>
      </c>
      <c r="H648">
        <v>30.25</v>
      </c>
      <c r="I648">
        <v>9.1999999999999998E-3</v>
      </c>
      <c r="J648">
        <v>34.43</v>
      </c>
      <c r="K648">
        <v>0</v>
      </c>
      <c r="L648">
        <v>2.92E-2</v>
      </c>
      <c r="M648">
        <v>0.11459999999999999</v>
      </c>
      <c r="N648">
        <v>100.52290000000001</v>
      </c>
      <c r="O648" t="s">
        <v>263</v>
      </c>
      <c r="P648" t="s">
        <v>21</v>
      </c>
      <c r="Q648">
        <f>I648-(K648*Standards!$I$15)</f>
        <v>9.1999999999999998E-3</v>
      </c>
    </row>
    <row r="649" spans="1:23">
      <c r="A649">
        <v>99</v>
      </c>
      <c r="B649">
        <v>0</v>
      </c>
      <c r="C649">
        <v>0</v>
      </c>
      <c r="D649">
        <v>35.409999999999997</v>
      </c>
      <c r="E649">
        <v>4.5999999999999999E-3</v>
      </c>
      <c r="F649">
        <v>0</v>
      </c>
      <c r="G649">
        <v>0</v>
      </c>
      <c r="H649">
        <v>30.43</v>
      </c>
      <c r="I649">
        <v>5.3E-3</v>
      </c>
      <c r="J649">
        <v>34.39</v>
      </c>
      <c r="K649">
        <v>0</v>
      </c>
      <c r="L649">
        <v>2.41E-2</v>
      </c>
      <c r="M649">
        <v>0.1171</v>
      </c>
      <c r="N649">
        <v>100.3811</v>
      </c>
      <c r="O649" t="s">
        <v>263</v>
      </c>
      <c r="P649" t="s">
        <v>21</v>
      </c>
      <c r="Q649">
        <f>I649-(K649*Standards!$I$15)</f>
        <v>5.3E-3</v>
      </c>
    </row>
    <row r="650" spans="1:23">
      <c r="A650">
        <v>84</v>
      </c>
      <c r="B650">
        <v>7.1000000000000004E-3</v>
      </c>
      <c r="C650">
        <v>0</v>
      </c>
      <c r="D650">
        <v>35.299999999999997</v>
      </c>
      <c r="E650">
        <v>3.7000000000000002E-3</v>
      </c>
      <c r="F650">
        <v>0</v>
      </c>
      <c r="G650">
        <v>0</v>
      </c>
      <c r="H650">
        <v>30.36</v>
      </c>
      <c r="I650">
        <v>1.0800000000000001E-2</v>
      </c>
      <c r="J650">
        <v>34.380000000000003</v>
      </c>
      <c r="K650">
        <v>0</v>
      </c>
      <c r="L650">
        <v>1.2800000000000001E-2</v>
      </c>
      <c r="M650">
        <v>0.13669999999999999</v>
      </c>
      <c r="N650">
        <v>100.2111</v>
      </c>
      <c r="O650" t="s">
        <v>263</v>
      </c>
      <c r="P650" t="s">
        <v>21</v>
      </c>
      <c r="Q650">
        <f>I650-(K650*Standards!$I$15)</f>
        <v>1.0800000000000001E-2</v>
      </c>
    </row>
    <row r="651" spans="1:23">
      <c r="A651">
        <v>89</v>
      </c>
      <c r="B651">
        <v>0</v>
      </c>
      <c r="C651">
        <v>0</v>
      </c>
      <c r="D651">
        <v>35.18</v>
      </c>
      <c r="E651">
        <v>0</v>
      </c>
      <c r="F651">
        <v>0</v>
      </c>
      <c r="G651">
        <v>0</v>
      </c>
      <c r="H651">
        <v>30.42</v>
      </c>
      <c r="I651">
        <v>1.4999999999999999E-2</v>
      </c>
      <c r="J651">
        <v>34.36</v>
      </c>
      <c r="K651">
        <v>0</v>
      </c>
      <c r="L651">
        <v>3.5900000000000001E-2</v>
      </c>
      <c r="M651">
        <v>0.14069999999999999</v>
      </c>
      <c r="N651">
        <v>100.1515</v>
      </c>
      <c r="O651" t="s">
        <v>263</v>
      </c>
      <c r="P651" t="s">
        <v>21</v>
      </c>
      <c r="Q651">
        <f>I651-(K651*Standards!$I$15)</f>
        <v>1.4999999999999999E-2</v>
      </c>
    </row>
    <row r="652" spans="1:23">
      <c r="A652">
        <v>94</v>
      </c>
      <c r="B652">
        <v>0</v>
      </c>
      <c r="C652">
        <v>0</v>
      </c>
      <c r="D652">
        <v>35.24</v>
      </c>
      <c r="E652">
        <v>0</v>
      </c>
      <c r="F652">
        <v>0</v>
      </c>
      <c r="G652">
        <v>0</v>
      </c>
      <c r="H652">
        <v>30</v>
      </c>
      <c r="I652">
        <v>4.8800000000000003E-2</v>
      </c>
      <c r="J652">
        <v>34.229999999999997</v>
      </c>
      <c r="K652">
        <v>0</v>
      </c>
      <c r="L652">
        <v>3.4299999999999997E-2</v>
      </c>
      <c r="M652">
        <v>9.98E-2</v>
      </c>
      <c r="N652">
        <v>99.653000000000006</v>
      </c>
      <c r="O652" t="s">
        <v>263</v>
      </c>
      <c r="P652" t="s">
        <v>21</v>
      </c>
      <c r="Q652">
        <f>I652-(K652*Standards!$I$15)</f>
        <v>4.8800000000000003E-2</v>
      </c>
    </row>
    <row r="653" spans="1:23">
      <c r="A653">
        <v>91</v>
      </c>
      <c r="B653">
        <v>0</v>
      </c>
      <c r="C653">
        <v>0</v>
      </c>
      <c r="D653">
        <v>35.22</v>
      </c>
      <c r="E653">
        <v>2.41E-2</v>
      </c>
      <c r="F653">
        <v>0</v>
      </c>
      <c r="G653">
        <v>0</v>
      </c>
      <c r="H653">
        <v>29.95</v>
      </c>
      <c r="I653">
        <v>2.4E-2</v>
      </c>
      <c r="J653">
        <v>33.93</v>
      </c>
      <c r="K653">
        <v>0</v>
      </c>
      <c r="L653">
        <v>2.4E-2</v>
      </c>
      <c r="M653">
        <v>0.13719999999999999</v>
      </c>
      <c r="N653">
        <v>99.309399999999997</v>
      </c>
      <c r="O653" t="s">
        <v>263</v>
      </c>
      <c r="P653" t="s">
        <v>21</v>
      </c>
      <c r="Q653">
        <f>I653-(K653*Standards!$I$15)</f>
        <v>2.4E-2</v>
      </c>
    </row>
    <row r="654" spans="1:23">
      <c r="A654">
        <v>90</v>
      </c>
      <c r="B654">
        <v>0</v>
      </c>
      <c r="C654">
        <v>0</v>
      </c>
      <c r="D654">
        <v>35.200000000000003</v>
      </c>
      <c r="E654">
        <v>0</v>
      </c>
      <c r="F654">
        <v>0</v>
      </c>
      <c r="G654">
        <v>0</v>
      </c>
      <c r="H654">
        <v>29.89</v>
      </c>
      <c r="I654">
        <v>3.85E-2</v>
      </c>
      <c r="J654">
        <v>33.93</v>
      </c>
      <c r="K654">
        <v>0</v>
      </c>
      <c r="L654">
        <v>2.8500000000000001E-2</v>
      </c>
      <c r="M654">
        <v>0.1449</v>
      </c>
      <c r="N654">
        <v>99.231899999999996</v>
      </c>
      <c r="O654" t="s">
        <v>263</v>
      </c>
      <c r="P654" t="s">
        <v>21</v>
      </c>
      <c r="Q654">
        <f>I654-(K654*Standards!$I$15)</f>
        <v>3.85E-2</v>
      </c>
    </row>
    <row r="655" spans="1:23">
      <c r="A655">
        <v>84</v>
      </c>
      <c r="B655">
        <v>4.0000000000000002E-4</v>
      </c>
      <c r="C655">
        <v>0</v>
      </c>
      <c r="D655">
        <v>35.03</v>
      </c>
      <c r="E655">
        <v>0</v>
      </c>
      <c r="F655">
        <v>0</v>
      </c>
      <c r="G655">
        <v>0</v>
      </c>
      <c r="H655">
        <v>30.83</v>
      </c>
      <c r="I655">
        <v>8.5000000000000006E-3</v>
      </c>
      <c r="J655">
        <v>34.54</v>
      </c>
      <c r="K655">
        <v>0</v>
      </c>
      <c r="L655">
        <v>1.12E-2</v>
      </c>
      <c r="M655">
        <v>0.10539999999999999</v>
      </c>
      <c r="N655">
        <v>100.5254</v>
      </c>
      <c r="O655" t="s">
        <v>264</v>
      </c>
      <c r="P655" t="s">
        <v>21</v>
      </c>
      <c r="Q655">
        <f>I655-(K655*Standards!$I$15)</f>
        <v>8.5000000000000006E-3</v>
      </c>
    </row>
    <row r="656" spans="1:23">
      <c r="A656">
        <v>85</v>
      </c>
      <c r="B656">
        <v>0</v>
      </c>
      <c r="C656">
        <v>0</v>
      </c>
      <c r="D656">
        <v>35.1</v>
      </c>
      <c r="E656">
        <v>1.6000000000000001E-3</v>
      </c>
      <c r="F656">
        <v>0</v>
      </c>
      <c r="G656">
        <v>0</v>
      </c>
      <c r="H656">
        <v>31.45</v>
      </c>
      <c r="I656">
        <v>1.3299999999999999E-2</v>
      </c>
      <c r="J656">
        <v>34.47</v>
      </c>
      <c r="K656">
        <v>0</v>
      </c>
      <c r="L656">
        <v>1.29E-2</v>
      </c>
      <c r="M656">
        <v>0.1226</v>
      </c>
      <c r="N656">
        <v>101.1703</v>
      </c>
      <c r="O656" t="s">
        <v>264</v>
      </c>
      <c r="P656" t="s">
        <v>21</v>
      </c>
      <c r="Q656">
        <f>I656-(K656*Standards!$I$15)</f>
        <v>1.3299999999999999E-2</v>
      </c>
    </row>
    <row r="657" spans="1:17">
      <c r="A657">
        <v>83</v>
      </c>
      <c r="B657">
        <v>0</v>
      </c>
      <c r="C657">
        <v>0</v>
      </c>
      <c r="D657">
        <v>35.08</v>
      </c>
      <c r="E657">
        <v>0</v>
      </c>
      <c r="F657">
        <v>0</v>
      </c>
      <c r="G657">
        <v>2.3999999999999998E-3</v>
      </c>
      <c r="H657">
        <v>31.3</v>
      </c>
      <c r="I657">
        <v>1.78E-2</v>
      </c>
      <c r="J657">
        <v>34.46</v>
      </c>
      <c r="K657">
        <v>0</v>
      </c>
      <c r="L657">
        <v>4.7899999999999998E-2</v>
      </c>
      <c r="M657">
        <v>0.12790000000000001</v>
      </c>
      <c r="N657">
        <v>101.0359</v>
      </c>
      <c r="O657" t="s">
        <v>264</v>
      </c>
      <c r="P657" t="s">
        <v>21</v>
      </c>
      <c r="Q657">
        <f>I657-(K657*Standards!$I$15)</f>
        <v>1.78E-2</v>
      </c>
    </row>
    <row r="658" spans="1:17">
      <c r="A658">
        <v>81</v>
      </c>
      <c r="B658">
        <v>0</v>
      </c>
      <c r="C658">
        <v>0</v>
      </c>
      <c r="D658">
        <v>34.92</v>
      </c>
      <c r="E658">
        <v>0</v>
      </c>
      <c r="F658">
        <v>6.3E-3</v>
      </c>
      <c r="G658">
        <v>0</v>
      </c>
      <c r="H658">
        <v>31.07</v>
      </c>
      <c r="I658">
        <v>1.4500000000000001E-2</v>
      </c>
      <c r="J658">
        <v>34.450000000000003</v>
      </c>
      <c r="K658">
        <v>0</v>
      </c>
      <c r="L658">
        <v>3.1300000000000001E-2</v>
      </c>
      <c r="M658">
        <v>0.1012</v>
      </c>
      <c r="N658">
        <v>100.5932</v>
      </c>
      <c r="O658" t="s">
        <v>264</v>
      </c>
      <c r="P658" t="s">
        <v>21</v>
      </c>
      <c r="Q658">
        <f>I658-(K658*Standards!$I$15)</f>
        <v>1.4500000000000001E-2</v>
      </c>
    </row>
    <row r="659" spans="1:17">
      <c r="A659">
        <v>80</v>
      </c>
      <c r="B659">
        <v>0</v>
      </c>
      <c r="C659">
        <v>0</v>
      </c>
      <c r="D659">
        <v>35.03</v>
      </c>
      <c r="E659">
        <v>0</v>
      </c>
      <c r="F659">
        <v>3.7000000000000002E-3</v>
      </c>
      <c r="G659">
        <v>0</v>
      </c>
      <c r="H659">
        <v>30.99</v>
      </c>
      <c r="I659">
        <v>1.5699999999999999E-2</v>
      </c>
      <c r="J659">
        <v>34.4</v>
      </c>
      <c r="K659">
        <v>0</v>
      </c>
      <c r="L659">
        <v>1.2500000000000001E-2</v>
      </c>
      <c r="M659">
        <v>0.1174</v>
      </c>
      <c r="N659">
        <v>100.5692</v>
      </c>
      <c r="O659" t="s">
        <v>264</v>
      </c>
      <c r="P659" t="s">
        <v>21</v>
      </c>
      <c r="Q659">
        <f>I659-(K659*Standards!$I$15)</f>
        <v>1.5699999999999999E-2</v>
      </c>
    </row>
    <row r="660" spans="1:17">
      <c r="A660">
        <v>92</v>
      </c>
      <c r="B660">
        <v>0</v>
      </c>
      <c r="C660">
        <v>0</v>
      </c>
      <c r="D660">
        <v>35.08</v>
      </c>
      <c r="E660">
        <v>2.3999999999999998E-3</v>
      </c>
      <c r="F660">
        <v>0</v>
      </c>
      <c r="G660">
        <v>0</v>
      </c>
      <c r="H660">
        <v>31.02</v>
      </c>
      <c r="I660">
        <v>1.54E-2</v>
      </c>
      <c r="J660">
        <v>34.299999999999997</v>
      </c>
      <c r="K660">
        <v>0</v>
      </c>
      <c r="L660">
        <v>1.2500000000000001E-2</v>
      </c>
      <c r="M660">
        <v>0.10879999999999999</v>
      </c>
      <c r="N660">
        <v>100.539</v>
      </c>
      <c r="O660" t="s">
        <v>264</v>
      </c>
      <c r="P660" t="s">
        <v>21</v>
      </c>
      <c r="Q660">
        <f>I660-(K660*Standards!$I$15)</f>
        <v>1.54E-2</v>
      </c>
    </row>
    <row r="661" spans="1:17">
      <c r="A661">
        <v>78</v>
      </c>
      <c r="B661">
        <v>0</v>
      </c>
      <c r="C661">
        <v>0</v>
      </c>
      <c r="D661">
        <v>35.06</v>
      </c>
      <c r="E661">
        <v>1.2500000000000001E-2</v>
      </c>
      <c r="F661">
        <v>0</v>
      </c>
      <c r="G661">
        <v>0</v>
      </c>
      <c r="H661">
        <v>31.24</v>
      </c>
      <c r="I661">
        <v>1.46E-2</v>
      </c>
      <c r="J661">
        <v>34.29</v>
      </c>
      <c r="K661">
        <v>0</v>
      </c>
      <c r="L661">
        <v>3.4500000000000003E-2</v>
      </c>
      <c r="M661">
        <v>0.115</v>
      </c>
      <c r="N661">
        <v>100.76649999999999</v>
      </c>
      <c r="O661" t="s">
        <v>264</v>
      </c>
      <c r="P661" t="s">
        <v>21</v>
      </c>
      <c r="Q661">
        <f>I661-(K661*Standards!$I$15)</f>
        <v>1.46E-2</v>
      </c>
    </row>
    <row r="662" spans="1:17">
      <c r="A662">
        <v>79</v>
      </c>
      <c r="B662">
        <v>1E-4</v>
      </c>
      <c r="C662">
        <v>0</v>
      </c>
      <c r="D662">
        <v>35.04</v>
      </c>
      <c r="E662">
        <v>6.7999999999999996E-3</v>
      </c>
      <c r="F662">
        <v>1.6999999999999999E-3</v>
      </c>
      <c r="G662">
        <v>0</v>
      </c>
      <c r="H662">
        <v>31.03</v>
      </c>
      <c r="I662">
        <v>1.7299999999999999E-2</v>
      </c>
      <c r="J662">
        <v>34.29</v>
      </c>
      <c r="K662">
        <v>0</v>
      </c>
      <c r="L662">
        <v>2.9899999999999999E-2</v>
      </c>
      <c r="M662">
        <v>8.0399999999999999E-2</v>
      </c>
      <c r="N662">
        <v>100.4962</v>
      </c>
      <c r="O662" t="s">
        <v>264</v>
      </c>
      <c r="P662" t="s">
        <v>21</v>
      </c>
      <c r="Q662">
        <f>I662-(K662*Standards!$I$15)</f>
        <v>1.7299999999999999E-2</v>
      </c>
    </row>
    <row r="663" spans="1:17">
      <c r="A663">
        <v>82</v>
      </c>
      <c r="B663">
        <v>0</v>
      </c>
      <c r="C663">
        <v>0</v>
      </c>
      <c r="D663">
        <v>35</v>
      </c>
      <c r="E663">
        <v>0</v>
      </c>
      <c r="F663">
        <v>1.0699999999999999E-2</v>
      </c>
      <c r="G663">
        <v>0</v>
      </c>
      <c r="H663">
        <v>31.24</v>
      </c>
      <c r="I663">
        <v>1.6899999999999998E-2</v>
      </c>
      <c r="J663">
        <v>34.119999999999997</v>
      </c>
      <c r="K663">
        <v>0</v>
      </c>
      <c r="L663">
        <v>9.4000000000000004E-3</v>
      </c>
      <c r="M663">
        <v>0.1103</v>
      </c>
      <c r="N663">
        <v>100.5072</v>
      </c>
      <c r="O663" t="s">
        <v>264</v>
      </c>
      <c r="P663" t="s">
        <v>21</v>
      </c>
      <c r="Q663">
        <f>I663-(K663*Standards!$I$15)</f>
        <v>1.6899999999999998E-2</v>
      </c>
    </row>
    <row r="664" spans="1:17">
      <c r="A664">
        <v>49</v>
      </c>
      <c r="B664">
        <v>0</v>
      </c>
      <c r="C664">
        <v>0</v>
      </c>
      <c r="D664">
        <v>35.21</v>
      </c>
      <c r="E664">
        <v>0</v>
      </c>
      <c r="F664">
        <v>0</v>
      </c>
      <c r="G664">
        <v>1.2999999999999999E-3</v>
      </c>
      <c r="H664">
        <v>30.78</v>
      </c>
      <c r="I664">
        <v>1.17E-2</v>
      </c>
      <c r="J664">
        <v>34.6</v>
      </c>
      <c r="K664">
        <v>0</v>
      </c>
      <c r="L664">
        <v>1.2500000000000001E-2</v>
      </c>
      <c r="M664">
        <v>9.8299999999999998E-2</v>
      </c>
      <c r="N664">
        <v>100.7137</v>
      </c>
      <c r="O664" t="s">
        <v>265</v>
      </c>
      <c r="P664" t="s">
        <v>21</v>
      </c>
      <c r="Q664">
        <f>I664-(K664*Standards!$I$15)</f>
        <v>1.17E-2</v>
      </c>
    </row>
    <row r="665" spans="1:17">
      <c r="A665">
        <v>47</v>
      </c>
      <c r="B665">
        <v>2.8E-3</v>
      </c>
      <c r="C665">
        <v>0</v>
      </c>
      <c r="D665">
        <v>35.08</v>
      </c>
      <c r="E665">
        <v>0</v>
      </c>
      <c r="F665">
        <v>0</v>
      </c>
      <c r="G665">
        <v>0</v>
      </c>
      <c r="H665">
        <v>30.75</v>
      </c>
      <c r="I665">
        <v>1.7100000000000001E-2</v>
      </c>
      <c r="J665">
        <v>34.4</v>
      </c>
      <c r="K665">
        <v>0</v>
      </c>
      <c r="L665">
        <v>2.9499999999999998E-2</v>
      </c>
      <c r="M665">
        <v>0.1195</v>
      </c>
      <c r="N665">
        <v>100.39879999999999</v>
      </c>
      <c r="O665" t="s">
        <v>265</v>
      </c>
      <c r="P665" t="s">
        <v>21</v>
      </c>
      <c r="Q665">
        <f>I665-(K665*Standards!$I$15)</f>
        <v>1.7100000000000001E-2</v>
      </c>
    </row>
    <row r="666" spans="1:17">
      <c r="A666">
        <v>50</v>
      </c>
      <c r="B666">
        <v>0</v>
      </c>
      <c r="C666">
        <v>0</v>
      </c>
      <c r="D666">
        <v>35.21</v>
      </c>
      <c r="E666">
        <v>3.0000000000000001E-3</v>
      </c>
      <c r="F666">
        <v>0</v>
      </c>
      <c r="G666">
        <v>0</v>
      </c>
      <c r="H666">
        <v>30.7</v>
      </c>
      <c r="I666">
        <v>1.23E-2</v>
      </c>
      <c r="J666">
        <v>34.340000000000003</v>
      </c>
      <c r="K666">
        <v>0</v>
      </c>
      <c r="L666">
        <v>2.6599999999999999E-2</v>
      </c>
      <c r="M666">
        <v>9.7900000000000001E-2</v>
      </c>
      <c r="N666">
        <v>100.3897</v>
      </c>
      <c r="O666" t="s">
        <v>265</v>
      </c>
      <c r="P666" t="s">
        <v>21</v>
      </c>
      <c r="Q666">
        <f>I666-(K666*Standards!$I$15)</f>
        <v>1.23E-2</v>
      </c>
    </row>
    <row r="667" spans="1:17">
      <c r="A667">
        <v>52</v>
      </c>
      <c r="B667">
        <v>0</v>
      </c>
      <c r="C667">
        <v>0</v>
      </c>
      <c r="D667">
        <v>35.19</v>
      </c>
      <c r="E667">
        <v>0</v>
      </c>
      <c r="F667">
        <v>0</v>
      </c>
      <c r="G667">
        <v>0</v>
      </c>
      <c r="H667">
        <v>30.52</v>
      </c>
      <c r="I667">
        <v>1.6899999999999998E-2</v>
      </c>
      <c r="J667">
        <v>34.17</v>
      </c>
      <c r="K667">
        <v>0</v>
      </c>
      <c r="L667">
        <v>2.1899999999999999E-2</v>
      </c>
      <c r="M667">
        <v>9.1300000000000006E-2</v>
      </c>
      <c r="N667">
        <v>100.01</v>
      </c>
      <c r="O667" t="s">
        <v>265</v>
      </c>
      <c r="P667" t="s">
        <v>21</v>
      </c>
      <c r="Q667">
        <f>I667-(K667*Standards!$I$15)</f>
        <v>1.6899999999999998E-2</v>
      </c>
    </row>
    <row r="668" spans="1:17">
      <c r="A668">
        <v>53</v>
      </c>
      <c r="B668">
        <v>0</v>
      </c>
      <c r="C668">
        <v>0</v>
      </c>
      <c r="D668">
        <v>35.130000000000003</v>
      </c>
      <c r="E668">
        <v>0</v>
      </c>
      <c r="F668">
        <v>0</v>
      </c>
      <c r="G668">
        <v>0</v>
      </c>
      <c r="H668">
        <v>30.26</v>
      </c>
      <c r="I668">
        <v>2.6100000000000002E-2</v>
      </c>
      <c r="J668">
        <v>34.15</v>
      </c>
      <c r="K668">
        <v>0</v>
      </c>
      <c r="L668">
        <v>8.0999999999999996E-3</v>
      </c>
      <c r="M668">
        <v>8.7999999999999995E-2</v>
      </c>
      <c r="N668">
        <v>99.662300000000002</v>
      </c>
      <c r="O668" t="s">
        <v>265</v>
      </c>
      <c r="P668" t="s">
        <v>21</v>
      </c>
      <c r="Q668">
        <f>I668-(K668*Standards!$I$15)</f>
        <v>2.6100000000000002E-2</v>
      </c>
    </row>
    <row r="669" spans="1:17">
      <c r="A669">
        <v>51</v>
      </c>
      <c r="B669">
        <v>0</v>
      </c>
      <c r="C669">
        <v>0</v>
      </c>
      <c r="D669">
        <v>35.049999999999997</v>
      </c>
      <c r="E669">
        <v>8.6999999999999994E-3</v>
      </c>
      <c r="F669">
        <v>0</v>
      </c>
      <c r="G669">
        <v>0</v>
      </c>
      <c r="H669">
        <v>30.59</v>
      </c>
      <c r="I669">
        <v>1.95E-2</v>
      </c>
      <c r="J669">
        <v>33.99</v>
      </c>
      <c r="K669">
        <v>0</v>
      </c>
      <c r="L669">
        <v>2.6499999999999999E-2</v>
      </c>
      <c r="M669">
        <v>0.11360000000000001</v>
      </c>
      <c r="N669">
        <v>99.798400000000001</v>
      </c>
      <c r="O669" t="s">
        <v>265</v>
      </c>
      <c r="P669" t="s">
        <v>21</v>
      </c>
      <c r="Q669">
        <f>I669-(K669*Standards!$I$15)</f>
        <v>1.95E-2</v>
      </c>
    </row>
    <row r="670" spans="1:17">
      <c r="A670">
        <v>63</v>
      </c>
      <c r="B670">
        <v>0</v>
      </c>
      <c r="C670">
        <v>0</v>
      </c>
      <c r="D670">
        <v>35.18</v>
      </c>
      <c r="E670">
        <v>0</v>
      </c>
      <c r="F670">
        <v>0</v>
      </c>
      <c r="G670">
        <v>0</v>
      </c>
      <c r="H670">
        <v>30.87</v>
      </c>
      <c r="I670">
        <v>4.1500000000000002E-2</v>
      </c>
      <c r="J670">
        <v>34.21</v>
      </c>
      <c r="K670">
        <v>0</v>
      </c>
      <c r="L670">
        <v>3.04E-2</v>
      </c>
      <c r="M670">
        <v>0.1057</v>
      </c>
      <c r="N670">
        <v>100.4375</v>
      </c>
      <c r="O670" t="s">
        <v>266</v>
      </c>
      <c r="P670" t="s">
        <v>21</v>
      </c>
      <c r="Q670">
        <f>I670-(K670*Standards!$I$15)</f>
        <v>4.1500000000000002E-2</v>
      </c>
    </row>
    <row r="671" spans="1:17">
      <c r="A671">
        <v>62</v>
      </c>
      <c r="B671">
        <v>0</v>
      </c>
      <c r="C671">
        <v>0</v>
      </c>
      <c r="D671">
        <v>35.18</v>
      </c>
      <c r="E671">
        <v>2E-3</v>
      </c>
      <c r="F671">
        <v>0</v>
      </c>
      <c r="G671">
        <v>0</v>
      </c>
      <c r="H671">
        <v>30.59</v>
      </c>
      <c r="I671">
        <v>3.9800000000000002E-2</v>
      </c>
      <c r="J671">
        <v>34.32</v>
      </c>
      <c r="K671">
        <v>0</v>
      </c>
      <c r="L671">
        <v>3.8E-3</v>
      </c>
      <c r="M671">
        <v>0.11650000000000001</v>
      </c>
      <c r="N671">
        <v>100.2521</v>
      </c>
      <c r="O671" t="s">
        <v>266</v>
      </c>
      <c r="P671" t="s">
        <v>21</v>
      </c>
      <c r="Q671">
        <f>I671-(K671*Standards!$I$15)</f>
        <v>3.9800000000000002E-2</v>
      </c>
    </row>
    <row r="672" spans="1:17">
      <c r="A672">
        <v>61</v>
      </c>
      <c r="B672">
        <v>0</v>
      </c>
      <c r="C672">
        <v>0</v>
      </c>
      <c r="D672">
        <v>35.14</v>
      </c>
      <c r="E672">
        <v>0</v>
      </c>
      <c r="F672">
        <v>0</v>
      </c>
      <c r="G672">
        <v>0</v>
      </c>
      <c r="H672">
        <v>30.59</v>
      </c>
      <c r="I672">
        <v>3.7999999999999999E-2</v>
      </c>
      <c r="J672">
        <v>34.369999999999997</v>
      </c>
      <c r="K672">
        <v>0</v>
      </c>
      <c r="L672">
        <v>1.66E-2</v>
      </c>
      <c r="M672">
        <v>0.1154</v>
      </c>
      <c r="N672">
        <v>100.27</v>
      </c>
      <c r="O672" t="s">
        <v>266</v>
      </c>
      <c r="P672" t="s">
        <v>21</v>
      </c>
      <c r="Q672">
        <f>I672-(K672*Standards!$I$15)</f>
        <v>3.7999999999999999E-2</v>
      </c>
    </row>
    <row r="673" spans="1:17">
      <c r="A673">
        <v>70</v>
      </c>
      <c r="B673">
        <v>0</v>
      </c>
      <c r="C673">
        <v>0</v>
      </c>
      <c r="D673">
        <v>35.17</v>
      </c>
      <c r="E673">
        <v>1E-4</v>
      </c>
      <c r="F673">
        <v>0</v>
      </c>
      <c r="G673">
        <v>0</v>
      </c>
      <c r="H673">
        <v>30.67</v>
      </c>
      <c r="I673">
        <v>4.1700000000000001E-2</v>
      </c>
      <c r="J673">
        <v>34.4</v>
      </c>
      <c r="K673">
        <v>0</v>
      </c>
      <c r="L673">
        <v>4.6300000000000001E-2</v>
      </c>
      <c r="M673">
        <v>0.1108</v>
      </c>
      <c r="N673">
        <v>100.4389</v>
      </c>
      <c r="O673" t="s">
        <v>266</v>
      </c>
      <c r="P673" t="s">
        <v>21</v>
      </c>
      <c r="Q673">
        <f>I673-(K673*Standards!$I$15)</f>
        <v>4.1700000000000001E-2</v>
      </c>
    </row>
    <row r="674" spans="1:17">
      <c r="A674">
        <v>64</v>
      </c>
      <c r="B674">
        <v>0</v>
      </c>
      <c r="C674">
        <v>0</v>
      </c>
      <c r="D674">
        <v>35.159999999999997</v>
      </c>
      <c r="E674">
        <v>0</v>
      </c>
      <c r="F674">
        <v>0</v>
      </c>
      <c r="G674">
        <v>0</v>
      </c>
      <c r="H674">
        <v>30.82</v>
      </c>
      <c r="I674">
        <v>3.7400000000000003E-2</v>
      </c>
      <c r="J674">
        <v>34.4</v>
      </c>
      <c r="K674">
        <v>0</v>
      </c>
      <c r="L674">
        <v>4.8099999999999997E-2</v>
      </c>
      <c r="M674">
        <v>0.11360000000000001</v>
      </c>
      <c r="N674">
        <v>100.57899999999999</v>
      </c>
      <c r="O674" t="s">
        <v>266</v>
      </c>
      <c r="P674" t="s">
        <v>21</v>
      </c>
      <c r="Q674">
        <f>I674-(K674*Standards!$I$15)</f>
        <v>3.7400000000000003E-2</v>
      </c>
    </row>
    <row r="675" spans="1:17">
      <c r="A675">
        <v>53</v>
      </c>
      <c r="B675">
        <v>0</v>
      </c>
      <c r="C675">
        <v>0</v>
      </c>
      <c r="D675">
        <v>35.119999999999997</v>
      </c>
      <c r="E675">
        <v>0</v>
      </c>
      <c r="F675">
        <v>0</v>
      </c>
      <c r="G675">
        <v>5.1000000000000004E-3</v>
      </c>
      <c r="H675">
        <v>30.81</v>
      </c>
      <c r="I675">
        <v>4.2099999999999999E-2</v>
      </c>
      <c r="J675">
        <v>34.42</v>
      </c>
      <c r="K675">
        <v>0</v>
      </c>
      <c r="L675">
        <v>3.0200000000000001E-2</v>
      </c>
      <c r="M675">
        <v>0.1174</v>
      </c>
      <c r="N675">
        <v>100.54470000000001</v>
      </c>
      <c r="O675" t="s">
        <v>266</v>
      </c>
      <c r="P675" t="s">
        <v>21</v>
      </c>
      <c r="Q675">
        <f>I675-(K675*Standards!$I$15)</f>
        <v>4.2099999999999999E-2</v>
      </c>
    </row>
    <row r="676" spans="1:17">
      <c r="A676">
        <v>52</v>
      </c>
      <c r="B676">
        <v>4.7000000000000002E-3</v>
      </c>
      <c r="C676">
        <v>0</v>
      </c>
      <c r="D676">
        <v>35.19</v>
      </c>
      <c r="E676">
        <v>5.4999999999999997E-3</v>
      </c>
      <c r="F676">
        <v>0</v>
      </c>
      <c r="G676">
        <v>0</v>
      </c>
      <c r="H676">
        <v>30.58</v>
      </c>
      <c r="I676">
        <v>4.0399999999999998E-2</v>
      </c>
      <c r="J676">
        <v>34.44</v>
      </c>
      <c r="K676">
        <v>0</v>
      </c>
      <c r="L676">
        <v>1.6899999999999998E-2</v>
      </c>
      <c r="M676">
        <v>0.1176</v>
      </c>
      <c r="N676">
        <v>100.395</v>
      </c>
      <c r="O676" t="s">
        <v>266</v>
      </c>
      <c r="P676" t="s">
        <v>21</v>
      </c>
      <c r="Q676">
        <f>I676-(K676*Standards!$I$15)</f>
        <v>4.0399999999999998E-2</v>
      </c>
    </row>
    <row r="677" spans="1:17">
      <c r="A677">
        <v>65</v>
      </c>
      <c r="B677">
        <v>0</v>
      </c>
      <c r="C677">
        <v>0</v>
      </c>
      <c r="D677">
        <v>35.14</v>
      </c>
      <c r="E677">
        <v>8.0000000000000004E-4</v>
      </c>
      <c r="F677">
        <v>1.8E-3</v>
      </c>
      <c r="G677">
        <v>0</v>
      </c>
      <c r="H677">
        <v>30.86</v>
      </c>
      <c r="I677">
        <v>3.27E-2</v>
      </c>
      <c r="J677">
        <v>34.44</v>
      </c>
      <c r="K677">
        <v>0</v>
      </c>
      <c r="L677">
        <v>2.0299999999999999E-2</v>
      </c>
      <c r="M677">
        <v>0.1166</v>
      </c>
      <c r="N677">
        <v>100.6121</v>
      </c>
      <c r="O677" t="s">
        <v>266</v>
      </c>
      <c r="P677" t="s">
        <v>21</v>
      </c>
      <c r="Q677">
        <f>I677-(K677*Standards!$I$15)</f>
        <v>3.27E-2</v>
      </c>
    </row>
    <row r="678" spans="1:17">
      <c r="A678">
        <v>55</v>
      </c>
      <c r="B678">
        <v>4.0000000000000002E-4</v>
      </c>
      <c r="C678">
        <v>0</v>
      </c>
      <c r="D678">
        <v>35.229999999999997</v>
      </c>
      <c r="E678">
        <v>8.6999999999999994E-3</v>
      </c>
      <c r="F678">
        <v>0</v>
      </c>
      <c r="G678">
        <v>0</v>
      </c>
      <c r="H678">
        <v>30.72</v>
      </c>
      <c r="I678">
        <v>3.9E-2</v>
      </c>
      <c r="J678">
        <v>34.450000000000003</v>
      </c>
      <c r="K678">
        <v>0</v>
      </c>
      <c r="L678">
        <v>3.2800000000000003E-2</v>
      </c>
      <c r="M678">
        <v>0.1076</v>
      </c>
      <c r="N678">
        <v>100.58839999999999</v>
      </c>
      <c r="O678" t="s">
        <v>266</v>
      </c>
      <c r="P678" t="s">
        <v>21</v>
      </c>
      <c r="Q678">
        <f>I678-(K678*Standards!$I$15)</f>
        <v>3.9E-2</v>
      </c>
    </row>
    <row r="679" spans="1:17">
      <c r="A679">
        <v>67</v>
      </c>
      <c r="B679">
        <v>5.8999999999999999E-3</v>
      </c>
      <c r="C679">
        <v>0</v>
      </c>
      <c r="D679">
        <v>35.18</v>
      </c>
      <c r="E679">
        <v>1.04E-2</v>
      </c>
      <c r="F679">
        <v>0</v>
      </c>
      <c r="G679">
        <v>0</v>
      </c>
      <c r="H679">
        <v>30.52</v>
      </c>
      <c r="I679">
        <v>2.86E-2</v>
      </c>
      <c r="J679">
        <v>34.49</v>
      </c>
      <c r="K679">
        <v>0</v>
      </c>
      <c r="L679">
        <v>1.09E-2</v>
      </c>
      <c r="M679">
        <v>0.1232</v>
      </c>
      <c r="N679">
        <v>100.369</v>
      </c>
      <c r="O679" t="s">
        <v>266</v>
      </c>
      <c r="P679" t="s">
        <v>21</v>
      </c>
      <c r="Q679">
        <f>I679-(K679*Standards!$I$15)</f>
        <v>2.86E-2</v>
      </c>
    </row>
    <row r="680" spans="1:17">
      <c r="A680">
        <v>75</v>
      </c>
      <c r="B680">
        <v>0</v>
      </c>
      <c r="C680">
        <v>0</v>
      </c>
      <c r="D680">
        <v>35.1</v>
      </c>
      <c r="E680">
        <v>0</v>
      </c>
      <c r="F680">
        <v>0</v>
      </c>
      <c r="G680">
        <v>0</v>
      </c>
      <c r="H680">
        <v>30.85</v>
      </c>
      <c r="I680">
        <v>3.3000000000000002E-2</v>
      </c>
      <c r="J680">
        <v>34.49</v>
      </c>
      <c r="K680">
        <v>0</v>
      </c>
      <c r="L680">
        <v>3.44E-2</v>
      </c>
      <c r="M680">
        <v>0.1089</v>
      </c>
      <c r="N680">
        <v>100.61620000000001</v>
      </c>
      <c r="O680" t="s">
        <v>266</v>
      </c>
      <c r="P680" t="s">
        <v>21</v>
      </c>
      <c r="Q680">
        <f>I680-(K680*Standards!$I$15)</f>
        <v>3.3000000000000002E-2</v>
      </c>
    </row>
    <row r="681" spans="1:17">
      <c r="A681">
        <v>59</v>
      </c>
      <c r="B681">
        <v>0</v>
      </c>
      <c r="C681">
        <v>0</v>
      </c>
      <c r="D681">
        <v>35.21</v>
      </c>
      <c r="E681">
        <v>0</v>
      </c>
      <c r="F681">
        <v>0</v>
      </c>
      <c r="G681">
        <v>0</v>
      </c>
      <c r="H681">
        <v>30.5</v>
      </c>
      <c r="I681">
        <v>4.1599999999999998E-2</v>
      </c>
      <c r="J681">
        <v>34.5</v>
      </c>
      <c r="K681">
        <v>0</v>
      </c>
      <c r="L681">
        <v>2.1299999999999999E-2</v>
      </c>
      <c r="M681">
        <v>0.14660000000000001</v>
      </c>
      <c r="N681">
        <v>100.4194</v>
      </c>
      <c r="O681" t="s">
        <v>266</v>
      </c>
      <c r="P681" t="s">
        <v>21</v>
      </c>
      <c r="Q681">
        <f>I681-(K681*Standards!$I$15)</f>
        <v>4.1599999999999998E-2</v>
      </c>
    </row>
    <row r="682" spans="1:17">
      <c r="A682">
        <v>68</v>
      </c>
      <c r="B682">
        <v>3.0999999999999999E-3</v>
      </c>
      <c r="C682">
        <v>0</v>
      </c>
      <c r="D682">
        <v>35.49</v>
      </c>
      <c r="E682">
        <v>1.6999999999999999E-3</v>
      </c>
      <c r="F682">
        <v>0</v>
      </c>
      <c r="G682">
        <v>0</v>
      </c>
      <c r="H682">
        <v>30.62</v>
      </c>
      <c r="I682">
        <v>2.07E-2</v>
      </c>
      <c r="J682">
        <v>34.51</v>
      </c>
      <c r="K682">
        <v>0</v>
      </c>
      <c r="L682">
        <v>4.1200000000000001E-2</v>
      </c>
      <c r="M682">
        <v>0.13650000000000001</v>
      </c>
      <c r="N682">
        <v>100.8232</v>
      </c>
      <c r="O682" t="s">
        <v>266</v>
      </c>
      <c r="P682" t="s">
        <v>21</v>
      </c>
      <c r="Q682">
        <f>I682-(K682*Standards!$I$15)</f>
        <v>2.07E-2</v>
      </c>
    </row>
    <row r="683" spans="1:17">
      <c r="A683">
        <v>54</v>
      </c>
      <c r="B683">
        <v>0</v>
      </c>
      <c r="C683">
        <v>0</v>
      </c>
      <c r="D683">
        <v>35.14</v>
      </c>
      <c r="E683">
        <v>0</v>
      </c>
      <c r="F683">
        <v>9.5999999999999992E-3</v>
      </c>
      <c r="G683">
        <v>0</v>
      </c>
      <c r="H683">
        <v>30.62</v>
      </c>
      <c r="I683">
        <v>4.4600000000000001E-2</v>
      </c>
      <c r="J683">
        <v>34.520000000000003</v>
      </c>
      <c r="K683">
        <v>0</v>
      </c>
      <c r="L683">
        <v>2.76E-2</v>
      </c>
      <c r="M683">
        <v>0.1234</v>
      </c>
      <c r="N683">
        <v>100.4851</v>
      </c>
      <c r="O683" t="s">
        <v>266</v>
      </c>
      <c r="P683" t="s">
        <v>21</v>
      </c>
      <c r="Q683">
        <f>I683-(K683*Standards!$I$15)</f>
        <v>4.4600000000000001E-2</v>
      </c>
    </row>
    <row r="684" spans="1:17">
      <c r="A684">
        <v>58</v>
      </c>
      <c r="B684">
        <v>0</v>
      </c>
      <c r="C684">
        <v>0</v>
      </c>
      <c r="D684">
        <v>35.130000000000003</v>
      </c>
      <c r="E684">
        <v>0</v>
      </c>
      <c r="F684">
        <v>4.1999999999999997E-3</v>
      </c>
      <c r="G684">
        <v>0</v>
      </c>
      <c r="H684">
        <v>30.36</v>
      </c>
      <c r="I684">
        <v>3.6900000000000002E-2</v>
      </c>
      <c r="J684">
        <v>34.520000000000003</v>
      </c>
      <c r="K684">
        <v>0</v>
      </c>
      <c r="L684">
        <v>3.5499999999999997E-2</v>
      </c>
      <c r="M684">
        <v>8.9300000000000004E-2</v>
      </c>
      <c r="N684">
        <v>100.1758</v>
      </c>
      <c r="O684" t="s">
        <v>266</v>
      </c>
      <c r="P684" t="s">
        <v>21</v>
      </c>
      <c r="Q684">
        <f>I684-(K684*Standards!$I$15)</f>
        <v>3.6900000000000002E-2</v>
      </c>
    </row>
    <row r="685" spans="1:17">
      <c r="A685">
        <v>69</v>
      </c>
      <c r="B685">
        <v>0</v>
      </c>
      <c r="C685">
        <v>0</v>
      </c>
      <c r="D685">
        <v>35.22</v>
      </c>
      <c r="E685">
        <v>0</v>
      </c>
      <c r="F685">
        <v>9.1000000000000004E-3</v>
      </c>
      <c r="G685">
        <v>1.2999999999999999E-3</v>
      </c>
      <c r="H685">
        <v>30.5</v>
      </c>
      <c r="I685">
        <v>3.7400000000000003E-2</v>
      </c>
      <c r="J685">
        <v>34.53</v>
      </c>
      <c r="K685">
        <v>0</v>
      </c>
      <c r="L685">
        <v>6.0000000000000001E-3</v>
      </c>
      <c r="M685">
        <v>0.11459999999999999</v>
      </c>
      <c r="N685">
        <v>100.41840000000001</v>
      </c>
      <c r="O685" t="s">
        <v>266</v>
      </c>
      <c r="P685" t="s">
        <v>21</v>
      </c>
      <c r="Q685">
        <f>I685-(K685*Standards!$I$15)</f>
        <v>3.7400000000000003E-2</v>
      </c>
    </row>
    <row r="686" spans="1:17">
      <c r="A686">
        <v>57</v>
      </c>
      <c r="B686">
        <v>0</v>
      </c>
      <c r="C686">
        <v>0</v>
      </c>
      <c r="D686">
        <v>35.08</v>
      </c>
      <c r="E686">
        <v>1.1000000000000001E-3</v>
      </c>
      <c r="F686">
        <v>0</v>
      </c>
      <c r="G686">
        <v>0</v>
      </c>
      <c r="H686">
        <v>30.6</v>
      </c>
      <c r="I686">
        <v>3.6400000000000002E-2</v>
      </c>
      <c r="J686">
        <v>34.56</v>
      </c>
      <c r="K686">
        <v>0</v>
      </c>
      <c r="L686">
        <v>6.6E-3</v>
      </c>
      <c r="M686">
        <v>0.14199999999999999</v>
      </c>
      <c r="N686">
        <v>100.426</v>
      </c>
      <c r="O686" t="s">
        <v>266</v>
      </c>
      <c r="P686" t="s">
        <v>21</v>
      </c>
      <c r="Q686">
        <f>I686-(K686*Standards!$I$15)</f>
        <v>3.6400000000000002E-2</v>
      </c>
    </row>
    <row r="687" spans="1:17">
      <c r="A687">
        <v>71</v>
      </c>
      <c r="B687">
        <v>0</v>
      </c>
      <c r="C687">
        <v>0</v>
      </c>
      <c r="D687">
        <v>35.14</v>
      </c>
      <c r="E687">
        <v>5.3E-3</v>
      </c>
      <c r="F687">
        <v>0</v>
      </c>
      <c r="G687">
        <v>0</v>
      </c>
      <c r="H687">
        <v>30.21</v>
      </c>
      <c r="I687">
        <v>4.3900000000000002E-2</v>
      </c>
      <c r="J687">
        <v>34.56</v>
      </c>
      <c r="K687">
        <v>0</v>
      </c>
      <c r="L687">
        <v>2.1999999999999999E-2</v>
      </c>
      <c r="M687">
        <v>0.10290000000000001</v>
      </c>
      <c r="N687">
        <v>100.084</v>
      </c>
      <c r="O687" t="s">
        <v>266</v>
      </c>
      <c r="P687" t="s">
        <v>21</v>
      </c>
      <c r="Q687">
        <f>I687-(K687*Standards!$I$15)</f>
        <v>4.3900000000000002E-2</v>
      </c>
    </row>
    <row r="688" spans="1:17">
      <c r="A688">
        <v>74</v>
      </c>
      <c r="B688">
        <v>1.1000000000000001E-3</v>
      </c>
      <c r="C688">
        <v>0</v>
      </c>
      <c r="D688">
        <v>35.01</v>
      </c>
      <c r="E688">
        <v>0</v>
      </c>
      <c r="F688">
        <v>1.5E-3</v>
      </c>
      <c r="G688">
        <v>0</v>
      </c>
      <c r="H688">
        <v>30.66</v>
      </c>
      <c r="I688">
        <v>3.8800000000000001E-2</v>
      </c>
      <c r="J688">
        <v>34.58</v>
      </c>
      <c r="K688">
        <v>0</v>
      </c>
      <c r="L688">
        <v>1.7299999999999999E-2</v>
      </c>
      <c r="M688">
        <v>0.10970000000000001</v>
      </c>
      <c r="N688">
        <v>100.41840000000001</v>
      </c>
      <c r="O688" t="s">
        <v>266</v>
      </c>
      <c r="P688" t="s">
        <v>21</v>
      </c>
      <c r="Q688">
        <f>I688-(K688*Standards!$I$15)</f>
        <v>3.8800000000000001E-2</v>
      </c>
    </row>
    <row r="689" spans="1:17">
      <c r="A689">
        <v>51</v>
      </c>
      <c r="B689">
        <v>0</v>
      </c>
      <c r="C689">
        <v>0</v>
      </c>
      <c r="D689">
        <v>35.19</v>
      </c>
      <c r="E689">
        <v>4.8999999999999998E-3</v>
      </c>
      <c r="F689">
        <v>0</v>
      </c>
      <c r="G689">
        <v>0</v>
      </c>
      <c r="H689">
        <v>30.45</v>
      </c>
      <c r="I689">
        <v>3.6700000000000003E-2</v>
      </c>
      <c r="J689">
        <v>34.590000000000003</v>
      </c>
      <c r="K689">
        <v>0</v>
      </c>
      <c r="L689">
        <v>0</v>
      </c>
      <c r="M689">
        <v>0.11940000000000001</v>
      </c>
      <c r="N689">
        <v>100.3909</v>
      </c>
      <c r="O689" t="s">
        <v>266</v>
      </c>
      <c r="P689" t="s">
        <v>21</v>
      </c>
      <c r="Q689">
        <f>I689-(K689*Standards!$I$15)</f>
        <v>3.6700000000000003E-2</v>
      </c>
    </row>
    <row r="690" spans="1:17">
      <c r="A690">
        <v>60</v>
      </c>
      <c r="B690">
        <v>2E-3</v>
      </c>
      <c r="C690">
        <v>0</v>
      </c>
      <c r="D690">
        <v>35.409999999999997</v>
      </c>
      <c r="E690">
        <v>5.4999999999999997E-3</v>
      </c>
      <c r="F690">
        <v>4.4999999999999997E-3</v>
      </c>
      <c r="G690">
        <v>0</v>
      </c>
      <c r="H690">
        <v>30.53</v>
      </c>
      <c r="I690">
        <v>4.0500000000000001E-2</v>
      </c>
      <c r="J690">
        <v>34.590000000000003</v>
      </c>
      <c r="K690">
        <v>0</v>
      </c>
      <c r="L690">
        <v>2.0199999999999999E-2</v>
      </c>
      <c r="M690">
        <v>0.1071</v>
      </c>
      <c r="N690">
        <v>100.7098</v>
      </c>
      <c r="O690" t="s">
        <v>266</v>
      </c>
      <c r="P690" t="s">
        <v>21</v>
      </c>
      <c r="Q690">
        <f>I690-(K690*Standards!$I$15)</f>
        <v>4.0500000000000001E-2</v>
      </c>
    </row>
    <row r="691" spans="1:17">
      <c r="A691">
        <v>66</v>
      </c>
      <c r="B691">
        <v>2.2000000000000001E-3</v>
      </c>
      <c r="C691">
        <v>0</v>
      </c>
      <c r="D691">
        <v>35.08</v>
      </c>
      <c r="E691">
        <v>0</v>
      </c>
      <c r="F691">
        <v>0</v>
      </c>
      <c r="G691">
        <v>0</v>
      </c>
      <c r="H691">
        <v>30.6</v>
      </c>
      <c r="I691">
        <v>3.32E-2</v>
      </c>
      <c r="J691">
        <v>34.6</v>
      </c>
      <c r="K691">
        <v>0</v>
      </c>
      <c r="L691">
        <v>2.2200000000000001E-2</v>
      </c>
      <c r="M691">
        <v>0.12089999999999999</v>
      </c>
      <c r="N691">
        <v>100.4585</v>
      </c>
      <c r="O691" t="s">
        <v>266</v>
      </c>
      <c r="P691" t="s">
        <v>21</v>
      </c>
      <c r="Q691">
        <f>I691-(K691*Standards!$I$15)</f>
        <v>3.32E-2</v>
      </c>
    </row>
    <row r="692" spans="1:17">
      <c r="A692">
        <v>73</v>
      </c>
      <c r="B692">
        <v>0</v>
      </c>
      <c r="C692">
        <v>0</v>
      </c>
      <c r="D692">
        <v>35.22</v>
      </c>
      <c r="E692">
        <v>0</v>
      </c>
      <c r="F692">
        <v>0</v>
      </c>
      <c r="G692">
        <v>0</v>
      </c>
      <c r="H692">
        <v>30.65</v>
      </c>
      <c r="I692">
        <v>3.56E-2</v>
      </c>
      <c r="J692">
        <v>34.69</v>
      </c>
      <c r="K692">
        <v>0</v>
      </c>
      <c r="L692">
        <v>1.06E-2</v>
      </c>
      <c r="M692">
        <v>0.12590000000000001</v>
      </c>
      <c r="N692">
        <v>100.732</v>
      </c>
      <c r="O692" t="s">
        <v>266</v>
      </c>
      <c r="P692" t="s">
        <v>21</v>
      </c>
      <c r="Q692">
        <f>I692-(K692*Standards!$I$15)</f>
        <v>3.56E-2</v>
      </c>
    </row>
    <row r="693" spans="1:17">
      <c r="A693">
        <v>72</v>
      </c>
      <c r="B693">
        <v>4.0000000000000002E-4</v>
      </c>
      <c r="C693">
        <v>0</v>
      </c>
      <c r="D693">
        <v>35.130000000000003</v>
      </c>
      <c r="E693">
        <v>0</v>
      </c>
      <c r="F693">
        <v>0</v>
      </c>
      <c r="G693">
        <v>0</v>
      </c>
      <c r="H693">
        <v>30.61</v>
      </c>
      <c r="I693">
        <v>4.48E-2</v>
      </c>
      <c r="J693">
        <v>34.72</v>
      </c>
      <c r="K693">
        <v>0</v>
      </c>
      <c r="L693">
        <v>3.9899999999999998E-2</v>
      </c>
      <c r="M693">
        <v>0.1179</v>
      </c>
      <c r="N693">
        <v>100.66289999999999</v>
      </c>
      <c r="O693" t="s">
        <v>266</v>
      </c>
      <c r="P693" t="s">
        <v>21</v>
      </c>
      <c r="Q693">
        <f>I693-(K693*Standards!$I$15)</f>
        <v>4.48E-2</v>
      </c>
    </row>
    <row r="694" spans="1:17">
      <c r="A694">
        <v>56</v>
      </c>
      <c r="B694">
        <v>4.1000000000000003E-3</v>
      </c>
      <c r="C694">
        <v>0</v>
      </c>
      <c r="D694">
        <v>35.29</v>
      </c>
      <c r="E694">
        <v>0</v>
      </c>
      <c r="F694">
        <v>0</v>
      </c>
      <c r="G694">
        <v>0</v>
      </c>
      <c r="H694">
        <v>30.57</v>
      </c>
      <c r="I694">
        <v>4.2599999999999999E-2</v>
      </c>
      <c r="J694">
        <v>34.799999999999997</v>
      </c>
      <c r="K694">
        <v>0</v>
      </c>
      <c r="L694">
        <v>8.0999999999999996E-3</v>
      </c>
      <c r="M694">
        <v>0.1172</v>
      </c>
      <c r="N694">
        <v>100.83199999999999</v>
      </c>
      <c r="O694" t="s">
        <v>266</v>
      </c>
      <c r="P694" t="s">
        <v>21</v>
      </c>
      <c r="Q694">
        <f>I694-(K694*Standards!$I$15)</f>
        <v>4.2599999999999999E-2</v>
      </c>
    </row>
    <row r="695" spans="1:17">
      <c r="A695">
        <v>98</v>
      </c>
      <c r="B695">
        <v>0</v>
      </c>
      <c r="C695">
        <v>0</v>
      </c>
      <c r="D695">
        <v>34.950000000000003</v>
      </c>
      <c r="E695">
        <v>2.5000000000000001E-3</v>
      </c>
      <c r="F695">
        <v>0</v>
      </c>
      <c r="G695">
        <v>0</v>
      </c>
      <c r="H695">
        <v>30.4</v>
      </c>
      <c r="I695">
        <v>3.4200000000000001E-2</v>
      </c>
      <c r="J695">
        <v>34.06</v>
      </c>
      <c r="K695">
        <v>0</v>
      </c>
      <c r="L695">
        <v>1.03E-2</v>
      </c>
      <c r="M695">
        <v>0.1158</v>
      </c>
      <c r="N695">
        <v>99.572900000000004</v>
      </c>
      <c r="O695" t="s">
        <v>267</v>
      </c>
      <c r="P695" t="s">
        <v>21</v>
      </c>
      <c r="Q695">
        <f>I695-(K695*Standards!$I$15)</f>
        <v>3.4200000000000001E-2</v>
      </c>
    </row>
    <row r="696" spans="1:17">
      <c r="A696">
        <v>100</v>
      </c>
      <c r="B696">
        <v>0</v>
      </c>
      <c r="C696">
        <v>0</v>
      </c>
      <c r="D696">
        <v>35.299999999999997</v>
      </c>
      <c r="E696">
        <v>0</v>
      </c>
      <c r="F696">
        <v>0</v>
      </c>
      <c r="G696">
        <v>0</v>
      </c>
      <c r="H696">
        <v>30.46</v>
      </c>
      <c r="I696">
        <v>3.44E-2</v>
      </c>
      <c r="J696">
        <v>34.14</v>
      </c>
      <c r="K696">
        <v>0</v>
      </c>
      <c r="L696">
        <v>1.55E-2</v>
      </c>
      <c r="M696">
        <v>9.9299999999999999E-2</v>
      </c>
      <c r="N696">
        <v>100.0491</v>
      </c>
      <c r="O696" t="s">
        <v>267</v>
      </c>
      <c r="P696" t="s">
        <v>21</v>
      </c>
      <c r="Q696">
        <f>I696-(K696*Standards!$I$15)</f>
        <v>3.44E-2</v>
      </c>
    </row>
    <row r="697" spans="1:17">
      <c r="A697">
        <v>76</v>
      </c>
      <c r="B697">
        <v>0</v>
      </c>
      <c r="C697">
        <v>0</v>
      </c>
      <c r="D697">
        <v>35.229999999999997</v>
      </c>
      <c r="E697">
        <v>3.3E-3</v>
      </c>
      <c r="F697">
        <v>0</v>
      </c>
      <c r="G697">
        <v>0</v>
      </c>
      <c r="H697">
        <v>30.55</v>
      </c>
      <c r="I697">
        <v>3.9300000000000002E-2</v>
      </c>
      <c r="J697">
        <v>34.200000000000003</v>
      </c>
      <c r="K697">
        <v>0</v>
      </c>
      <c r="L697">
        <v>2.6100000000000002E-2</v>
      </c>
      <c r="M697">
        <v>0.10249999999999999</v>
      </c>
      <c r="N697">
        <v>100.1511</v>
      </c>
      <c r="O697" t="s">
        <v>267</v>
      </c>
      <c r="P697" t="s">
        <v>21</v>
      </c>
      <c r="Q697">
        <f>I697-(K697*Standards!$I$15)</f>
        <v>3.9300000000000002E-2</v>
      </c>
    </row>
    <row r="698" spans="1:17">
      <c r="A698">
        <v>85</v>
      </c>
      <c r="B698">
        <v>0</v>
      </c>
      <c r="C698">
        <v>0</v>
      </c>
      <c r="D698">
        <v>35.33</v>
      </c>
      <c r="E698">
        <v>4.7000000000000002E-3</v>
      </c>
      <c r="F698">
        <v>2.3E-2</v>
      </c>
      <c r="G698">
        <v>0</v>
      </c>
      <c r="H698">
        <v>30.98</v>
      </c>
      <c r="I698">
        <v>3.2000000000000001E-2</v>
      </c>
      <c r="J698">
        <v>34.28</v>
      </c>
      <c r="K698">
        <v>0</v>
      </c>
      <c r="L698">
        <v>3.6400000000000002E-2</v>
      </c>
      <c r="M698">
        <v>0.11509999999999999</v>
      </c>
      <c r="N698">
        <v>100.80110000000001</v>
      </c>
      <c r="O698" t="s">
        <v>267</v>
      </c>
      <c r="P698" t="s">
        <v>21</v>
      </c>
      <c r="Q698">
        <f>I698-(K698*Standards!$I$15)</f>
        <v>3.2000000000000001E-2</v>
      </c>
    </row>
    <row r="699" spans="1:17">
      <c r="A699">
        <v>94</v>
      </c>
      <c r="B699">
        <v>0</v>
      </c>
      <c r="C699">
        <v>0</v>
      </c>
      <c r="D699">
        <v>35.36</v>
      </c>
      <c r="E699">
        <v>0.01</v>
      </c>
      <c r="F699">
        <v>0</v>
      </c>
      <c r="G699">
        <v>0</v>
      </c>
      <c r="H699">
        <v>30.53</v>
      </c>
      <c r="I699">
        <v>4.6199999999999998E-2</v>
      </c>
      <c r="J699">
        <v>34.33</v>
      </c>
      <c r="K699">
        <v>0</v>
      </c>
      <c r="L699">
        <v>1.24E-2</v>
      </c>
      <c r="M699">
        <v>0.1133</v>
      </c>
      <c r="N699">
        <v>100.40179999999999</v>
      </c>
      <c r="O699" t="s">
        <v>267</v>
      </c>
      <c r="P699" t="s">
        <v>21</v>
      </c>
      <c r="Q699">
        <f>I699-(K699*Standards!$I$15)</f>
        <v>4.6199999999999998E-2</v>
      </c>
    </row>
    <row r="700" spans="1:17">
      <c r="A700">
        <v>81</v>
      </c>
      <c r="B700">
        <v>0</v>
      </c>
      <c r="C700">
        <v>0</v>
      </c>
      <c r="D700">
        <v>35.200000000000003</v>
      </c>
      <c r="E700">
        <v>5.8999999999999999E-3</v>
      </c>
      <c r="F700">
        <v>6.8999999999999999E-3</v>
      </c>
      <c r="G700">
        <v>0</v>
      </c>
      <c r="H700">
        <v>30.66</v>
      </c>
      <c r="I700">
        <v>3.2000000000000001E-2</v>
      </c>
      <c r="J700">
        <v>34.340000000000003</v>
      </c>
      <c r="K700">
        <v>0</v>
      </c>
      <c r="L700">
        <v>4.3999999999999997E-2</v>
      </c>
      <c r="M700">
        <v>0.11260000000000001</v>
      </c>
      <c r="N700">
        <v>100.40130000000001</v>
      </c>
      <c r="O700" t="s">
        <v>267</v>
      </c>
      <c r="P700" t="s">
        <v>21</v>
      </c>
      <c r="Q700">
        <f>I700-(K700*Standards!$I$15)</f>
        <v>3.2000000000000001E-2</v>
      </c>
    </row>
    <row r="701" spans="1:17">
      <c r="A701">
        <v>78</v>
      </c>
      <c r="B701">
        <v>0</v>
      </c>
      <c r="C701">
        <v>0</v>
      </c>
      <c r="D701">
        <v>35.299999999999997</v>
      </c>
      <c r="E701">
        <v>0</v>
      </c>
      <c r="F701">
        <v>0</v>
      </c>
      <c r="G701">
        <v>4.5999999999999999E-3</v>
      </c>
      <c r="H701">
        <v>30.69</v>
      </c>
      <c r="I701">
        <v>3.6299999999999999E-2</v>
      </c>
      <c r="J701">
        <v>34.35</v>
      </c>
      <c r="K701">
        <v>0</v>
      </c>
      <c r="L701">
        <v>6.6E-3</v>
      </c>
      <c r="M701">
        <v>0.11219999999999999</v>
      </c>
      <c r="N701">
        <v>100.4996</v>
      </c>
      <c r="O701" t="s">
        <v>267</v>
      </c>
      <c r="P701" t="s">
        <v>21</v>
      </c>
      <c r="Q701">
        <f>I701-(K701*Standards!$I$15)</f>
        <v>3.6299999999999999E-2</v>
      </c>
    </row>
    <row r="702" spans="1:17">
      <c r="A702">
        <v>77</v>
      </c>
      <c r="B702">
        <v>0</v>
      </c>
      <c r="C702">
        <v>0</v>
      </c>
      <c r="D702">
        <v>35.36</v>
      </c>
      <c r="E702">
        <v>5.7000000000000002E-3</v>
      </c>
      <c r="F702">
        <v>0</v>
      </c>
      <c r="G702">
        <v>0</v>
      </c>
      <c r="H702">
        <v>30.55</v>
      </c>
      <c r="I702">
        <v>3.8800000000000001E-2</v>
      </c>
      <c r="J702">
        <v>34.380000000000003</v>
      </c>
      <c r="K702">
        <v>0</v>
      </c>
      <c r="L702">
        <v>9.4000000000000004E-3</v>
      </c>
      <c r="M702">
        <v>0.1275</v>
      </c>
      <c r="N702">
        <v>100.4714</v>
      </c>
      <c r="O702" t="s">
        <v>267</v>
      </c>
      <c r="P702" t="s">
        <v>21</v>
      </c>
      <c r="Q702">
        <f>I702-(K702*Standards!$I$15)</f>
        <v>3.8800000000000001E-2</v>
      </c>
    </row>
    <row r="703" spans="1:17">
      <c r="A703">
        <v>82</v>
      </c>
      <c r="B703">
        <v>0</v>
      </c>
      <c r="C703">
        <v>0</v>
      </c>
      <c r="D703">
        <v>35.28</v>
      </c>
      <c r="E703">
        <v>8.9999999999999998E-4</v>
      </c>
      <c r="F703">
        <v>0</v>
      </c>
      <c r="G703">
        <v>0</v>
      </c>
      <c r="H703">
        <v>30.54</v>
      </c>
      <c r="I703">
        <v>3.1199999999999999E-2</v>
      </c>
      <c r="J703">
        <v>34.4</v>
      </c>
      <c r="K703">
        <v>0</v>
      </c>
      <c r="L703">
        <v>1.7500000000000002E-2</v>
      </c>
      <c r="M703">
        <v>0.12759999999999999</v>
      </c>
      <c r="N703">
        <v>100.39709999999999</v>
      </c>
      <c r="O703" t="s">
        <v>267</v>
      </c>
      <c r="P703" t="s">
        <v>21</v>
      </c>
      <c r="Q703">
        <f>I703-(K703*Standards!$I$15)</f>
        <v>3.1199999999999999E-2</v>
      </c>
    </row>
    <row r="704" spans="1:17">
      <c r="A704">
        <v>93</v>
      </c>
      <c r="B704">
        <v>0</v>
      </c>
      <c r="C704">
        <v>0</v>
      </c>
      <c r="D704">
        <v>35.32</v>
      </c>
      <c r="E704">
        <v>0</v>
      </c>
      <c r="F704">
        <v>0</v>
      </c>
      <c r="G704">
        <v>0</v>
      </c>
      <c r="H704">
        <v>30.64</v>
      </c>
      <c r="I704">
        <v>3.85E-2</v>
      </c>
      <c r="J704">
        <v>34.4</v>
      </c>
      <c r="K704">
        <v>0</v>
      </c>
      <c r="L704">
        <v>4.3200000000000002E-2</v>
      </c>
      <c r="M704">
        <v>0.12379999999999999</v>
      </c>
      <c r="N704">
        <v>100.5654</v>
      </c>
      <c r="O704" t="s">
        <v>267</v>
      </c>
      <c r="P704" t="s">
        <v>21</v>
      </c>
      <c r="Q704">
        <f>I704-(K704*Standards!$I$15)</f>
        <v>3.85E-2</v>
      </c>
    </row>
    <row r="705" spans="1:17">
      <c r="A705">
        <v>79</v>
      </c>
      <c r="B705">
        <v>0</v>
      </c>
      <c r="C705">
        <v>0</v>
      </c>
      <c r="D705">
        <v>35.43</v>
      </c>
      <c r="E705">
        <v>0</v>
      </c>
      <c r="F705">
        <v>0</v>
      </c>
      <c r="G705">
        <v>0</v>
      </c>
      <c r="H705">
        <v>30.72</v>
      </c>
      <c r="I705">
        <v>4.2099999999999999E-2</v>
      </c>
      <c r="J705">
        <v>34.409999999999997</v>
      </c>
      <c r="K705">
        <v>0</v>
      </c>
      <c r="L705">
        <v>8.0000000000000002E-3</v>
      </c>
      <c r="M705">
        <v>0.13139999999999999</v>
      </c>
      <c r="N705">
        <v>100.7414</v>
      </c>
      <c r="O705" t="s">
        <v>267</v>
      </c>
      <c r="P705" t="s">
        <v>21</v>
      </c>
      <c r="Q705">
        <f>I705-(K705*Standards!$I$15)</f>
        <v>4.2099999999999999E-2</v>
      </c>
    </row>
    <row r="706" spans="1:17">
      <c r="A706">
        <v>91</v>
      </c>
      <c r="B706">
        <v>5.4000000000000003E-3</v>
      </c>
      <c r="C706">
        <v>0</v>
      </c>
      <c r="D706">
        <v>35.4</v>
      </c>
      <c r="E706">
        <v>0</v>
      </c>
      <c r="F706">
        <v>1.1999999999999999E-3</v>
      </c>
      <c r="G706">
        <v>3.2000000000000002E-3</v>
      </c>
      <c r="H706">
        <v>30.73</v>
      </c>
      <c r="I706">
        <v>2.7099999999999999E-2</v>
      </c>
      <c r="J706">
        <v>34.42</v>
      </c>
      <c r="K706">
        <v>0</v>
      </c>
      <c r="L706">
        <v>0</v>
      </c>
      <c r="M706">
        <v>0.1138</v>
      </c>
      <c r="N706">
        <v>100.70059999999999</v>
      </c>
      <c r="O706" t="s">
        <v>267</v>
      </c>
      <c r="P706" t="s">
        <v>21</v>
      </c>
      <c r="Q706">
        <f>I706-(K706*Standards!$I$15)</f>
        <v>2.7099999999999999E-2</v>
      </c>
    </row>
    <row r="707" spans="1:17">
      <c r="A707">
        <v>99</v>
      </c>
      <c r="B707">
        <v>4.0000000000000001E-3</v>
      </c>
      <c r="C707">
        <v>0</v>
      </c>
      <c r="D707">
        <v>35.380000000000003</v>
      </c>
      <c r="E707">
        <v>0</v>
      </c>
      <c r="F707">
        <v>0</v>
      </c>
      <c r="G707">
        <v>0</v>
      </c>
      <c r="H707">
        <v>30.28</v>
      </c>
      <c r="I707">
        <v>3.1600000000000003E-2</v>
      </c>
      <c r="J707">
        <v>34.450000000000003</v>
      </c>
      <c r="K707">
        <v>0</v>
      </c>
      <c r="L707">
        <v>7.1000000000000004E-3</v>
      </c>
      <c r="M707">
        <v>0.11550000000000001</v>
      </c>
      <c r="N707">
        <v>100.26819999999999</v>
      </c>
      <c r="O707" t="s">
        <v>267</v>
      </c>
      <c r="P707" t="s">
        <v>21</v>
      </c>
      <c r="Q707">
        <f>I707-(K707*Standards!$I$15)</f>
        <v>3.1600000000000003E-2</v>
      </c>
    </row>
    <row r="708" spans="1:17">
      <c r="A708">
        <v>92</v>
      </c>
      <c r="B708">
        <v>0</v>
      </c>
      <c r="C708">
        <v>0</v>
      </c>
      <c r="D708">
        <v>35.44</v>
      </c>
      <c r="E708">
        <v>0</v>
      </c>
      <c r="F708">
        <v>0</v>
      </c>
      <c r="G708">
        <v>0</v>
      </c>
      <c r="H708">
        <v>30.86</v>
      </c>
      <c r="I708">
        <v>3.2000000000000001E-2</v>
      </c>
      <c r="J708">
        <v>34.46</v>
      </c>
      <c r="K708">
        <v>0</v>
      </c>
      <c r="L708">
        <v>1.43E-2</v>
      </c>
      <c r="M708">
        <v>0.1052</v>
      </c>
      <c r="N708">
        <v>100.9114</v>
      </c>
      <c r="O708" t="s">
        <v>267</v>
      </c>
      <c r="P708" t="s">
        <v>21</v>
      </c>
      <c r="Q708">
        <f>I708-(K708*Standards!$I$15)</f>
        <v>3.2000000000000001E-2</v>
      </c>
    </row>
    <row r="709" spans="1:17">
      <c r="A709">
        <v>87</v>
      </c>
      <c r="B709">
        <v>0</v>
      </c>
      <c r="C709">
        <v>0</v>
      </c>
      <c r="D709">
        <v>35.25</v>
      </c>
      <c r="E709">
        <v>0</v>
      </c>
      <c r="F709">
        <v>0</v>
      </c>
      <c r="G709">
        <v>6.9999999999999999E-4</v>
      </c>
      <c r="H709">
        <v>30.44</v>
      </c>
      <c r="I709">
        <v>2.12E-2</v>
      </c>
      <c r="J709">
        <v>34.47</v>
      </c>
      <c r="K709">
        <v>0</v>
      </c>
      <c r="L709">
        <v>2.9100000000000001E-2</v>
      </c>
      <c r="M709">
        <v>0.1046</v>
      </c>
      <c r="N709">
        <v>100.3156</v>
      </c>
      <c r="O709" t="s">
        <v>267</v>
      </c>
      <c r="P709" t="s">
        <v>21</v>
      </c>
      <c r="Q709">
        <f>I709-(K709*Standards!$I$15)</f>
        <v>2.12E-2</v>
      </c>
    </row>
    <row r="710" spans="1:17">
      <c r="A710">
        <v>95</v>
      </c>
      <c r="B710">
        <v>0</v>
      </c>
      <c r="C710">
        <v>0</v>
      </c>
      <c r="D710">
        <v>35.4</v>
      </c>
      <c r="E710">
        <v>0</v>
      </c>
      <c r="F710">
        <v>0</v>
      </c>
      <c r="G710">
        <v>0</v>
      </c>
      <c r="H710">
        <v>30.69</v>
      </c>
      <c r="I710">
        <v>4.87E-2</v>
      </c>
      <c r="J710">
        <v>34.479999999999997</v>
      </c>
      <c r="K710">
        <v>0</v>
      </c>
      <c r="L710">
        <v>1.6999999999999999E-3</v>
      </c>
      <c r="M710">
        <v>0.12429999999999999</v>
      </c>
      <c r="N710">
        <v>100.74460000000001</v>
      </c>
      <c r="O710" t="s">
        <v>267</v>
      </c>
      <c r="P710" t="s">
        <v>21</v>
      </c>
      <c r="Q710">
        <f>I710-(K710*Standards!$I$15)</f>
        <v>4.87E-2</v>
      </c>
    </row>
    <row r="711" spans="1:17">
      <c r="A711">
        <v>89</v>
      </c>
      <c r="B711">
        <v>0</v>
      </c>
      <c r="C711">
        <v>0</v>
      </c>
      <c r="D711">
        <v>35.39</v>
      </c>
      <c r="E711">
        <v>0</v>
      </c>
      <c r="F711">
        <v>0</v>
      </c>
      <c r="G711">
        <v>1.1000000000000001E-3</v>
      </c>
      <c r="H711">
        <v>30.74</v>
      </c>
      <c r="I711">
        <v>3.56E-2</v>
      </c>
      <c r="J711">
        <v>34.479999999999997</v>
      </c>
      <c r="K711">
        <v>0</v>
      </c>
      <c r="L711">
        <v>3.4500000000000003E-2</v>
      </c>
      <c r="M711">
        <v>0.10290000000000001</v>
      </c>
      <c r="N711">
        <v>100.78400000000001</v>
      </c>
      <c r="O711" t="s">
        <v>267</v>
      </c>
      <c r="P711" t="s">
        <v>21</v>
      </c>
      <c r="Q711">
        <f>I711-(K711*Standards!$I$15)</f>
        <v>3.56E-2</v>
      </c>
    </row>
    <row r="712" spans="1:17">
      <c r="A712">
        <v>96</v>
      </c>
      <c r="B712">
        <v>6.7000000000000002E-3</v>
      </c>
      <c r="C712">
        <v>0</v>
      </c>
      <c r="D712">
        <v>35.39</v>
      </c>
      <c r="E712">
        <v>0</v>
      </c>
      <c r="F712">
        <v>0</v>
      </c>
      <c r="G712">
        <v>2.9999999999999997E-4</v>
      </c>
      <c r="H712">
        <v>30.66</v>
      </c>
      <c r="I712">
        <v>3.1E-2</v>
      </c>
      <c r="J712">
        <v>34.479999999999997</v>
      </c>
      <c r="K712">
        <v>0</v>
      </c>
      <c r="L712">
        <v>4.5699999999999998E-2</v>
      </c>
      <c r="M712">
        <v>0.1</v>
      </c>
      <c r="N712">
        <v>100.7136</v>
      </c>
      <c r="O712" t="s">
        <v>267</v>
      </c>
      <c r="P712" t="s">
        <v>21</v>
      </c>
      <c r="Q712">
        <f>I712-(K712*Standards!$I$15)</f>
        <v>3.1E-2</v>
      </c>
    </row>
    <row r="713" spans="1:17">
      <c r="A713">
        <v>84</v>
      </c>
      <c r="B713">
        <v>0</v>
      </c>
      <c r="C713">
        <v>0</v>
      </c>
      <c r="D713">
        <v>35.35</v>
      </c>
      <c r="E713">
        <v>0</v>
      </c>
      <c r="F713">
        <v>0</v>
      </c>
      <c r="G713">
        <v>1.8E-3</v>
      </c>
      <c r="H713">
        <v>30.67</v>
      </c>
      <c r="I713">
        <v>2.46E-2</v>
      </c>
      <c r="J713">
        <v>34.49</v>
      </c>
      <c r="K713">
        <v>0</v>
      </c>
      <c r="L713">
        <v>3.3000000000000002E-2</v>
      </c>
      <c r="M713">
        <v>0.1115</v>
      </c>
      <c r="N713">
        <v>100.6808</v>
      </c>
      <c r="O713" t="s">
        <v>267</v>
      </c>
      <c r="P713" t="s">
        <v>21</v>
      </c>
      <c r="Q713">
        <f>I713-(K713*Standards!$I$15)</f>
        <v>2.46E-2</v>
      </c>
    </row>
    <row r="714" spans="1:17">
      <c r="A714">
        <v>88</v>
      </c>
      <c r="B714">
        <v>0</v>
      </c>
      <c r="C714">
        <v>0</v>
      </c>
      <c r="D714">
        <v>35.46</v>
      </c>
      <c r="E714">
        <v>0</v>
      </c>
      <c r="F714">
        <v>0</v>
      </c>
      <c r="G714">
        <v>0</v>
      </c>
      <c r="H714">
        <v>30.51</v>
      </c>
      <c r="I714">
        <v>3.1800000000000002E-2</v>
      </c>
      <c r="J714">
        <v>34.51</v>
      </c>
      <c r="K714">
        <v>0</v>
      </c>
      <c r="L714">
        <v>4.0000000000000001E-3</v>
      </c>
      <c r="M714">
        <v>8.9599999999999999E-2</v>
      </c>
      <c r="N714">
        <v>100.6053</v>
      </c>
      <c r="O714" t="s">
        <v>267</v>
      </c>
      <c r="P714" t="s">
        <v>21</v>
      </c>
      <c r="Q714">
        <f>I714-(K714*Standards!$I$15)</f>
        <v>3.1800000000000002E-2</v>
      </c>
    </row>
    <row r="715" spans="1:17">
      <c r="A715">
        <v>97</v>
      </c>
      <c r="B715">
        <v>0</v>
      </c>
      <c r="C715">
        <v>0</v>
      </c>
      <c r="D715">
        <v>35.270000000000003</v>
      </c>
      <c r="E715">
        <v>0</v>
      </c>
      <c r="F715">
        <v>0</v>
      </c>
      <c r="G715">
        <v>0</v>
      </c>
      <c r="H715">
        <v>30.5</v>
      </c>
      <c r="I715">
        <v>2.92E-2</v>
      </c>
      <c r="J715">
        <v>34.549999999999997</v>
      </c>
      <c r="K715">
        <v>0</v>
      </c>
      <c r="L715">
        <v>6.4000000000000003E-3</v>
      </c>
      <c r="M715">
        <v>0.1135</v>
      </c>
      <c r="N715">
        <v>100.46899999999999</v>
      </c>
      <c r="O715" t="s">
        <v>267</v>
      </c>
      <c r="P715" t="s">
        <v>21</v>
      </c>
      <c r="Q715">
        <f>I715-(K715*Standards!$I$15)</f>
        <v>2.92E-2</v>
      </c>
    </row>
    <row r="716" spans="1:17">
      <c r="A716">
        <v>90</v>
      </c>
      <c r="B716">
        <v>7.1000000000000004E-3</v>
      </c>
      <c r="C716">
        <v>0</v>
      </c>
      <c r="D716">
        <v>35.51</v>
      </c>
      <c r="E716">
        <v>3.2000000000000002E-3</v>
      </c>
      <c r="F716">
        <v>0</v>
      </c>
      <c r="G716">
        <v>0</v>
      </c>
      <c r="H716">
        <v>30.73</v>
      </c>
      <c r="I716">
        <v>0.03</v>
      </c>
      <c r="J716">
        <v>34.6</v>
      </c>
      <c r="K716">
        <v>0</v>
      </c>
      <c r="L716">
        <v>5.9999999999999995E-4</v>
      </c>
      <c r="M716">
        <v>0.10440000000000001</v>
      </c>
      <c r="N716">
        <v>100.98520000000001</v>
      </c>
      <c r="O716" t="s">
        <v>267</v>
      </c>
      <c r="P716" t="s">
        <v>21</v>
      </c>
      <c r="Q716">
        <f>I716-(K716*Standards!$I$15)</f>
        <v>0.03</v>
      </c>
    </row>
    <row r="717" spans="1:17">
      <c r="A717">
        <v>75</v>
      </c>
      <c r="B717">
        <v>0</v>
      </c>
      <c r="C717">
        <v>0</v>
      </c>
      <c r="D717">
        <v>35.270000000000003</v>
      </c>
      <c r="E717">
        <v>4.5999999999999999E-3</v>
      </c>
      <c r="F717">
        <v>0</v>
      </c>
      <c r="G717">
        <v>0</v>
      </c>
      <c r="H717">
        <v>31.28</v>
      </c>
      <c r="I717">
        <v>2.3599999999999999E-2</v>
      </c>
      <c r="J717">
        <v>34.57</v>
      </c>
      <c r="K717">
        <v>0</v>
      </c>
      <c r="L717">
        <v>2.8299999999999999E-2</v>
      </c>
      <c r="M717">
        <v>8.7300000000000003E-2</v>
      </c>
      <c r="N717">
        <v>101.2637</v>
      </c>
      <c r="O717" t="s">
        <v>268</v>
      </c>
      <c r="P717" t="s">
        <v>21</v>
      </c>
      <c r="Q717">
        <f>I717-(K717*Standards!$I$15)</f>
        <v>2.3599999999999999E-2</v>
      </c>
    </row>
    <row r="718" spans="1:17">
      <c r="A718">
        <v>73</v>
      </c>
      <c r="B718">
        <v>0</v>
      </c>
      <c r="C718">
        <v>0</v>
      </c>
      <c r="D718">
        <v>35.18</v>
      </c>
      <c r="E718">
        <v>0</v>
      </c>
      <c r="F718">
        <v>0</v>
      </c>
      <c r="G718">
        <v>0</v>
      </c>
      <c r="H718">
        <v>31.26</v>
      </c>
      <c r="I718">
        <v>2.47E-2</v>
      </c>
      <c r="J718">
        <v>34.549999999999997</v>
      </c>
      <c r="K718">
        <v>0</v>
      </c>
      <c r="L718">
        <v>4.2099999999999999E-2</v>
      </c>
      <c r="M718">
        <v>0.1051</v>
      </c>
      <c r="N718">
        <v>101.1618</v>
      </c>
      <c r="O718" t="s">
        <v>268</v>
      </c>
      <c r="P718" t="s">
        <v>21</v>
      </c>
      <c r="Q718">
        <f>I718-(K718*Standards!$I$15)</f>
        <v>2.47E-2</v>
      </c>
    </row>
    <row r="719" spans="1:17">
      <c r="A719">
        <v>77</v>
      </c>
      <c r="B719">
        <v>0</v>
      </c>
      <c r="C719">
        <v>0</v>
      </c>
      <c r="D719">
        <v>35.21</v>
      </c>
      <c r="E719">
        <v>1.6999999999999999E-3</v>
      </c>
      <c r="F719">
        <v>0</v>
      </c>
      <c r="G719">
        <v>0</v>
      </c>
      <c r="H719">
        <v>31.2</v>
      </c>
      <c r="I719">
        <v>2.52E-2</v>
      </c>
      <c r="J719">
        <v>34.549999999999997</v>
      </c>
      <c r="K719">
        <v>0</v>
      </c>
      <c r="L719">
        <v>1.4E-2</v>
      </c>
      <c r="M719">
        <v>0.11169999999999999</v>
      </c>
      <c r="N719">
        <v>101.1125</v>
      </c>
      <c r="O719" t="s">
        <v>268</v>
      </c>
      <c r="P719" t="s">
        <v>21</v>
      </c>
      <c r="Q719">
        <f>I719-(K719*Standards!$I$15)</f>
        <v>2.52E-2</v>
      </c>
    </row>
    <row r="720" spans="1:17">
      <c r="A720">
        <v>71</v>
      </c>
      <c r="B720">
        <v>3.8999999999999998E-3</v>
      </c>
      <c r="C720">
        <v>0</v>
      </c>
      <c r="D720">
        <v>35.28</v>
      </c>
      <c r="E720">
        <v>0</v>
      </c>
      <c r="F720">
        <v>0</v>
      </c>
      <c r="G720">
        <v>0</v>
      </c>
      <c r="H720">
        <v>31.3</v>
      </c>
      <c r="I720">
        <v>3.2899999999999999E-2</v>
      </c>
      <c r="J720">
        <v>34.49</v>
      </c>
      <c r="K720">
        <v>0</v>
      </c>
      <c r="L720">
        <v>3.7600000000000001E-2</v>
      </c>
      <c r="M720">
        <v>0.1118</v>
      </c>
      <c r="N720">
        <v>101.2561</v>
      </c>
      <c r="O720" t="s">
        <v>268</v>
      </c>
      <c r="P720" t="s">
        <v>21</v>
      </c>
      <c r="Q720">
        <f>I720-(K720*Standards!$I$15)</f>
        <v>3.2899999999999999E-2</v>
      </c>
    </row>
    <row r="721" spans="1:24">
      <c r="A721">
        <v>72</v>
      </c>
      <c r="B721">
        <v>0</v>
      </c>
      <c r="C721">
        <v>0</v>
      </c>
      <c r="D721">
        <v>35.24</v>
      </c>
      <c r="E721">
        <v>1.1999999999999999E-3</v>
      </c>
      <c r="F721">
        <v>0</v>
      </c>
      <c r="G721">
        <v>0</v>
      </c>
      <c r="H721">
        <v>31.17</v>
      </c>
      <c r="I721">
        <v>2.2700000000000001E-2</v>
      </c>
      <c r="J721">
        <v>34.450000000000003</v>
      </c>
      <c r="K721">
        <v>0</v>
      </c>
      <c r="L721">
        <v>5.8000000000000003E-2</v>
      </c>
      <c r="M721">
        <v>0.10050000000000001</v>
      </c>
      <c r="N721">
        <v>101.0423</v>
      </c>
      <c r="O721" t="s">
        <v>268</v>
      </c>
      <c r="P721" t="s">
        <v>21</v>
      </c>
      <c r="Q721">
        <f>I721-(K721*Standards!$I$15)</f>
        <v>2.2700000000000001E-2</v>
      </c>
    </row>
    <row r="722" spans="1:24">
      <c r="A722">
        <v>74</v>
      </c>
      <c r="B722">
        <v>0</v>
      </c>
      <c r="C722">
        <v>0</v>
      </c>
      <c r="D722">
        <v>35.130000000000003</v>
      </c>
      <c r="E722">
        <v>3.2000000000000002E-3</v>
      </c>
      <c r="F722">
        <v>0</v>
      </c>
      <c r="G722">
        <v>0</v>
      </c>
      <c r="H722">
        <v>31.25</v>
      </c>
      <c r="I722">
        <v>1.9900000000000001E-2</v>
      </c>
      <c r="J722">
        <v>34.450000000000003</v>
      </c>
      <c r="K722">
        <v>0</v>
      </c>
      <c r="L722">
        <v>6.0000000000000001E-3</v>
      </c>
      <c r="M722">
        <v>0.10199999999999999</v>
      </c>
      <c r="N722">
        <v>100.961</v>
      </c>
      <c r="O722" t="s">
        <v>268</v>
      </c>
      <c r="P722" t="s">
        <v>21</v>
      </c>
      <c r="Q722">
        <f>I722-(K722*Standards!$I$15)</f>
        <v>1.9900000000000001E-2</v>
      </c>
    </row>
    <row r="723" spans="1:24">
      <c r="A723">
        <v>76</v>
      </c>
      <c r="B723">
        <v>0</v>
      </c>
      <c r="C723">
        <v>0</v>
      </c>
      <c r="D723">
        <v>35.340000000000003</v>
      </c>
      <c r="E723">
        <v>0</v>
      </c>
      <c r="F723">
        <v>0</v>
      </c>
      <c r="G723">
        <v>0</v>
      </c>
      <c r="H723">
        <v>31.28</v>
      </c>
      <c r="I723">
        <v>2.24E-2</v>
      </c>
      <c r="J723">
        <v>34.369999999999997</v>
      </c>
      <c r="K723">
        <v>0</v>
      </c>
      <c r="L723">
        <v>1.9800000000000002E-2</v>
      </c>
      <c r="M723">
        <v>0.1242</v>
      </c>
      <c r="N723">
        <v>101.1563</v>
      </c>
      <c r="O723" t="s">
        <v>268</v>
      </c>
      <c r="P723" t="s">
        <v>21</v>
      </c>
      <c r="Q723">
        <f>I723-(K723*Standards!$I$15)</f>
        <v>2.24E-2</v>
      </c>
    </row>
    <row r="724" spans="1:24">
      <c r="A724">
        <v>43</v>
      </c>
      <c r="B724">
        <v>1.6999999999999999E-3</v>
      </c>
      <c r="C724">
        <v>0</v>
      </c>
      <c r="D724">
        <v>35.270000000000003</v>
      </c>
      <c r="E724">
        <v>0</v>
      </c>
      <c r="F724">
        <v>6.4000000000000003E-3</v>
      </c>
      <c r="G724">
        <v>0</v>
      </c>
      <c r="H724">
        <v>30.29</v>
      </c>
      <c r="I724">
        <v>3.1600000000000003E-2</v>
      </c>
      <c r="J724">
        <v>33.97</v>
      </c>
      <c r="K724">
        <v>0</v>
      </c>
      <c r="L724">
        <v>2.24E-2</v>
      </c>
      <c r="M724">
        <v>0.1338</v>
      </c>
      <c r="N724">
        <v>99.725999999999999</v>
      </c>
      <c r="O724" t="s">
        <v>269</v>
      </c>
      <c r="P724" t="s">
        <v>104</v>
      </c>
      <c r="Q724">
        <f>I724-(K724*Standards!$I$15)</f>
        <v>3.1600000000000003E-2</v>
      </c>
      <c r="R724" t="s">
        <v>104</v>
      </c>
      <c r="S724">
        <f>COUNT(Q724:Q775)</f>
        <v>52</v>
      </c>
      <c r="T724">
        <f>MAX(L724:L775)</f>
        <v>0.2266</v>
      </c>
      <c r="U724">
        <f>AVERAGE(L724:L775)</f>
        <v>2.7898076923076928E-2</v>
      </c>
      <c r="V724">
        <f>10000*MAX(Q724:Q775)</f>
        <v>1147</v>
      </c>
      <c r="W724">
        <f>10000*AVERAGE(Q724:Q775)</f>
        <v>272.65384615384613</v>
      </c>
      <c r="X724">
        <f>10000*STDEV(Q724:Q775)</f>
        <v>184.37343654269762</v>
      </c>
    </row>
    <row r="725" spans="1:24">
      <c r="A725">
        <v>41</v>
      </c>
      <c r="B725">
        <v>0</v>
      </c>
      <c r="C725">
        <v>0</v>
      </c>
      <c r="D725">
        <v>35.24</v>
      </c>
      <c r="E725">
        <v>0</v>
      </c>
      <c r="F725">
        <v>0</v>
      </c>
      <c r="G725">
        <v>0</v>
      </c>
      <c r="H725">
        <v>30.33</v>
      </c>
      <c r="I725">
        <v>3.4500000000000003E-2</v>
      </c>
      <c r="J725">
        <v>34.200000000000003</v>
      </c>
      <c r="K725">
        <v>0</v>
      </c>
      <c r="L725">
        <v>1.5699999999999999E-2</v>
      </c>
      <c r="M725">
        <v>0.111</v>
      </c>
      <c r="N725">
        <v>99.931299999999993</v>
      </c>
      <c r="O725" t="s">
        <v>269</v>
      </c>
      <c r="P725" t="s">
        <v>104</v>
      </c>
      <c r="Q725">
        <f>I725-(K725*Standards!$I$15)</f>
        <v>3.4500000000000003E-2</v>
      </c>
    </row>
    <row r="726" spans="1:24">
      <c r="A726">
        <v>36</v>
      </c>
      <c r="B726">
        <v>0</v>
      </c>
      <c r="C726">
        <v>0</v>
      </c>
      <c r="D726">
        <v>35.24</v>
      </c>
      <c r="E726">
        <v>1.47E-2</v>
      </c>
      <c r="F726">
        <v>1.35E-2</v>
      </c>
      <c r="G726">
        <v>0</v>
      </c>
      <c r="H726">
        <v>30.45</v>
      </c>
      <c r="I726">
        <v>3.7699999999999997E-2</v>
      </c>
      <c r="J726">
        <v>34.229999999999997</v>
      </c>
      <c r="K726">
        <v>0</v>
      </c>
      <c r="L726">
        <v>5.3999999999999999E-2</v>
      </c>
      <c r="M726">
        <v>0.1255</v>
      </c>
      <c r="N726">
        <v>100.16540000000001</v>
      </c>
      <c r="O726" t="s">
        <v>269</v>
      </c>
      <c r="P726" t="s">
        <v>104</v>
      </c>
      <c r="Q726">
        <f>I726-(K726*Standards!$I$15)</f>
        <v>3.7699999999999997E-2</v>
      </c>
    </row>
    <row r="727" spans="1:24">
      <c r="A727">
        <v>50</v>
      </c>
      <c r="B727">
        <v>0</v>
      </c>
      <c r="C727">
        <v>0</v>
      </c>
      <c r="D727">
        <v>35.270000000000003</v>
      </c>
      <c r="E727">
        <v>0</v>
      </c>
      <c r="F727">
        <v>0</v>
      </c>
      <c r="G727">
        <v>0</v>
      </c>
      <c r="H727">
        <v>30.53</v>
      </c>
      <c r="I727">
        <v>3.73E-2</v>
      </c>
      <c r="J727">
        <v>34.29</v>
      </c>
      <c r="K727">
        <v>0</v>
      </c>
      <c r="L727">
        <v>4.8099999999999997E-2</v>
      </c>
      <c r="M727">
        <v>0.13739999999999999</v>
      </c>
      <c r="N727">
        <v>100.3128</v>
      </c>
      <c r="O727" t="s">
        <v>269</v>
      </c>
      <c r="P727" t="s">
        <v>104</v>
      </c>
      <c r="Q727">
        <f>I727-(K727*Standards!$I$15)</f>
        <v>3.73E-2</v>
      </c>
    </row>
    <row r="728" spans="1:24">
      <c r="A728">
        <v>39</v>
      </c>
      <c r="B728">
        <v>1E-3</v>
      </c>
      <c r="C728">
        <v>0</v>
      </c>
      <c r="D728">
        <v>35.28</v>
      </c>
      <c r="E728">
        <v>0</v>
      </c>
      <c r="F728">
        <v>0</v>
      </c>
      <c r="G728">
        <v>0</v>
      </c>
      <c r="H728">
        <v>30.53</v>
      </c>
      <c r="I728">
        <v>3.0499999999999999E-2</v>
      </c>
      <c r="J728">
        <v>34.340000000000003</v>
      </c>
      <c r="K728">
        <v>0</v>
      </c>
      <c r="L728">
        <v>0</v>
      </c>
      <c r="M728">
        <v>0.10730000000000001</v>
      </c>
      <c r="N728">
        <v>100.28870000000001</v>
      </c>
      <c r="O728" t="s">
        <v>269</v>
      </c>
      <c r="P728" t="s">
        <v>104</v>
      </c>
      <c r="Q728">
        <f>I728-(K728*Standards!$I$15)</f>
        <v>3.0499999999999999E-2</v>
      </c>
    </row>
    <row r="729" spans="1:24">
      <c r="A729">
        <v>40</v>
      </c>
      <c r="B729">
        <v>0</v>
      </c>
      <c r="C729">
        <v>0</v>
      </c>
      <c r="D729">
        <v>35.21</v>
      </c>
      <c r="E729">
        <v>0</v>
      </c>
      <c r="F729">
        <v>0</v>
      </c>
      <c r="G729">
        <v>4.7000000000000002E-3</v>
      </c>
      <c r="H729">
        <v>30.55</v>
      </c>
      <c r="I729">
        <v>3.4000000000000002E-2</v>
      </c>
      <c r="J729">
        <v>34.340000000000003</v>
      </c>
      <c r="K729">
        <v>0</v>
      </c>
      <c r="L729">
        <v>2.81E-2</v>
      </c>
      <c r="M729">
        <v>0.1212</v>
      </c>
      <c r="N729">
        <v>100.28789999999999</v>
      </c>
      <c r="O729" t="s">
        <v>269</v>
      </c>
      <c r="P729" t="s">
        <v>104</v>
      </c>
      <c r="Q729">
        <f>I729-(K729*Standards!$I$15)</f>
        <v>3.4000000000000002E-2</v>
      </c>
    </row>
    <row r="730" spans="1:24">
      <c r="A730">
        <v>29</v>
      </c>
      <c r="B730">
        <v>0</v>
      </c>
      <c r="C730">
        <v>0</v>
      </c>
      <c r="D730">
        <v>35.29</v>
      </c>
      <c r="E730">
        <v>3.8999999999999998E-3</v>
      </c>
      <c r="F730">
        <v>0</v>
      </c>
      <c r="G730">
        <v>0</v>
      </c>
      <c r="H730">
        <v>30.71</v>
      </c>
      <c r="I730">
        <v>3.8100000000000002E-2</v>
      </c>
      <c r="J730">
        <v>34.35</v>
      </c>
      <c r="K730">
        <v>0</v>
      </c>
      <c r="L730">
        <v>3.44E-2</v>
      </c>
      <c r="M730">
        <v>0.12479999999999999</v>
      </c>
      <c r="N730">
        <v>100.55110000000001</v>
      </c>
      <c r="O730" t="s">
        <v>269</v>
      </c>
      <c r="P730" t="s">
        <v>104</v>
      </c>
      <c r="Q730">
        <f>I730-(K730*Standards!$I$15)</f>
        <v>3.8100000000000002E-2</v>
      </c>
    </row>
    <row r="731" spans="1:24">
      <c r="A731">
        <v>42</v>
      </c>
      <c r="B731">
        <v>0</v>
      </c>
      <c r="C731">
        <v>0</v>
      </c>
      <c r="D731">
        <v>35.18</v>
      </c>
      <c r="E731">
        <v>3.2000000000000002E-3</v>
      </c>
      <c r="F731">
        <v>0</v>
      </c>
      <c r="G731">
        <v>0</v>
      </c>
      <c r="H731">
        <v>30.6</v>
      </c>
      <c r="I731">
        <v>2.8000000000000001E-2</v>
      </c>
      <c r="J731">
        <v>34.36</v>
      </c>
      <c r="K731">
        <v>0</v>
      </c>
      <c r="L731">
        <v>5.3400000000000003E-2</v>
      </c>
      <c r="M731">
        <v>0.13539999999999999</v>
      </c>
      <c r="N731">
        <v>100.3599</v>
      </c>
      <c r="O731" t="s">
        <v>269</v>
      </c>
      <c r="P731" t="s">
        <v>104</v>
      </c>
      <c r="Q731">
        <f>I731-(K731*Standards!$I$15)</f>
        <v>2.8000000000000001E-2</v>
      </c>
    </row>
    <row r="732" spans="1:24">
      <c r="A732">
        <v>38</v>
      </c>
      <c r="B732">
        <v>0</v>
      </c>
      <c r="C732">
        <v>0</v>
      </c>
      <c r="D732">
        <v>34.99</v>
      </c>
      <c r="E732">
        <v>6.1999999999999998E-3</v>
      </c>
      <c r="F732">
        <v>0</v>
      </c>
      <c r="G732">
        <v>1E-3</v>
      </c>
      <c r="H732">
        <v>30.51</v>
      </c>
      <c r="I732">
        <v>3.4000000000000002E-2</v>
      </c>
      <c r="J732">
        <v>34.369999999999997</v>
      </c>
      <c r="K732">
        <v>0</v>
      </c>
      <c r="L732">
        <v>3.6299999999999999E-2</v>
      </c>
      <c r="M732">
        <v>0.1298</v>
      </c>
      <c r="N732">
        <v>100.0772</v>
      </c>
      <c r="O732" t="s">
        <v>269</v>
      </c>
      <c r="P732" t="s">
        <v>104</v>
      </c>
      <c r="Q732">
        <f>I732-(K732*Standards!$I$15)</f>
        <v>3.4000000000000002E-2</v>
      </c>
    </row>
    <row r="733" spans="1:24">
      <c r="A733">
        <v>28</v>
      </c>
      <c r="B733">
        <v>5.7999999999999996E-3</v>
      </c>
      <c r="C733">
        <v>0</v>
      </c>
      <c r="D733">
        <v>35.19</v>
      </c>
      <c r="E733">
        <v>0</v>
      </c>
      <c r="F733">
        <v>0</v>
      </c>
      <c r="G733">
        <v>0</v>
      </c>
      <c r="H733">
        <v>30.7</v>
      </c>
      <c r="I733">
        <v>3.6900000000000002E-2</v>
      </c>
      <c r="J733">
        <v>34.380000000000003</v>
      </c>
      <c r="K733">
        <v>0</v>
      </c>
      <c r="L733">
        <v>7.4999999999999997E-3</v>
      </c>
      <c r="M733">
        <v>0.1166</v>
      </c>
      <c r="N733">
        <v>100.4367</v>
      </c>
      <c r="O733" t="s">
        <v>269</v>
      </c>
      <c r="P733" t="s">
        <v>104</v>
      </c>
      <c r="Q733">
        <f>I733-(K733*Standards!$I$15)</f>
        <v>3.6900000000000002E-2</v>
      </c>
    </row>
    <row r="734" spans="1:24">
      <c r="A734">
        <v>30</v>
      </c>
      <c r="B734">
        <v>0</v>
      </c>
      <c r="C734">
        <v>0</v>
      </c>
      <c r="D734">
        <v>35.25</v>
      </c>
      <c r="E734">
        <v>0</v>
      </c>
      <c r="F734">
        <v>0</v>
      </c>
      <c r="G734">
        <v>0</v>
      </c>
      <c r="H734">
        <v>30.72</v>
      </c>
      <c r="I734">
        <v>3.56E-2</v>
      </c>
      <c r="J734">
        <v>34.380000000000003</v>
      </c>
      <c r="K734">
        <v>0</v>
      </c>
      <c r="L734">
        <v>1.5800000000000002E-2</v>
      </c>
      <c r="M734">
        <v>0.1268</v>
      </c>
      <c r="N734">
        <v>100.5282</v>
      </c>
      <c r="O734" t="s">
        <v>269</v>
      </c>
      <c r="P734" t="s">
        <v>104</v>
      </c>
      <c r="Q734">
        <f>I734-(K734*Standards!$I$15)</f>
        <v>3.56E-2</v>
      </c>
    </row>
    <row r="735" spans="1:24">
      <c r="A735">
        <v>48</v>
      </c>
      <c r="B735">
        <v>0</v>
      </c>
      <c r="C735">
        <v>0</v>
      </c>
      <c r="D735">
        <v>35.26</v>
      </c>
      <c r="E735">
        <v>0</v>
      </c>
      <c r="F735">
        <v>0</v>
      </c>
      <c r="G735">
        <v>2.9999999999999997E-4</v>
      </c>
      <c r="H735">
        <v>30.56</v>
      </c>
      <c r="I735">
        <v>3.56E-2</v>
      </c>
      <c r="J735">
        <v>34.380000000000003</v>
      </c>
      <c r="K735">
        <v>0</v>
      </c>
      <c r="L735">
        <v>3.7199999999999997E-2</v>
      </c>
      <c r="M735">
        <v>0.1303</v>
      </c>
      <c r="N735">
        <v>100.4034</v>
      </c>
      <c r="O735" t="s">
        <v>269</v>
      </c>
      <c r="P735" t="s">
        <v>104</v>
      </c>
      <c r="Q735">
        <f>I735-(K735*Standards!$I$15)</f>
        <v>3.56E-2</v>
      </c>
    </row>
    <row r="736" spans="1:24">
      <c r="A736">
        <v>49</v>
      </c>
      <c r="B736">
        <v>1.4E-3</v>
      </c>
      <c r="C736">
        <v>0</v>
      </c>
      <c r="D736">
        <v>35.33</v>
      </c>
      <c r="E736">
        <v>0</v>
      </c>
      <c r="F736">
        <v>0</v>
      </c>
      <c r="G736">
        <v>0</v>
      </c>
      <c r="H736">
        <v>30.55</v>
      </c>
      <c r="I736">
        <v>4.3200000000000002E-2</v>
      </c>
      <c r="J736">
        <v>34.51</v>
      </c>
      <c r="K736">
        <v>0</v>
      </c>
      <c r="L736">
        <v>1.0500000000000001E-2</v>
      </c>
      <c r="M736">
        <v>0.14019999999999999</v>
      </c>
      <c r="N736">
        <v>100.5852</v>
      </c>
      <c r="O736" t="s">
        <v>269</v>
      </c>
      <c r="P736" t="s">
        <v>104</v>
      </c>
      <c r="Q736">
        <f>I736-(K736*Standards!$I$15)</f>
        <v>4.3200000000000002E-2</v>
      </c>
    </row>
    <row r="737" spans="1:17">
      <c r="A737">
        <v>27</v>
      </c>
      <c r="B737">
        <v>0</v>
      </c>
      <c r="C737">
        <v>0</v>
      </c>
      <c r="D737">
        <v>35.17</v>
      </c>
      <c r="E737">
        <v>0</v>
      </c>
      <c r="F737">
        <v>0</v>
      </c>
      <c r="G737">
        <v>0</v>
      </c>
      <c r="H737">
        <v>30.81</v>
      </c>
      <c r="I737">
        <v>3.6200000000000003E-2</v>
      </c>
      <c r="J737">
        <v>34.520000000000003</v>
      </c>
      <c r="K737">
        <v>0</v>
      </c>
      <c r="L737">
        <v>1.41E-2</v>
      </c>
      <c r="M737">
        <v>0.1135</v>
      </c>
      <c r="N737">
        <v>100.66370000000001</v>
      </c>
      <c r="O737" t="s">
        <v>269</v>
      </c>
      <c r="P737" t="s">
        <v>104</v>
      </c>
      <c r="Q737">
        <f>I737-(K737*Standards!$I$15)</f>
        <v>3.6200000000000003E-2</v>
      </c>
    </row>
    <row r="738" spans="1:17">
      <c r="A738">
        <v>46</v>
      </c>
      <c r="B738">
        <v>0</v>
      </c>
      <c r="C738">
        <v>0</v>
      </c>
      <c r="D738">
        <v>35.24</v>
      </c>
      <c r="E738">
        <v>3.7000000000000002E-3</v>
      </c>
      <c r="F738">
        <v>0</v>
      </c>
      <c r="G738">
        <v>0</v>
      </c>
      <c r="H738">
        <v>30.59</v>
      </c>
      <c r="I738">
        <v>3.9100000000000003E-2</v>
      </c>
      <c r="J738">
        <v>34.58</v>
      </c>
      <c r="K738">
        <v>0</v>
      </c>
      <c r="L738">
        <v>1.34E-2</v>
      </c>
      <c r="M738">
        <v>0.13569999999999999</v>
      </c>
      <c r="N738">
        <v>100.6018</v>
      </c>
      <c r="O738" t="s">
        <v>269</v>
      </c>
      <c r="P738" t="s">
        <v>104</v>
      </c>
      <c r="Q738">
        <f>I738-(K738*Standards!$I$15)</f>
        <v>3.9100000000000003E-2</v>
      </c>
    </row>
    <row r="739" spans="1:17">
      <c r="A739">
        <v>47</v>
      </c>
      <c r="B739">
        <v>6.3E-3</v>
      </c>
      <c r="C739">
        <v>0</v>
      </c>
      <c r="D739">
        <v>35.29</v>
      </c>
      <c r="E739">
        <v>0</v>
      </c>
      <c r="F739">
        <v>0</v>
      </c>
      <c r="G739">
        <v>0</v>
      </c>
      <c r="H739">
        <v>30.68</v>
      </c>
      <c r="I739">
        <v>3.73E-2</v>
      </c>
      <c r="J739">
        <v>34.58</v>
      </c>
      <c r="K739">
        <v>0</v>
      </c>
      <c r="L739">
        <v>2.4899999999999999E-2</v>
      </c>
      <c r="M739">
        <v>0.13650000000000001</v>
      </c>
      <c r="N739">
        <v>100.755</v>
      </c>
      <c r="O739" t="s">
        <v>269</v>
      </c>
      <c r="P739" t="s">
        <v>104</v>
      </c>
      <c r="Q739">
        <f>I739-(K739*Standards!$I$15)</f>
        <v>3.73E-2</v>
      </c>
    </row>
    <row r="740" spans="1:17">
      <c r="A740">
        <v>37</v>
      </c>
      <c r="B740">
        <v>8.6999999999999994E-3</v>
      </c>
      <c r="C740">
        <v>0</v>
      </c>
      <c r="D740">
        <v>35.369999999999997</v>
      </c>
      <c r="E740">
        <v>0</v>
      </c>
      <c r="F740">
        <v>0</v>
      </c>
      <c r="G740">
        <v>1.2999999999999999E-3</v>
      </c>
      <c r="H740">
        <v>30.69</v>
      </c>
      <c r="I740">
        <v>3.3700000000000001E-2</v>
      </c>
      <c r="J740">
        <v>34.58</v>
      </c>
      <c r="K740">
        <v>0</v>
      </c>
      <c r="L740">
        <v>4.0899999999999999E-2</v>
      </c>
      <c r="M740">
        <v>0.12</v>
      </c>
      <c r="N740">
        <v>100.8446</v>
      </c>
      <c r="O740" t="s">
        <v>269</v>
      </c>
      <c r="P740" t="s">
        <v>104</v>
      </c>
      <c r="Q740">
        <f>I740-(K740*Standards!$I$15)</f>
        <v>3.3700000000000001E-2</v>
      </c>
    </row>
    <row r="741" spans="1:17">
      <c r="A741">
        <v>3</v>
      </c>
      <c r="B741">
        <v>0</v>
      </c>
      <c r="C741">
        <v>0</v>
      </c>
      <c r="D741">
        <v>36.24</v>
      </c>
      <c r="E741">
        <v>2.5000000000000001E-3</v>
      </c>
      <c r="F741">
        <v>0</v>
      </c>
      <c r="G741">
        <v>0</v>
      </c>
      <c r="H741">
        <v>31.07</v>
      </c>
      <c r="I741">
        <v>2.3199999999999998E-2</v>
      </c>
      <c r="J741">
        <v>34.74</v>
      </c>
      <c r="K741">
        <v>0</v>
      </c>
      <c r="L741">
        <v>1.61E-2</v>
      </c>
      <c r="M741">
        <v>0.1331</v>
      </c>
      <c r="N741">
        <v>102.2248</v>
      </c>
      <c r="O741" t="s">
        <v>270</v>
      </c>
      <c r="P741" t="s">
        <v>104</v>
      </c>
      <c r="Q741">
        <f>I741-(K741*Standards!$I$15)</f>
        <v>2.3199999999999998E-2</v>
      </c>
    </row>
    <row r="742" spans="1:17">
      <c r="A742">
        <v>2</v>
      </c>
      <c r="B742">
        <v>0</v>
      </c>
      <c r="C742">
        <v>0</v>
      </c>
      <c r="D742">
        <v>35.33</v>
      </c>
      <c r="E742">
        <v>2.41E-2</v>
      </c>
      <c r="F742">
        <v>0</v>
      </c>
      <c r="G742">
        <v>0</v>
      </c>
      <c r="H742">
        <v>30.9</v>
      </c>
      <c r="I742">
        <v>1.9800000000000002E-2</v>
      </c>
      <c r="J742">
        <v>34.72</v>
      </c>
      <c r="K742">
        <v>0</v>
      </c>
      <c r="L742">
        <v>2.7300000000000001E-2</v>
      </c>
      <c r="M742">
        <v>0.1172</v>
      </c>
      <c r="N742">
        <v>101.1384</v>
      </c>
      <c r="O742" t="s">
        <v>270</v>
      </c>
      <c r="P742" t="s">
        <v>104</v>
      </c>
      <c r="Q742">
        <f>I742-(K742*Standards!$I$15)</f>
        <v>1.9800000000000002E-2</v>
      </c>
    </row>
    <row r="743" spans="1:17">
      <c r="A743">
        <v>4</v>
      </c>
      <c r="B743">
        <v>0</v>
      </c>
      <c r="C743">
        <v>0</v>
      </c>
      <c r="D743">
        <v>35.54</v>
      </c>
      <c r="E743">
        <v>3.5999999999999999E-3</v>
      </c>
      <c r="F743">
        <v>5.7000000000000002E-3</v>
      </c>
      <c r="G743">
        <v>0</v>
      </c>
      <c r="H743">
        <v>30.9</v>
      </c>
      <c r="I743">
        <v>1.7500000000000002E-2</v>
      </c>
      <c r="J743">
        <v>34.67</v>
      </c>
      <c r="K743">
        <v>0</v>
      </c>
      <c r="L743">
        <v>1.2200000000000001E-2</v>
      </c>
      <c r="M743">
        <v>0.14990000000000001</v>
      </c>
      <c r="N743">
        <v>101.2989</v>
      </c>
      <c r="O743" t="s">
        <v>270</v>
      </c>
      <c r="P743" t="s">
        <v>104</v>
      </c>
      <c r="Q743">
        <f>I743-(K743*Standards!$I$15)</f>
        <v>1.7500000000000002E-2</v>
      </c>
    </row>
    <row r="744" spans="1:17">
      <c r="A744">
        <v>21</v>
      </c>
      <c r="B744">
        <v>0</v>
      </c>
      <c r="C744">
        <v>0</v>
      </c>
      <c r="D744">
        <v>35.549999999999997</v>
      </c>
      <c r="E744">
        <v>0</v>
      </c>
      <c r="F744">
        <v>1.03E-2</v>
      </c>
      <c r="G744">
        <v>0</v>
      </c>
      <c r="H744">
        <v>30.72</v>
      </c>
      <c r="I744">
        <v>2.1399999999999999E-2</v>
      </c>
      <c r="J744">
        <v>34.659999999999997</v>
      </c>
      <c r="K744">
        <v>0</v>
      </c>
      <c r="L744">
        <v>2.7199999999999998E-2</v>
      </c>
      <c r="M744">
        <v>0.11169999999999999</v>
      </c>
      <c r="N744">
        <v>101.1005</v>
      </c>
      <c r="O744" t="s">
        <v>270</v>
      </c>
      <c r="P744" t="s">
        <v>104</v>
      </c>
      <c r="Q744">
        <f>I744-(K744*Standards!$I$15)</f>
        <v>2.1399999999999999E-2</v>
      </c>
    </row>
    <row r="745" spans="1:17">
      <c r="A745">
        <v>8</v>
      </c>
      <c r="B745">
        <v>0</v>
      </c>
      <c r="C745">
        <v>0</v>
      </c>
      <c r="D745">
        <v>35.479999999999997</v>
      </c>
      <c r="E745">
        <v>2.2100000000000002E-2</v>
      </c>
      <c r="F745">
        <v>0</v>
      </c>
      <c r="G745">
        <v>0</v>
      </c>
      <c r="H745">
        <v>30.65</v>
      </c>
      <c r="I745">
        <v>1.23E-2</v>
      </c>
      <c r="J745">
        <v>34.659999999999997</v>
      </c>
      <c r="K745">
        <v>0</v>
      </c>
      <c r="L745">
        <v>4.2200000000000001E-2</v>
      </c>
      <c r="M745">
        <v>0.12970000000000001</v>
      </c>
      <c r="N745">
        <v>100.9962</v>
      </c>
      <c r="O745" t="s">
        <v>270</v>
      </c>
      <c r="P745" t="s">
        <v>104</v>
      </c>
      <c r="Q745">
        <f>I745-(K745*Standards!$I$15)</f>
        <v>1.23E-2</v>
      </c>
    </row>
    <row r="746" spans="1:17">
      <c r="A746">
        <v>10</v>
      </c>
      <c r="B746">
        <v>0</v>
      </c>
      <c r="C746">
        <v>0</v>
      </c>
      <c r="D746">
        <v>35.25</v>
      </c>
      <c r="E746">
        <v>0</v>
      </c>
      <c r="F746">
        <v>0</v>
      </c>
      <c r="G746">
        <v>0</v>
      </c>
      <c r="H746">
        <v>30.48</v>
      </c>
      <c r="I746">
        <v>2.29E-2</v>
      </c>
      <c r="J746">
        <v>34.64</v>
      </c>
      <c r="K746">
        <v>0</v>
      </c>
      <c r="L746">
        <v>1.1999999999999999E-3</v>
      </c>
      <c r="M746">
        <v>0.14319999999999999</v>
      </c>
      <c r="N746">
        <v>100.5372</v>
      </c>
      <c r="O746" t="s">
        <v>270</v>
      </c>
      <c r="P746" t="s">
        <v>104</v>
      </c>
      <c r="Q746">
        <f>I746-(K746*Standards!$I$15)</f>
        <v>2.29E-2</v>
      </c>
    </row>
    <row r="747" spans="1:17">
      <c r="A747">
        <v>9</v>
      </c>
      <c r="B747">
        <v>8.9999999999999998E-4</v>
      </c>
      <c r="C747">
        <v>0</v>
      </c>
      <c r="D747">
        <v>35.43</v>
      </c>
      <c r="E747">
        <v>0</v>
      </c>
      <c r="F747">
        <v>0</v>
      </c>
      <c r="G747">
        <v>0</v>
      </c>
      <c r="H747">
        <v>30.82</v>
      </c>
      <c r="I747">
        <v>2.53E-2</v>
      </c>
      <c r="J747">
        <v>34.630000000000003</v>
      </c>
      <c r="K747">
        <v>0</v>
      </c>
      <c r="L747">
        <v>3.3300000000000003E-2</v>
      </c>
      <c r="M747">
        <v>0.14419999999999999</v>
      </c>
      <c r="N747">
        <v>101.08369999999999</v>
      </c>
      <c r="O747" t="s">
        <v>270</v>
      </c>
      <c r="P747" t="s">
        <v>104</v>
      </c>
      <c r="Q747">
        <f>I747-(K747*Standards!$I$15)</f>
        <v>2.53E-2</v>
      </c>
    </row>
    <row r="748" spans="1:17">
      <c r="A748">
        <v>5</v>
      </c>
      <c r="B748">
        <v>0</v>
      </c>
      <c r="C748">
        <v>0</v>
      </c>
      <c r="D748">
        <v>35.369999999999997</v>
      </c>
      <c r="E748">
        <v>2.8999999999999998E-3</v>
      </c>
      <c r="F748">
        <v>0</v>
      </c>
      <c r="G748">
        <v>0</v>
      </c>
      <c r="H748">
        <v>30.67</v>
      </c>
      <c r="I748">
        <v>6.3E-3</v>
      </c>
      <c r="J748">
        <v>34.619999999999997</v>
      </c>
      <c r="K748">
        <v>0</v>
      </c>
      <c r="L748">
        <v>4.3099999999999999E-2</v>
      </c>
      <c r="M748">
        <v>0.13469999999999999</v>
      </c>
      <c r="N748">
        <v>100.84690000000001</v>
      </c>
      <c r="O748" t="s">
        <v>270</v>
      </c>
      <c r="P748" t="s">
        <v>104</v>
      </c>
      <c r="Q748">
        <f>I748-(K748*Standards!$I$15)</f>
        <v>6.3E-3</v>
      </c>
    </row>
    <row r="749" spans="1:17">
      <c r="A749">
        <v>11</v>
      </c>
      <c r="B749">
        <v>0</v>
      </c>
      <c r="C749">
        <v>0</v>
      </c>
      <c r="D749">
        <v>35.39</v>
      </c>
      <c r="E749">
        <v>6.7999999999999996E-3</v>
      </c>
      <c r="F749">
        <v>0</v>
      </c>
      <c r="G749">
        <v>0</v>
      </c>
      <c r="H749">
        <v>30.74</v>
      </c>
      <c r="I749">
        <v>2.87E-2</v>
      </c>
      <c r="J749">
        <v>34.61</v>
      </c>
      <c r="K749">
        <v>0</v>
      </c>
      <c r="L749">
        <v>0.2266</v>
      </c>
      <c r="M749">
        <v>0.1331</v>
      </c>
      <c r="N749">
        <v>101.1352</v>
      </c>
      <c r="O749" t="s">
        <v>270</v>
      </c>
      <c r="P749" t="s">
        <v>104</v>
      </c>
      <c r="Q749">
        <f>I749-(K749*Standards!$I$15)</f>
        <v>2.87E-2</v>
      </c>
    </row>
    <row r="750" spans="1:17">
      <c r="A750">
        <v>6</v>
      </c>
      <c r="B750">
        <v>0</v>
      </c>
      <c r="C750">
        <v>0</v>
      </c>
      <c r="D750">
        <v>35.35</v>
      </c>
      <c r="E750">
        <v>0</v>
      </c>
      <c r="F750">
        <v>0</v>
      </c>
      <c r="G750">
        <v>0</v>
      </c>
      <c r="H750">
        <v>30.67</v>
      </c>
      <c r="I750">
        <v>1.15E-2</v>
      </c>
      <c r="J750">
        <v>34.590000000000003</v>
      </c>
      <c r="K750">
        <v>0</v>
      </c>
      <c r="L750">
        <v>0</v>
      </c>
      <c r="M750">
        <v>0.14499999999999999</v>
      </c>
      <c r="N750">
        <v>100.7664</v>
      </c>
      <c r="O750" t="s">
        <v>270</v>
      </c>
      <c r="P750" t="s">
        <v>104</v>
      </c>
      <c r="Q750">
        <f>I750-(K750*Standards!$I$15)</f>
        <v>1.15E-2</v>
      </c>
    </row>
    <row r="751" spans="1:17">
      <c r="A751">
        <v>22</v>
      </c>
      <c r="B751">
        <v>2.3E-3</v>
      </c>
      <c r="C751">
        <v>0</v>
      </c>
      <c r="D751">
        <v>35.49</v>
      </c>
      <c r="E751">
        <v>2.8199999999999999E-2</v>
      </c>
      <c r="F751">
        <v>0</v>
      </c>
      <c r="G751">
        <v>0</v>
      </c>
      <c r="H751">
        <v>30.33</v>
      </c>
      <c r="I751">
        <v>2.1100000000000001E-2</v>
      </c>
      <c r="J751">
        <v>34.54</v>
      </c>
      <c r="K751">
        <v>0</v>
      </c>
      <c r="L751">
        <v>2.1100000000000001E-2</v>
      </c>
      <c r="M751">
        <v>0.1305</v>
      </c>
      <c r="N751">
        <v>100.56319999999999</v>
      </c>
      <c r="O751" t="s">
        <v>270</v>
      </c>
      <c r="P751" t="s">
        <v>104</v>
      </c>
      <c r="Q751">
        <f>I751-(K751*Standards!$I$15)</f>
        <v>2.1100000000000001E-2</v>
      </c>
    </row>
    <row r="752" spans="1:17">
      <c r="A752">
        <v>16</v>
      </c>
      <c r="B752">
        <v>0</v>
      </c>
      <c r="C752">
        <v>0</v>
      </c>
      <c r="D752">
        <v>35.79</v>
      </c>
      <c r="E752">
        <v>1.0699999999999999E-2</v>
      </c>
      <c r="F752">
        <v>0</v>
      </c>
      <c r="G752">
        <v>0</v>
      </c>
      <c r="H752">
        <v>30.59</v>
      </c>
      <c r="I752">
        <v>7.4000000000000003E-3</v>
      </c>
      <c r="J752">
        <v>34.53</v>
      </c>
      <c r="K752">
        <v>0</v>
      </c>
      <c r="L752">
        <v>8.6999999999999994E-3</v>
      </c>
      <c r="M752">
        <v>0.12470000000000001</v>
      </c>
      <c r="N752">
        <v>101.06140000000001</v>
      </c>
      <c r="O752" t="s">
        <v>270</v>
      </c>
      <c r="P752" t="s">
        <v>104</v>
      </c>
      <c r="Q752">
        <f>I752-(K752*Standards!$I$15)</f>
        <v>7.4000000000000003E-3</v>
      </c>
    </row>
    <row r="753" spans="1:17">
      <c r="A753">
        <v>14</v>
      </c>
      <c r="B753">
        <v>2.9999999999999997E-4</v>
      </c>
      <c r="C753">
        <v>0</v>
      </c>
      <c r="D753">
        <v>35.409999999999997</v>
      </c>
      <c r="E753">
        <v>7.0000000000000001E-3</v>
      </c>
      <c r="F753">
        <v>0</v>
      </c>
      <c r="G753">
        <v>0</v>
      </c>
      <c r="H753">
        <v>30.58</v>
      </c>
      <c r="I753">
        <v>2.2200000000000001E-2</v>
      </c>
      <c r="J753">
        <v>34.53</v>
      </c>
      <c r="K753">
        <v>0</v>
      </c>
      <c r="L753">
        <v>1.49E-2</v>
      </c>
      <c r="M753">
        <v>0.1225</v>
      </c>
      <c r="N753">
        <v>100.68680000000001</v>
      </c>
      <c r="O753" t="s">
        <v>270</v>
      </c>
      <c r="P753" t="s">
        <v>104</v>
      </c>
      <c r="Q753">
        <f>I753-(K753*Standards!$I$15)</f>
        <v>2.2200000000000001E-2</v>
      </c>
    </row>
    <row r="754" spans="1:17">
      <c r="A754">
        <v>28</v>
      </c>
      <c r="B754">
        <v>0</v>
      </c>
      <c r="C754">
        <v>0</v>
      </c>
      <c r="D754">
        <v>35.520000000000003</v>
      </c>
      <c r="E754">
        <v>0</v>
      </c>
      <c r="F754">
        <v>0</v>
      </c>
      <c r="G754">
        <v>0</v>
      </c>
      <c r="H754">
        <v>30.65</v>
      </c>
      <c r="I754">
        <v>1.38E-2</v>
      </c>
      <c r="J754">
        <v>34.520000000000003</v>
      </c>
      <c r="K754">
        <v>0</v>
      </c>
      <c r="L754">
        <v>5.3400000000000003E-2</v>
      </c>
      <c r="M754">
        <v>0.13350000000000001</v>
      </c>
      <c r="N754">
        <v>100.89060000000001</v>
      </c>
      <c r="O754" t="s">
        <v>270</v>
      </c>
      <c r="P754" t="s">
        <v>104</v>
      </c>
      <c r="Q754">
        <f>I754-(K754*Standards!$I$15)</f>
        <v>1.38E-2</v>
      </c>
    </row>
    <row r="755" spans="1:17">
      <c r="A755">
        <v>24</v>
      </c>
      <c r="B755">
        <v>0</v>
      </c>
      <c r="C755">
        <v>0</v>
      </c>
      <c r="D755">
        <v>35.270000000000003</v>
      </c>
      <c r="E755">
        <v>0.25040000000000001</v>
      </c>
      <c r="F755">
        <v>3.8999999999999998E-3</v>
      </c>
      <c r="G755">
        <v>0</v>
      </c>
      <c r="H755">
        <v>30.39</v>
      </c>
      <c r="I755">
        <v>1.17E-2</v>
      </c>
      <c r="J755">
        <v>34.450000000000003</v>
      </c>
      <c r="K755">
        <v>0</v>
      </c>
      <c r="L755">
        <v>2.9600000000000001E-2</v>
      </c>
      <c r="M755">
        <v>0.12330000000000001</v>
      </c>
      <c r="N755">
        <v>100.52889999999999</v>
      </c>
      <c r="O755" t="s">
        <v>270</v>
      </c>
      <c r="P755" t="s">
        <v>104</v>
      </c>
      <c r="Q755">
        <f>I755-(K755*Standards!$I$15)</f>
        <v>1.17E-2</v>
      </c>
    </row>
    <row r="756" spans="1:17">
      <c r="A756">
        <v>1</v>
      </c>
      <c r="B756">
        <v>0</v>
      </c>
      <c r="C756">
        <v>0</v>
      </c>
      <c r="D756">
        <v>35.25</v>
      </c>
      <c r="E756">
        <v>0</v>
      </c>
      <c r="F756">
        <v>0</v>
      </c>
      <c r="G756">
        <v>0</v>
      </c>
      <c r="H756">
        <v>31.09</v>
      </c>
      <c r="I756">
        <v>1.0500000000000001E-2</v>
      </c>
      <c r="J756">
        <v>34.44</v>
      </c>
      <c r="K756">
        <v>0</v>
      </c>
      <c r="L756">
        <v>2.9899999999999999E-2</v>
      </c>
      <c r="M756">
        <v>0.13900000000000001</v>
      </c>
      <c r="N756">
        <v>100.9593</v>
      </c>
      <c r="O756" t="s">
        <v>270</v>
      </c>
      <c r="P756" t="s">
        <v>104</v>
      </c>
      <c r="Q756">
        <f>I756-(K756*Standards!$I$15)</f>
        <v>1.0500000000000001E-2</v>
      </c>
    </row>
    <row r="757" spans="1:17">
      <c r="A757">
        <v>32</v>
      </c>
      <c r="B757">
        <v>0</v>
      </c>
      <c r="C757">
        <v>0</v>
      </c>
      <c r="D757">
        <v>35.22</v>
      </c>
      <c r="E757">
        <v>9.1000000000000004E-3</v>
      </c>
      <c r="F757">
        <v>1.17E-2</v>
      </c>
      <c r="G757">
        <v>0</v>
      </c>
      <c r="H757">
        <v>30.66</v>
      </c>
      <c r="I757">
        <v>7.7999999999999996E-3</v>
      </c>
      <c r="J757">
        <v>34.42</v>
      </c>
      <c r="K757">
        <v>0</v>
      </c>
      <c r="L757">
        <v>3.7199999999999997E-2</v>
      </c>
      <c r="M757">
        <v>0.14069999999999999</v>
      </c>
      <c r="N757">
        <v>100.5064</v>
      </c>
      <c r="O757" t="s">
        <v>270</v>
      </c>
      <c r="P757" t="s">
        <v>104</v>
      </c>
      <c r="Q757">
        <f>I757-(K757*Standards!$I$15)</f>
        <v>7.7999999999999996E-3</v>
      </c>
    </row>
    <row r="758" spans="1:17">
      <c r="A758">
        <v>27</v>
      </c>
      <c r="B758">
        <v>0</v>
      </c>
      <c r="C758">
        <v>0</v>
      </c>
      <c r="D758">
        <v>35.44</v>
      </c>
      <c r="E758">
        <v>1.1299999999999999E-2</v>
      </c>
      <c r="F758">
        <v>0</v>
      </c>
      <c r="G758">
        <v>0</v>
      </c>
      <c r="H758">
        <v>30.76</v>
      </c>
      <c r="I758">
        <v>7.4000000000000003E-3</v>
      </c>
      <c r="J758">
        <v>34.4</v>
      </c>
      <c r="K758">
        <v>0</v>
      </c>
      <c r="L758">
        <v>1.5E-3</v>
      </c>
      <c r="M758">
        <v>0.1198</v>
      </c>
      <c r="N758">
        <v>100.73990000000001</v>
      </c>
      <c r="O758" t="s">
        <v>270</v>
      </c>
      <c r="P758" t="s">
        <v>104</v>
      </c>
      <c r="Q758">
        <f>I758-(K758*Standards!$I$15)</f>
        <v>7.4000000000000003E-3</v>
      </c>
    </row>
    <row r="759" spans="1:17">
      <c r="A759">
        <v>23</v>
      </c>
      <c r="B759">
        <v>0</v>
      </c>
      <c r="C759">
        <v>0</v>
      </c>
      <c r="D759">
        <v>35.46</v>
      </c>
      <c r="E759">
        <v>4.0000000000000002E-4</v>
      </c>
      <c r="F759">
        <v>0</v>
      </c>
      <c r="G759">
        <v>0</v>
      </c>
      <c r="H759">
        <v>30.35</v>
      </c>
      <c r="I759">
        <v>1.3100000000000001E-2</v>
      </c>
      <c r="J759">
        <v>34.340000000000003</v>
      </c>
      <c r="K759">
        <v>0</v>
      </c>
      <c r="L759">
        <v>2.5600000000000001E-2</v>
      </c>
      <c r="M759">
        <v>0.1249</v>
      </c>
      <c r="N759">
        <v>100.3139</v>
      </c>
      <c r="O759" t="s">
        <v>270</v>
      </c>
      <c r="P759" t="s">
        <v>104</v>
      </c>
      <c r="Q759">
        <f>I759-(K759*Standards!$I$15)</f>
        <v>1.3100000000000001E-2</v>
      </c>
    </row>
    <row r="760" spans="1:17">
      <c r="A760">
        <v>26</v>
      </c>
      <c r="B760">
        <v>0</v>
      </c>
      <c r="C760">
        <v>0</v>
      </c>
      <c r="D760">
        <v>35.4</v>
      </c>
      <c r="E760">
        <v>0.1968</v>
      </c>
      <c r="F760">
        <v>0</v>
      </c>
      <c r="G760">
        <v>0</v>
      </c>
      <c r="H760">
        <v>30.29</v>
      </c>
      <c r="I760">
        <v>1.61E-2</v>
      </c>
      <c r="J760">
        <v>34.24</v>
      </c>
      <c r="K760">
        <v>0</v>
      </c>
      <c r="L760">
        <v>1.54E-2</v>
      </c>
      <c r="M760">
        <v>0.15310000000000001</v>
      </c>
      <c r="N760">
        <v>100.3113</v>
      </c>
      <c r="O760" t="s">
        <v>270</v>
      </c>
      <c r="P760" t="s">
        <v>104</v>
      </c>
      <c r="Q760">
        <f>I760-(K760*Standards!$I$15)</f>
        <v>1.61E-2</v>
      </c>
    </row>
    <row r="761" spans="1:17">
      <c r="A761">
        <v>59</v>
      </c>
      <c r="B761">
        <v>1.3599999999999999E-2</v>
      </c>
      <c r="C761">
        <v>0</v>
      </c>
      <c r="D761">
        <v>35.35</v>
      </c>
      <c r="E761">
        <v>0</v>
      </c>
      <c r="F761">
        <v>0</v>
      </c>
      <c r="G761">
        <v>0</v>
      </c>
      <c r="H761">
        <v>31.13</v>
      </c>
      <c r="I761">
        <v>2.0400000000000001E-2</v>
      </c>
      <c r="J761">
        <v>34.68</v>
      </c>
      <c r="K761">
        <v>0</v>
      </c>
      <c r="L761">
        <v>3.1399999999999997E-2</v>
      </c>
      <c r="M761">
        <v>7.7299999999999994E-2</v>
      </c>
      <c r="N761">
        <v>101.3027</v>
      </c>
      <c r="O761" t="s">
        <v>271</v>
      </c>
      <c r="P761" t="s">
        <v>104</v>
      </c>
      <c r="Q761">
        <f>I761-(K761*Standards!$I$15)</f>
        <v>2.0400000000000001E-2</v>
      </c>
    </row>
    <row r="762" spans="1:17">
      <c r="A762">
        <v>64</v>
      </c>
      <c r="B762">
        <v>0</v>
      </c>
      <c r="C762">
        <v>0</v>
      </c>
      <c r="D762">
        <v>35.549999999999997</v>
      </c>
      <c r="E762">
        <v>1.2800000000000001E-2</v>
      </c>
      <c r="F762">
        <v>0</v>
      </c>
      <c r="G762">
        <v>0</v>
      </c>
      <c r="H762">
        <v>31.17</v>
      </c>
      <c r="I762">
        <v>1.3100000000000001E-2</v>
      </c>
      <c r="J762">
        <v>34.68</v>
      </c>
      <c r="K762">
        <v>0</v>
      </c>
      <c r="L762">
        <v>6.9999999999999999E-4</v>
      </c>
      <c r="M762">
        <v>7.5399999999999995E-2</v>
      </c>
      <c r="N762">
        <v>101.50190000000001</v>
      </c>
      <c r="O762" t="s">
        <v>271</v>
      </c>
      <c r="P762" t="s">
        <v>104</v>
      </c>
      <c r="Q762">
        <f>I762-(K762*Standards!$I$15)</f>
        <v>1.3100000000000001E-2</v>
      </c>
    </row>
    <row r="763" spans="1:17">
      <c r="A763">
        <v>69</v>
      </c>
      <c r="B763">
        <v>3.2000000000000002E-3</v>
      </c>
      <c r="C763">
        <v>0</v>
      </c>
      <c r="D763">
        <v>35.369999999999997</v>
      </c>
      <c r="E763">
        <v>0</v>
      </c>
      <c r="F763">
        <v>0</v>
      </c>
      <c r="G763">
        <v>1.6000000000000001E-3</v>
      </c>
      <c r="H763">
        <v>31.31</v>
      </c>
      <c r="I763">
        <v>2.3300000000000001E-2</v>
      </c>
      <c r="J763">
        <v>34.67</v>
      </c>
      <c r="K763">
        <v>0</v>
      </c>
      <c r="L763">
        <v>4.2099999999999999E-2</v>
      </c>
      <c r="M763">
        <v>0.1062</v>
      </c>
      <c r="N763">
        <v>101.52630000000001</v>
      </c>
      <c r="O763" t="s">
        <v>271</v>
      </c>
      <c r="P763" t="s">
        <v>104</v>
      </c>
      <c r="Q763">
        <f>I763-(K763*Standards!$I$15)</f>
        <v>2.3300000000000001E-2</v>
      </c>
    </row>
    <row r="764" spans="1:17">
      <c r="A764">
        <v>63</v>
      </c>
      <c r="B764">
        <v>3.5999999999999999E-3</v>
      </c>
      <c r="C764">
        <v>0</v>
      </c>
      <c r="D764">
        <v>35.24</v>
      </c>
      <c r="E764">
        <v>0</v>
      </c>
      <c r="F764">
        <v>1.24E-2</v>
      </c>
      <c r="G764">
        <v>2.0999999999999999E-3</v>
      </c>
      <c r="H764">
        <v>31.25</v>
      </c>
      <c r="I764">
        <v>1.38E-2</v>
      </c>
      <c r="J764">
        <v>34.590000000000003</v>
      </c>
      <c r="K764">
        <v>0</v>
      </c>
      <c r="L764">
        <v>1.7899999999999999E-2</v>
      </c>
      <c r="M764">
        <v>0.1205</v>
      </c>
      <c r="N764">
        <v>101.2503</v>
      </c>
      <c r="O764" t="s">
        <v>271</v>
      </c>
      <c r="P764" t="s">
        <v>104</v>
      </c>
      <c r="Q764">
        <f>I764-(K764*Standards!$I$15)</f>
        <v>1.38E-2</v>
      </c>
    </row>
    <row r="765" spans="1:17">
      <c r="A765">
        <v>62</v>
      </c>
      <c r="B765">
        <v>1.2999999999999999E-3</v>
      </c>
      <c r="C765">
        <v>0</v>
      </c>
      <c r="D765">
        <v>35.32</v>
      </c>
      <c r="E765">
        <v>0</v>
      </c>
      <c r="F765">
        <v>0</v>
      </c>
      <c r="G765">
        <v>0</v>
      </c>
      <c r="H765">
        <v>31.1</v>
      </c>
      <c r="I765">
        <v>2.2100000000000002E-2</v>
      </c>
      <c r="J765">
        <v>34.590000000000003</v>
      </c>
      <c r="K765">
        <v>0</v>
      </c>
      <c r="L765">
        <v>0</v>
      </c>
      <c r="M765">
        <v>9.4200000000000006E-2</v>
      </c>
      <c r="N765">
        <v>101.1275</v>
      </c>
      <c r="O765" t="s">
        <v>271</v>
      </c>
      <c r="P765" t="s">
        <v>104</v>
      </c>
      <c r="Q765">
        <f>I765-(K765*Standards!$I$15)</f>
        <v>2.2100000000000002E-2</v>
      </c>
    </row>
    <row r="766" spans="1:17">
      <c r="A766">
        <v>65</v>
      </c>
      <c r="B766">
        <v>0</v>
      </c>
      <c r="C766">
        <v>0</v>
      </c>
      <c r="D766">
        <v>35.54</v>
      </c>
      <c r="E766">
        <v>0</v>
      </c>
      <c r="F766">
        <v>0</v>
      </c>
      <c r="G766">
        <v>0</v>
      </c>
      <c r="H766">
        <v>31.26</v>
      </c>
      <c r="I766">
        <v>2.4899999999999999E-2</v>
      </c>
      <c r="J766">
        <v>34.57</v>
      </c>
      <c r="K766">
        <v>0</v>
      </c>
      <c r="L766">
        <v>0</v>
      </c>
      <c r="M766">
        <v>0.10390000000000001</v>
      </c>
      <c r="N766">
        <v>101.4987</v>
      </c>
      <c r="O766" t="s">
        <v>271</v>
      </c>
      <c r="P766" t="s">
        <v>104</v>
      </c>
      <c r="Q766">
        <f>I766-(K766*Standards!$I$15)</f>
        <v>2.4899999999999999E-2</v>
      </c>
    </row>
    <row r="767" spans="1:17">
      <c r="A767">
        <v>67</v>
      </c>
      <c r="B767">
        <v>0</v>
      </c>
      <c r="C767">
        <v>0</v>
      </c>
      <c r="D767">
        <v>35.450000000000003</v>
      </c>
      <c r="E767">
        <v>0</v>
      </c>
      <c r="F767">
        <v>0</v>
      </c>
      <c r="G767">
        <v>6.9999999999999999E-4</v>
      </c>
      <c r="H767">
        <v>31.19</v>
      </c>
      <c r="I767">
        <v>2.0799999999999999E-2</v>
      </c>
      <c r="J767">
        <v>34.56</v>
      </c>
      <c r="K767">
        <v>0</v>
      </c>
      <c r="L767">
        <v>3.8E-3</v>
      </c>
      <c r="M767">
        <v>0.106</v>
      </c>
      <c r="N767">
        <v>101.3312</v>
      </c>
      <c r="O767" t="s">
        <v>271</v>
      </c>
      <c r="P767" t="s">
        <v>104</v>
      </c>
      <c r="Q767">
        <f>I767-(K767*Standards!$I$15)</f>
        <v>2.0799999999999999E-2</v>
      </c>
    </row>
    <row r="768" spans="1:17">
      <c r="A768">
        <v>58</v>
      </c>
      <c r="B768">
        <v>8.0999999999999996E-3</v>
      </c>
      <c r="C768">
        <v>0</v>
      </c>
      <c r="D768">
        <v>35.22</v>
      </c>
      <c r="E768">
        <v>7.1000000000000004E-3</v>
      </c>
      <c r="F768">
        <v>0</v>
      </c>
      <c r="G768">
        <v>0</v>
      </c>
      <c r="H768">
        <v>30.99</v>
      </c>
      <c r="I768">
        <v>2.3699999999999999E-2</v>
      </c>
      <c r="J768">
        <v>34.54</v>
      </c>
      <c r="K768">
        <v>0</v>
      </c>
      <c r="L768">
        <v>0.04</v>
      </c>
      <c r="M768">
        <v>0.1245</v>
      </c>
      <c r="N768">
        <v>100.9533</v>
      </c>
      <c r="O768" t="s">
        <v>271</v>
      </c>
      <c r="P768" t="s">
        <v>104</v>
      </c>
      <c r="Q768">
        <f>I768-(K768*Standards!$I$15)</f>
        <v>2.3699999999999999E-2</v>
      </c>
    </row>
    <row r="769" spans="1:24">
      <c r="A769">
        <v>60</v>
      </c>
      <c r="B769">
        <v>1.3100000000000001E-2</v>
      </c>
      <c r="C769">
        <v>0</v>
      </c>
      <c r="D769">
        <v>35.299999999999997</v>
      </c>
      <c r="E769">
        <v>0</v>
      </c>
      <c r="F769">
        <v>0</v>
      </c>
      <c r="G769">
        <v>0</v>
      </c>
      <c r="H769">
        <v>30.96</v>
      </c>
      <c r="I769">
        <v>1.6799999999999999E-2</v>
      </c>
      <c r="J769">
        <v>34.51</v>
      </c>
      <c r="K769">
        <v>0</v>
      </c>
      <c r="L769">
        <v>3.1699999999999999E-2</v>
      </c>
      <c r="M769">
        <v>8.7099999999999997E-2</v>
      </c>
      <c r="N769">
        <v>100.9186</v>
      </c>
      <c r="O769" t="s">
        <v>271</v>
      </c>
      <c r="P769" t="s">
        <v>104</v>
      </c>
      <c r="Q769">
        <f>I769-(K769*Standards!$I$15)</f>
        <v>1.6799999999999999E-2</v>
      </c>
    </row>
    <row r="770" spans="1:24">
      <c r="A770">
        <v>66</v>
      </c>
      <c r="B770">
        <v>0</v>
      </c>
      <c r="C770">
        <v>0</v>
      </c>
      <c r="D770">
        <v>35.200000000000003</v>
      </c>
      <c r="E770">
        <v>7.4999999999999997E-3</v>
      </c>
      <c r="F770">
        <v>0</v>
      </c>
      <c r="G770">
        <v>0</v>
      </c>
      <c r="H770">
        <v>30.76</v>
      </c>
      <c r="I770">
        <v>2.4E-2</v>
      </c>
      <c r="J770">
        <v>34.5</v>
      </c>
      <c r="K770">
        <v>0</v>
      </c>
      <c r="L770">
        <v>3.1300000000000001E-2</v>
      </c>
      <c r="M770">
        <v>0.1135</v>
      </c>
      <c r="N770">
        <v>100.63630000000001</v>
      </c>
      <c r="O770" t="s">
        <v>271</v>
      </c>
      <c r="P770" t="s">
        <v>104</v>
      </c>
      <c r="Q770">
        <f>I770-(K770*Standards!$I$15)</f>
        <v>2.4E-2</v>
      </c>
    </row>
    <row r="771" spans="1:24">
      <c r="A771">
        <v>70</v>
      </c>
      <c r="B771">
        <v>0</v>
      </c>
      <c r="C771">
        <v>0</v>
      </c>
      <c r="D771">
        <v>35.32</v>
      </c>
      <c r="E771">
        <v>1.1999999999999999E-3</v>
      </c>
      <c r="F771">
        <v>0</v>
      </c>
      <c r="G771">
        <v>0</v>
      </c>
      <c r="H771">
        <v>31.51</v>
      </c>
      <c r="I771">
        <v>3.3099999999999997E-2</v>
      </c>
      <c r="J771">
        <v>34.49</v>
      </c>
      <c r="K771">
        <v>0</v>
      </c>
      <c r="L771">
        <v>3.73E-2</v>
      </c>
      <c r="M771">
        <v>0.1221</v>
      </c>
      <c r="N771">
        <v>101.5136</v>
      </c>
      <c r="O771" t="s">
        <v>271</v>
      </c>
      <c r="P771" t="s">
        <v>104</v>
      </c>
      <c r="Q771">
        <f>I771-(K771*Standards!$I$15)</f>
        <v>3.3099999999999997E-2</v>
      </c>
    </row>
    <row r="772" spans="1:24">
      <c r="A772">
        <v>61</v>
      </c>
      <c r="B772">
        <v>1.44E-2</v>
      </c>
      <c r="C772">
        <v>0</v>
      </c>
      <c r="D772">
        <v>35.43</v>
      </c>
      <c r="E772">
        <v>0</v>
      </c>
      <c r="F772">
        <v>0</v>
      </c>
      <c r="G772">
        <v>0</v>
      </c>
      <c r="H772">
        <v>31.18</v>
      </c>
      <c r="I772">
        <v>1.9300000000000001E-2</v>
      </c>
      <c r="J772">
        <v>34.49</v>
      </c>
      <c r="K772">
        <v>0</v>
      </c>
      <c r="L772">
        <v>2.1899999999999999E-2</v>
      </c>
      <c r="M772">
        <v>0.1061</v>
      </c>
      <c r="N772">
        <v>101.2617</v>
      </c>
      <c r="O772" t="s">
        <v>271</v>
      </c>
      <c r="P772" t="s">
        <v>104</v>
      </c>
      <c r="Q772">
        <f>I772-(K772*Standards!$I$15)</f>
        <v>1.9300000000000001E-2</v>
      </c>
    </row>
    <row r="773" spans="1:24">
      <c r="A773">
        <v>57</v>
      </c>
      <c r="B773">
        <v>0</v>
      </c>
      <c r="C773">
        <v>0</v>
      </c>
      <c r="D773">
        <v>35.409999999999997</v>
      </c>
      <c r="E773">
        <v>0</v>
      </c>
      <c r="F773">
        <v>0</v>
      </c>
      <c r="G773">
        <v>0</v>
      </c>
      <c r="H773">
        <v>31.03</v>
      </c>
      <c r="I773">
        <v>0.1147</v>
      </c>
      <c r="J773">
        <v>34.479999999999997</v>
      </c>
      <c r="K773">
        <v>0</v>
      </c>
      <c r="L773">
        <v>1.6400000000000001E-2</v>
      </c>
      <c r="M773">
        <v>0.12939999999999999</v>
      </c>
      <c r="N773">
        <v>101.18049999999999</v>
      </c>
      <c r="O773" t="s">
        <v>271</v>
      </c>
      <c r="P773" t="s">
        <v>104</v>
      </c>
      <c r="Q773">
        <f>I773-(K773*Standards!$I$15)</f>
        <v>0.1147</v>
      </c>
    </row>
    <row r="774" spans="1:24">
      <c r="A774">
        <v>68</v>
      </c>
      <c r="B774">
        <v>0</v>
      </c>
      <c r="C774">
        <v>0</v>
      </c>
      <c r="D774">
        <v>35.28</v>
      </c>
      <c r="E774">
        <v>0</v>
      </c>
      <c r="F774">
        <v>0</v>
      </c>
      <c r="G774">
        <v>0</v>
      </c>
      <c r="H774">
        <v>31.14</v>
      </c>
      <c r="I774">
        <v>3.27E-2</v>
      </c>
      <c r="J774">
        <v>34.44</v>
      </c>
      <c r="K774">
        <v>0</v>
      </c>
      <c r="L774">
        <v>2.41E-2</v>
      </c>
      <c r="M774">
        <v>0.1014</v>
      </c>
      <c r="N774">
        <v>101.01819999999999</v>
      </c>
      <c r="O774" t="s">
        <v>271</v>
      </c>
      <c r="P774" t="s">
        <v>104</v>
      </c>
      <c r="Q774">
        <f>I774-(K774*Standards!$I$15)</f>
        <v>3.27E-2</v>
      </c>
    </row>
    <row r="775" spans="1:24">
      <c r="A775">
        <v>55</v>
      </c>
      <c r="B775">
        <v>0</v>
      </c>
      <c r="C775">
        <v>0</v>
      </c>
      <c r="D775">
        <v>35.33</v>
      </c>
      <c r="E775">
        <v>0</v>
      </c>
      <c r="F775">
        <v>0</v>
      </c>
      <c r="G775">
        <v>0</v>
      </c>
      <c r="H775">
        <v>30.75</v>
      </c>
      <c r="I775">
        <v>9.1800000000000007E-2</v>
      </c>
      <c r="J775">
        <v>34.380000000000003</v>
      </c>
      <c r="K775">
        <v>0</v>
      </c>
      <c r="L775">
        <v>2.8899999999999999E-2</v>
      </c>
      <c r="M775">
        <v>0.1085</v>
      </c>
      <c r="N775">
        <v>100.6891</v>
      </c>
      <c r="O775" t="s">
        <v>271</v>
      </c>
      <c r="P775" t="s">
        <v>104</v>
      </c>
      <c r="Q775">
        <f>I775-(K775*Standards!$I$15)</f>
        <v>9.1800000000000007E-2</v>
      </c>
    </row>
    <row r="776" spans="1:24">
      <c r="A776">
        <v>13</v>
      </c>
      <c r="B776">
        <v>2.9499999999999998E-2</v>
      </c>
      <c r="C776">
        <v>0</v>
      </c>
      <c r="D776">
        <v>35.229999999999997</v>
      </c>
      <c r="E776">
        <v>0</v>
      </c>
      <c r="F776">
        <v>0</v>
      </c>
      <c r="G776">
        <v>0</v>
      </c>
      <c r="H776">
        <v>30.68</v>
      </c>
      <c r="I776">
        <v>3.3399999999999999E-2</v>
      </c>
      <c r="J776">
        <v>34.39</v>
      </c>
      <c r="K776">
        <v>0</v>
      </c>
      <c r="L776">
        <v>5.9400000000000001E-2</v>
      </c>
      <c r="M776">
        <v>9.9500000000000005E-2</v>
      </c>
      <c r="N776">
        <v>100.5218</v>
      </c>
      <c r="O776" t="s">
        <v>272</v>
      </c>
      <c r="P776" t="s">
        <v>102</v>
      </c>
      <c r="Q776">
        <f>I776-(K776*Standards!$I$15)</f>
        <v>3.3399999999999999E-2</v>
      </c>
      <c r="R776" t="s">
        <v>102</v>
      </c>
      <c r="S776">
        <f>COUNT(Q776:Q945)</f>
        <v>170</v>
      </c>
      <c r="T776">
        <f>MAX(L776:L945)</f>
        <v>0.23219999999999999</v>
      </c>
      <c r="U776">
        <f>AVERAGE(L776:L945)</f>
        <v>4.4694117647058836E-2</v>
      </c>
      <c r="V776">
        <f>10000*MAX(Q776:Q945)</f>
        <v>646.99999999999989</v>
      </c>
      <c r="W776">
        <f>10000*AVERAGE(Q776:Q945)</f>
        <v>188.90588235294109</v>
      </c>
      <c r="X776">
        <f>10000*STDEV(Q776:Q945)</f>
        <v>160.49038191457674</v>
      </c>
    </row>
    <row r="777" spans="1:24">
      <c r="A777">
        <v>12</v>
      </c>
      <c r="B777">
        <v>4.1000000000000002E-2</v>
      </c>
      <c r="C777">
        <v>0</v>
      </c>
      <c r="D777">
        <v>35.119999999999997</v>
      </c>
      <c r="E777">
        <v>0</v>
      </c>
      <c r="F777">
        <v>0</v>
      </c>
      <c r="G777">
        <v>0</v>
      </c>
      <c r="H777">
        <v>30.43</v>
      </c>
      <c r="I777">
        <v>5.0299999999999997E-2</v>
      </c>
      <c r="J777">
        <v>34.24</v>
      </c>
      <c r="K777">
        <v>0</v>
      </c>
      <c r="L777">
        <v>4.5499999999999999E-2</v>
      </c>
      <c r="M777">
        <v>0.1047</v>
      </c>
      <c r="N777">
        <v>100.0314</v>
      </c>
      <c r="O777" t="s">
        <v>272</v>
      </c>
      <c r="P777" t="s">
        <v>102</v>
      </c>
      <c r="Q777">
        <f>I777-(K777*Standards!$I$15)</f>
        <v>5.0299999999999997E-2</v>
      </c>
    </row>
    <row r="778" spans="1:24">
      <c r="A778">
        <v>28</v>
      </c>
      <c r="B778">
        <v>2.2499999999999999E-2</v>
      </c>
      <c r="C778">
        <v>0</v>
      </c>
      <c r="D778">
        <v>35.17</v>
      </c>
      <c r="E778">
        <v>4.7000000000000002E-3</v>
      </c>
      <c r="F778">
        <v>0</v>
      </c>
      <c r="G778">
        <v>2.9999999999999997E-4</v>
      </c>
      <c r="H778">
        <v>30.25</v>
      </c>
      <c r="I778">
        <v>3.7100000000000001E-2</v>
      </c>
      <c r="J778">
        <v>34.229999999999997</v>
      </c>
      <c r="K778">
        <v>0</v>
      </c>
      <c r="L778">
        <v>2.7300000000000001E-2</v>
      </c>
      <c r="M778">
        <v>8.48E-2</v>
      </c>
      <c r="N778">
        <v>99.826800000000006</v>
      </c>
      <c r="O778" t="s">
        <v>272</v>
      </c>
      <c r="P778" t="s">
        <v>102</v>
      </c>
      <c r="Q778">
        <f>I778-(K778*Standards!$I$15)</f>
        <v>3.7100000000000001E-2</v>
      </c>
    </row>
    <row r="779" spans="1:24">
      <c r="A779">
        <v>49</v>
      </c>
      <c r="B779">
        <v>3.27E-2</v>
      </c>
      <c r="C779">
        <v>0</v>
      </c>
      <c r="D779">
        <v>35.29</v>
      </c>
      <c r="E779">
        <v>0</v>
      </c>
      <c r="F779">
        <v>0</v>
      </c>
      <c r="G779">
        <v>0</v>
      </c>
      <c r="H779">
        <v>30.63</v>
      </c>
      <c r="I779">
        <v>3.3599999999999998E-2</v>
      </c>
      <c r="J779">
        <v>34.21</v>
      </c>
      <c r="K779">
        <v>0</v>
      </c>
      <c r="L779">
        <v>2.4E-2</v>
      </c>
      <c r="M779">
        <v>0.1053</v>
      </c>
      <c r="N779">
        <v>100.32550000000001</v>
      </c>
      <c r="O779" t="s">
        <v>272</v>
      </c>
      <c r="P779" t="s">
        <v>102</v>
      </c>
      <c r="Q779">
        <f>I779-(K779*Standards!$I$15)</f>
        <v>3.3599999999999998E-2</v>
      </c>
    </row>
    <row r="780" spans="1:24">
      <c r="A780">
        <v>9</v>
      </c>
      <c r="B780">
        <v>2.3099999999999999E-2</v>
      </c>
      <c r="C780">
        <v>0</v>
      </c>
      <c r="D780">
        <v>35.08</v>
      </c>
      <c r="E780">
        <v>0</v>
      </c>
      <c r="F780">
        <v>0</v>
      </c>
      <c r="G780">
        <v>0</v>
      </c>
      <c r="H780">
        <v>30.63</v>
      </c>
      <c r="I780">
        <v>5.0299999999999997E-2</v>
      </c>
      <c r="J780">
        <v>34.200000000000003</v>
      </c>
      <c r="K780">
        <v>0</v>
      </c>
      <c r="L780">
        <v>5.2400000000000002E-2</v>
      </c>
      <c r="M780">
        <v>9.35E-2</v>
      </c>
      <c r="N780">
        <v>100.1292</v>
      </c>
      <c r="O780" t="s">
        <v>272</v>
      </c>
      <c r="P780" t="s">
        <v>102</v>
      </c>
      <c r="Q780">
        <f>I780-(K780*Standards!$I$15)</f>
        <v>5.0299999999999997E-2</v>
      </c>
    </row>
    <row r="781" spans="1:24">
      <c r="A781">
        <v>23</v>
      </c>
      <c r="B781">
        <v>1.8700000000000001E-2</v>
      </c>
      <c r="C781">
        <v>0</v>
      </c>
      <c r="D781">
        <v>35.119999999999997</v>
      </c>
      <c r="E781">
        <v>3.8999999999999998E-3</v>
      </c>
      <c r="F781">
        <v>0</v>
      </c>
      <c r="G781">
        <v>2E-3</v>
      </c>
      <c r="H781">
        <v>30.18</v>
      </c>
      <c r="I781">
        <v>3.1899999999999998E-2</v>
      </c>
      <c r="J781">
        <v>34.19</v>
      </c>
      <c r="K781">
        <v>0</v>
      </c>
      <c r="L781">
        <v>5.5399999999999998E-2</v>
      </c>
      <c r="M781">
        <v>0.10539999999999999</v>
      </c>
      <c r="N781">
        <v>99.707300000000004</v>
      </c>
      <c r="O781" t="s">
        <v>272</v>
      </c>
      <c r="P781" t="s">
        <v>102</v>
      </c>
      <c r="Q781">
        <f>I781-(K781*Standards!$I$15)</f>
        <v>3.1899999999999998E-2</v>
      </c>
    </row>
    <row r="782" spans="1:24">
      <c r="A782">
        <v>5</v>
      </c>
      <c r="B782">
        <v>1.9400000000000001E-2</v>
      </c>
      <c r="C782">
        <v>0</v>
      </c>
      <c r="D782">
        <v>35.25</v>
      </c>
      <c r="E782">
        <v>0</v>
      </c>
      <c r="F782">
        <v>0</v>
      </c>
      <c r="G782">
        <v>0</v>
      </c>
      <c r="H782">
        <v>30.43</v>
      </c>
      <c r="I782">
        <v>4.3700000000000003E-2</v>
      </c>
      <c r="J782">
        <v>34.15</v>
      </c>
      <c r="K782">
        <v>0</v>
      </c>
      <c r="L782">
        <v>4.19E-2</v>
      </c>
      <c r="M782">
        <v>0.1061</v>
      </c>
      <c r="N782">
        <v>100.0411</v>
      </c>
      <c r="O782" t="s">
        <v>272</v>
      </c>
      <c r="P782" t="s">
        <v>102</v>
      </c>
      <c r="Q782">
        <f>I782-(K782*Standards!$I$15)</f>
        <v>4.3700000000000003E-2</v>
      </c>
    </row>
    <row r="783" spans="1:24">
      <c r="A783">
        <v>48</v>
      </c>
      <c r="B783">
        <v>3.32E-2</v>
      </c>
      <c r="C783">
        <v>0</v>
      </c>
      <c r="D783">
        <v>35.119999999999997</v>
      </c>
      <c r="E783">
        <v>1.7399999999999999E-2</v>
      </c>
      <c r="F783">
        <v>0</v>
      </c>
      <c r="G783">
        <v>0</v>
      </c>
      <c r="H783">
        <v>30.38</v>
      </c>
      <c r="I783">
        <v>4.02E-2</v>
      </c>
      <c r="J783">
        <v>34.14</v>
      </c>
      <c r="K783">
        <v>0</v>
      </c>
      <c r="L783">
        <v>2.93E-2</v>
      </c>
      <c r="M783">
        <v>9.98E-2</v>
      </c>
      <c r="N783">
        <v>99.859899999999996</v>
      </c>
      <c r="O783" t="s">
        <v>272</v>
      </c>
      <c r="P783" t="s">
        <v>102</v>
      </c>
      <c r="Q783">
        <f>I783-(K783*Standards!$I$15)</f>
        <v>4.02E-2</v>
      </c>
    </row>
    <row r="784" spans="1:24">
      <c r="A784">
        <v>3</v>
      </c>
      <c r="B784">
        <v>2E-3</v>
      </c>
      <c r="C784">
        <v>0</v>
      </c>
      <c r="D784">
        <v>35.29</v>
      </c>
      <c r="E784">
        <v>0</v>
      </c>
      <c r="F784">
        <v>0</v>
      </c>
      <c r="G784">
        <v>0</v>
      </c>
      <c r="H784">
        <v>30.52</v>
      </c>
      <c r="I784">
        <v>3.5299999999999998E-2</v>
      </c>
      <c r="J784">
        <v>34.130000000000003</v>
      </c>
      <c r="K784">
        <v>0</v>
      </c>
      <c r="L784">
        <v>3.7999999999999999E-2</v>
      </c>
      <c r="M784">
        <v>0.1182</v>
      </c>
      <c r="N784">
        <v>100.13339999999999</v>
      </c>
      <c r="O784" t="s">
        <v>272</v>
      </c>
      <c r="P784" t="s">
        <v>102</v>
      </c>
      <c r="Q784">
        <f>I784-(K784*Standards!$I$15)</f>
        <v>3.5299999999999998E-2</v>
      </c>
    </row>
    <row r="785" spans="1:17">
      <c r="A785">
        <v>36</v>
      </c>
      <c r="B785">
        <v>2.0500000000000001E-2</v>
      </c>
      <c r="C785">
        <v>0</v>
      </c>
      <c r="D785">
        <v>35.17</v>
      </c>
      <c r="E785">
        <v>0.01</v>
      </c>
      <c r="F785">
        <v>1.2200000000000001E-2</v>
      </c>
      <c r="G785">
        <v>0</v>
      </c>
      <c r="H785">
        <v>30.13</v>
      </c>
      <c r="I785">
        <v>3.2399999999999998E-2</v>
      </c>
      <c r="J785">
        <v>34.11</v>
      </c>
      <c r="K785">
        <v>0</v>
      </c>
      <c r="L785">
        <v>1.8700000000000001E-2</v>
      </c>
      <c r="M785">
        <v>0.1095</v>
      </c>
      <c r="N785">
        <v>99.613299999999995</v>
      </c>
      <c r="O785" t="s">
        <v>272</v>
      </c>
      <c r="P785" t="s">
        <v>102</v>
      </c>
      <c r="Q785">
        <f>I785-(K785*Standards!$I$15)</f>
        <v>3.2399999999999998E-2</v>
      </c>
    </row>
    <row r="786" spans="1:17">
      <c r="A786">
        <v>4</v>
      </c>
      <c r="B786">
        <v>2.0400000000000001E-2</v>
      </c>
      <c r="C786">
        <v>0</v>
      </c>
      <c r="D786">
        <v>35.15</v>
      </c>
      <c r="E786">
        <v>0</v>
      </c>
      <c r="F786">
        <v>0</v>
      </c>
      <c r="G786">
        <v>0</v>
      </c>
      <c r="H786">
        <v>30.4</v>
      </c>
      <c r="I786">
        <v>4.99E-2</v>
      </c>
      <c r="J786">
        <v>34.1</v>
      </c>
      <c r="K786">
        <v>0</v>
      </c>
      <c r="L786">
        <v>2.1000000000000001E-2</v>
      </c>
      <c r="M786">
        <v>0.1158</v>
      </c>
      <c r="N786">
        <v>99.857200000000006</v>
      </c>
      <c r="O786" t="s">
        <v>272</v>
      </c>
      <c r="P786" t="s">
        <v>102</v>
      </c>
      <c r="Q786">
        <f>I786-(K786*Standards!$I$15)</f>
        <v>4.99E-2</v>
      </c>
    </row>
    <row r="787" spans="1:17">
      <c r="A787">
        <v>18</v>
      </c>
      <c r="B787">
        <v>2.7900000000000001E-2</v>
      </c>
      <c r="C787">
        <v>0</v>
      </c>
      <c r="D787">
        <v>35.130000000000003</v>
      </c>
      <c r="E787">
        <v>0</v>
      </c>
      <c r="F787">
        <v>1.23E-2</v>
      </c>
      <c r="G787">
        <v>0</v>
      </c>
      <c r="H787">
        <v>30.59</v>
      </c>
      <c r="I787">
        <v>3.49E-2</v>
      </c>
      <c r="J787">
        <v>34.090000000000003</v>
      </c>
      <c r="K787">
        <v>0</v>
      </c>
      <c r="L787">
        <v>3.7499999999999999E-2</v>
      </c>
      <c r="M787">
        <v>0.1231</v>
      </c>
      <c r="N787">
        <v>100.04559999999999</v>
      </c>
      <c r="O787" t="s">
        <v>272</v>
      </c>
      <c r="P787" t="s">
        <v>102</v>
      </c>
      <c r="Q787">
        <f>I787-(K787*Standards!$I$15)</f>
        <v>3.49E-2</v>
      </c>
    </row>
    <row r="788" spans="1:17">
      <c r="A788">
        <v>7</v>
      </c>
      <c r="B788">
        <v>2.0299999999999999E-2</v>
      </c>
      <c r="C788">
        <v>0</v>
      </c>
      <c r="D788">
        <v>35.21</v>
      </c>
      <c r="E788">
        <v>0</v>
      </c>
      <c r="F788">
        <v>0</v>
      </c>
      <c r="G788">
        <v>2.2000000000000001E-3</v>
      </c>
      <c r="H788">
        <v>30.47</v>
      </c>
      <c r="I788">
        <v>5.1999999999999998E-2</v>
      </c>
      <c r="J788">
        <v>34.08</v>
      </c>
      <c r="K788">
        <v>0</v>
      </c>
      <c r="L788">
        <v>1.3299999999999999E-2</v>
      </c>
      <c r="M788">
        <v>0.1239</v>
      </c>
      <c r="N788">
        <v>99.971800000000002</v>
      </c>
      <c r="O788" t="s">
        <v>272</v>
      </c>
      <c r="P788" t="s">
        <v>102</v>
      </c>
      <c r="Q788">
        <f>I788-(K788*Standards!$I$15)</f>
        <v>5.1999999999999998E-2</v>
      </c>
    </row>
    <row r="789" spans="1:17">
      <c r="A789">
        <v>24</v>
      </c>
      <c r="B789">
        <v>2.92E-2</v>
      </c>
      <c r="C789">
        <v>0</v>
      </c>
      <c r="D789">
        <v>34.86</v>
      </c>
      <c r="E789">
        <v>7.1999999999999998E-3</v>
      </c>
      <c r="F789">
        <v>0</v>
      </c>
      <c r="G789">
        <v>0</v>
      </c>
      <c r="H789">
        <v>30.22</v>
      </c>
      <c r="I789">
        <v>3.3599999999999998E-2</v>
      </c>
      <c r="J789">
        <v>34.08</v>
      </c>
      <c r="K789">
        <v>0</v>
      </c>
      <c r="L789">
        <v>1.7600000000000001E-2</v>
      </c>
      <c r="M789">
        <v>0.1174</v>
      </c>
      <c r="N789">
        <v>99.365099999999998</v>
      </c>
      <c r="O789" t="s">
        <v>272</v>
      </c>
      <c r="P789" t="s">
        <v>102</v>
      </c>
      <c r="Q789">
        <f>I789-(K789*Standards!$I$15)</f>
        <v>3.3599999999999998E-2</v>
      </c>
    </row>
    <row r="790" spans="1:17">
      <c r="A790">
        <v>1</v>
      </c>
      <c r="B790">
        <v>3.6900000000000002E-2</v>
      </c>
      <c r="C790">
        <v>0</v>
      </c>
      <c r="D790">
        <v>35.11</v>
      </c>
      <c r="E790">
        <v>0</v>
      </c>
      <c r="F790">
        <v>0</v>
      </c>
      <c r="G790">
        <v>0</v>
      </c>
      <c r="H790">
        <v>30.4</v>
      </c>
      <c r="I790">
        <v>4.4999999999999998E-2</v>
      </c>
      <c r="J790">
        <v>34.08</v>
      </c>
      <c r="K790">
        <v>0</v>
      </c>
      <c r="L790">
        <v>2.86E-2</v>
      </c>
      <c r="M790">
        <v>0.1076</v>
      </c>
      <c r="N790">
        <v>99.808199999999999</v>
      </c>
      <c r="O790" t="s">
        <v>272</v>
      </c>
      <c r="P790" t="s">
        <v>102</v>
      </c>
      <c r="Q790">
        <f>I790-(K790*Standards!$I$15)</f>
        <v>4.4999999999999998E-2</v>
      </c>
    </row>
    <row r="791" spans="1:17">
      <c r="A791">
        <v>38</v>
      </c>
      <c r="B791">
        <v>2.9100000000000001E-2</v>
      </c>
      <c r="C791">
        <v>0</v>
      </c>
      <c r="D791">
        <v>35.15</v>
      </c>
      <c r="E791">
        <v>0</v>
      </c>
      <c r="F791">
        <v>0</v>
      </c>
      <c r="G791">
        <v>1.1000000000000001E-3</v>
      </c>
      <c r="H791">
        <v>30.37</v>
      </c>
      <c r="I791">
        <v>4.0399999999999998E-2</v>
      </c>
      <c r="J791">
        <v>34.06</v>
      </c>
      <c r="K791">
        <v>0</v>
      </c>
      <c r="L791">
        <v>2.4400000000000002E-2</v>
      </c>
      <c r="M791">
        <v>9.2899999999999996E-2</v>
      </c>
      <c r="N791">
        <v>99.768000000000001</v>
      </c>
      <c r="O791" t="s">
        <v>272</v>
      </c>
      <c r="P791" t="s">
        <v>102</v>
      </c>
      <c r="Q791">
        <f>I791-(K791*Standards!$I$15)</f>
        <v>4.0399999999999998E-2</v>
      </c>
    </row>
    <row r="792" spans="1:17">
      <c r="A792">
        <v>15</v>
      </c>
      <c r="B792">
        <v>3.39E-2</v>
      </c>
      <c r="C792">
        <v>0</v>
      </c>
      <c r="D792">
        <v>35.03</v>
      </c>
      <c r="E792">
        <v>6.1999999999999998E-3</v>
      </c>
      <c r="F792">
        <v>0</v>
      </c>
      <c r="G792">
        <v>0</v>
      </c>
      <c r="H792">
        <v>30.41</v>
      </c>
      <c r="I792">
        <v>2.7799999999999998E-2</v>
      </c>
      <c r="J792">
        <v>34.06</v>
      </c>
      <c r="K792">
        <v>0</v>
      </c>
      <c r="L792">
        <v>5.8500000000000003E-2</v>
      </c>
      <c r="M792">
        <v>0.1074</v>
      </c>
      <c r="N792">
        <v>99.733900000000006</v>
      </c>
      <c r="O792" t="s">
        <v>272</v>
      </c>
      <c r="P792" t="s">
        <v>102</v>
      </c>
      <c r="Q792">
        <f>I792-(K792*Standards!$I$15)</f>
        <v>2.7799999999999998E-2</v>
      </c>
    </row>
    <row r="793" spans="1:17">
      <c r="A793">
        <v>17</v>
      </c>
      <c r="B793">
        <v>3.5299999999999998E-2</v>
      </c>
      <c r="C793">
        <v>0</v>
      </c>
      <c r="D793">
        <v>35.159999999999997</v>
      </c>
      <c r="E793">
        <v>0</v>
      </c>
      <c r="F793">
        <v>0</v>
      </c>
      <c r="G793">
        <v>0</v>
      </c>
      <c r="H793">
        <v>30.39</v>
      </c>
      <c r="I793">
        <v>3.4000000000000002E-2</v>
      </c>
      <c r="J793">
        <v>34.04</v>
      </c>
      <c r="K793">
        <v>0</v>
      </c>
      <c r="L793">
        <v>1.9599999999999999E-2</v>
      </c>
      <c r="M793">
        <v>0.1106</v>
      </c>
      <c r="N793">
        <v>99.789599999999993</v>
      </c>
      <c r="O793" t="s">
        <v>272</v>
      </c>
      <c r="P793" t="s">
        <v>102</v>
      </c>
      <c r="Q793">
        <f>I793-(K793*Standards!$I$15)</f>
        <v>3.4000000000000002E-2</v>
      </c>
    </row>
    <row r="794" spans="1:17">
      <c r="A794">
        <v>41</v>
      </c>
      <c r="B794">
        <v>1.2699999999999999E-2</v>
      </c>
      <c r="C794">
        <v>0</v>
      </c>
      <c r="D794">
        <v>35.369999999999997</v>
      </c>
      <c r="E794">
        <v>0</v>
      </c>
      <c r="F794">
        <v>0</v>
      </c>
      <c r="G794">
        <v>6.9999999999999999E-4</v>
      </c>
      <c r="H794">
        <v>30.77</v>
      </c>
      <c r="I794">
        <v>4.3999999999999997E-2</v>
      </c>
      <c r="J794">
        <v>33.979999999999997</v>
      </c>
      <c r="K794">
        <v>0</v>
      </c>
      <c r="L794">
        <v>2.5000000000000001E-2</v>
      </c>
      <c r="M794">
        <v>8.4599999999999995E-2</v>
      </c>
      <c r="N794">
        <v>100.2869</v>
      </c>
      <c r="O794" t="s">
        <v>272</v>
      </c>
      <c r="P794" t="s">
        <v>102</v>
      </c>
      <c r="Q794">
        <f>I794-(K794*Standards!$I$15)</f>
        <v>4.3999999999999997E-2</v>
      </c>
    </row>
    <row r="795" spans="1:17">
      <c r="A795">
        <v>42</v>
      </c>
      <c r="B795">
        <v>1.9099999999999999E-2</v>
      </c>
      <c r="C795">
        <v>0</v>
      </c>
      <c r="D795">
        <v>35.22</v>
      </c>
      <c r="E795">
        <v>0</v>
      </c>
      <c r="F795">
        <v>0</v>
      </c>
      <c r="G795">
        <v>0</v>
      </c>
      <c r="H795">
        <v>30.6</v>
      </c>
      <c r="I795">
        <v>4.4999999999999998E-2</v>
      </c>
      <c r="J795">
        <v>33.979999999999997</v>
      </c>
      <c r="K795">
        <v>0</v>
      </c>
      <c r="L795">
        <v>2.9000000000000001E-2</v>
      </c>
      <c r="M795">
        <v>8.9700000000000002E-2</v>
      </c>
      <c r="N795">
        <v>99.982900000000001</v>
      </c>
      <c r="O795" t="s">
        <v>272</v>
      </c>
      <c r="P795" t="s">
        <v>102</v>
      </c>
      <c r="Q795">
        <f>I795-(K795*Standards!$I$15)</f>
        <v>4.4999999999999998E-2</v>
      </c>
    </row>
    <row r="796" spans="1:17">
      <c r="A796">
        <v>14</v>
      </c>
      <c r="B796">
        <v>3.09E-2</v>
      </c>
      <c r="C796">
        <v>0</v>
      </c>
      <c r="D796">
        <v>35.159999999999997</v>
      </c>
      <c r="E796">
        <v>0</v>
      </c>
      <c r="F796">
        <v>0</v>
      </c>
      <c r="G796">
        <v>0</v>
      </c>
      <c r="H796">
        <v>30.33</v>
      </c>
      <c r="I796">
        <v>3.3599999999999998E-2</v>
      </c>
      <c r="J796">
        <v>33.97</v>
      </c>
      <c r="K796">
        <v>0</v>
      </c>
      <c r="L796">
        <v>4.3700000000000003E-2</v>
      </c>
      <c r="M796">
        <v>0.11119999999999999</v>
      </c>
      <c r="N796">
        <v>99.679500000000004</v>
      </c>
      <c r="O796" t="s">
        <v>272</v>
      </c>
      <c r="P796" t="s">
        <v>102</v>
      </c>
      <c r="Q796">
        <f>I796-(K796*Standards!$I$15)</f>
        <v>3.3599999999999998E-2</v>
      </c>
    </row>
    <row r="797" spans="1:17">
      <c r="A797">
        <v>19</v>
      </c>
      <c r="B797">
        <v>2.3599999999999999E-2</v>
      </c>
      <c r="C797">
        <v>0</v>
      </c>
      <c r="D797">
        <v>35.1</v>
      </c>
      <c r="E797">
        <v>6.9999999999999999E-4</v>
      </c>
      <c r="F797">
        <v>0</v>
      </c>
      <c r="G797">
        <v>0</v>
      </c>
      <c r="H797">
        <v>30.6</v>
      </c>
      <c r="I797">
        <v>3.56E-2</v>
      </c>
      <c r="J797">
        <v>33.96</v>
      </c>
      <c r="K797">
        <v>0</v>
      </c>
      <c r="L797">
        <v>4.7699999999999999E-2</v>
      </c>
      <c r="M797">
        <v>0.12740000000000001</v>
      </c>
      <c r="N797">
        <v>99.895099999999999</v>
      </c>
      <c r="O797" t="s">
        <v>272</v>
      </c>
      <c r="P797" t="s">
        <v>102</v>
      </c>
      <c r="Q797">
        <f>I797-(K797*Standards!$I$15)</f>
        <v>3.56E-2</v>
      </c>
    </row>
    <row r="798" spans="1:17">
      <c r="A798">
        <v>16</v>
      </c>
      <c r="B798">
        <v>3.0200000000000001E-2</v>
      </c>
      <c r="C798">
        <v>0</v>
      </c>
      <c r="D798">
        <v>35.14</v>
      </c>
      <c r="E798">
        <v>0</v>
      </c>
      <c r="F798">
        <v>0</v>
      </c>
      <c r="G798">
        <v>0</v>
      </c>
      <c r="H798">
        <v>30.25</v>
      </c>
      <c r="I798">
        <v>3.7999999999999999E-2</v>
      </c>
      <c r="J798">
        <v>33.96</v>
      </c>
      <c r="K798">
        <v>0</v>
      </c>
      <c r="L798">
        <v>5.8900000000000001E-2</v>
      </c>
      <c r="M798">
        <v>0.1275</v>
      </c>
      <c r="N798">
        <v>99.604699999999994</v>
      </c>
      <c r="O798" t="s">
        <v>272</v>
      </c>
      <c r="P798" t="s">
        <v>102</v>
      </c>
      <c r="Q798">
        <f>I798-(K798*Standards!$I$15)</f>
        <v>3.7999999999999999E-2</v>
      </c>
    </row>
    <row r="799" spans="1:17">
      <c r="A799">
        <v>25</v>
      </c>
      <c r="B799">
        <v>1.9800000000000002E-2</v>
      </c>
      <c r="C799">
        <v>0</v>
      </c>
      <c r="D799">
        <v>35.1</v>
      </c>
      <c r="E799">
        <v>3.5999999999999999E-3</v>
      </c>
      <c r="F799">
        <v>0</v>
      </c>
      <c r="G799">
        <v>0</v>
      </c>
      <c r="H799">
        <v>30.71</v>
      </c>
      <c r="I799">
        <v>3.6400000000000002E-2</v>
      </c>
      <c r="J799">
        <v>33.94</v>
      </c>
      <c r="K799">
        <v>0</v>
      </c>
      <c r="L799">
        <v>2.18E-2</v>
      </c>
      <c r="M799">
        <v>9.9199999999999997E-2</v>
      </c>
      <c r="N799">
        <v>99.930800000000005</v>
      </c>
      <c r="O799" t="s">
        <v>272</v>
      </c>
      <c r="P799" t="s">
        <v>102</v>
      </c>
      <c r="Q799">
        <f>I799-(K799*Standards!$I$15)</f>
        <v>3.6400000000000002E-2</v>
      </c>
    </row>
    <row r="800" spans="1:17">
      <c r="A800">
        <v>47</v>
      </c>
      <c r="B800">
        <v>2.8199999999999999E-2</v>
      </c>
      <c r="C800">
        <v>0</v>
      </c>
      <c r="D800">
        <v>35.03</v>
      </c>
      <c r="E800">
        <v>7.4999999999999997E-3</v>
      </c>
      <c r="F800">
        <v>0</v>
      </c>
      <c r="G800">
        <v>1.4E-3</v>
      </c>
      <c r="H800">
        <v>30.43</v>
      </c>
      <c r="I800">
        <v>4.0599999999999997E-2</v>
      </c>
      <c r="J800">
        <v>33.93</v>
      </c>
      <c r="K800">
        <v>0</v>
      </c>
      <c r="L800">
        <v>3.5000000000000003E-2</v>
      </c>
      <c r="M800">
        <v>9.11E-2</v>
      </c>
      <c r="N800">
        <v>99.593900000000005</v>
      </c>
      <c r="O800" t="s">
        <v>272</v>
      </c>
      <c r="P800" t="s">
        <v>102</v>
      </c>
      <c r="Q800">
        <f>I800-(K800*Standards!$I$15)</f>
        <v>4.0599999999999997E-2</v>
      </c>
    </row>
    <row r="801" spans="1:17">
      <c r="A801">
        <v>29</v>
      </c>
      <c r="B801">
        <v>4.1500000000000002E-2</v>
      </c>
      <c r="C801">
        <v>0</v>
      </c>
      <c r="D801">
        <v>35.26</v>
      </c>
      <c r="E801">
        <v>4.0000000000000002E-4</v>
      </c>
      <c r="F801">
        <v>0</v>
      </c>
      <c r="G801">
        <v>0</v>
      </c>
      <c r="H801">
        <v>30.36</v>
      </c>
      <c r="I801">
        <v>4.5699999999999998E-2</v>
      </c>
      <c r="J801">
        <v>33.92</v>
      </c>
      <c r="K801">
        <v>0</v>
      </c>
      <c r="L801">
        <v>1.1900000000000001E-2</v>
      </c>
      <c r="M801">
        <v>8.7099999999999997E-2</v>
      </c>
      <c r="N801">
        <v>99.726600000000005</v>
      </c>
      <c r="O801" t="s">
        <v>272</v>
      </c>
      <c r="P801" t="s">
        <v>102</v>
      </c>
      <c r="Q801">
        <f>I801-(K801*Standards!$I$15)</f>
        <v>4.5699999999999998E-2</v>
      </c>
    </row>
    <row r="802" spans="1:17">
      <c r="A802">
        <v>27</v>
      </c>
      <c r="B802">
        <v>3.0300000000000001E-2</v>
      </c>
      <c r="C802">
        <v>0</v>
      </c>
      <c r="D802">
        <v>35.200000000000003</v>
      </c>
      <c r="E802">
        <v>0</v>
      </c>
      <c r="F802">
        <v>0</v>
      </c>
      <c r="G802">
        <v>0</v>
      </c>
      <c r="H802">
        <v>30.59</v>
      </c>
      <c r="I802">
        <v>3.7100000000000001E-2</v>
      </c>
      <c r="J802">
        <v>33.89</v>
      </c>
      <c r="K802">
        <v>0</v>
      </c>
      <c r="L802">
        <v>3.8600000000000002E-2</v>
      </c>
      <c r="M802">
        <v>0.1118</v>
      </c>
      <c r="N802">
        <v>99.897900000000007</v>
      </c>
      <c r="O802" t="s">
        <v>272</v>
      </c>
      <c r="P802" t="s">
        <v>102</v>
      </c>
      <c r="Q802">
        <f>I802-(K802*Standards!$I$15)</f>
        <v>3.7100000000000001E-2</v>
      </c>
    </row>
    <row r="803" spans="1:17">
      <c r="A803">
        <v>50</v>
      </c>
      <c r="B803">
        <v>2.8500000000000001E-2</v>
      </c>
      <c r="C803">
        <v>0</v>
      </c>
      <c r="D803">
        <v>35.28</v>
      </c>
      <c r="E803">
        <v>0</v>
      </c>
      <c r="F803">
        <v>5.4999999999999997E-3</v>
      </c>
      <c r="G803">
        <v>0</v>
      </c>
      <c r="H803">
        <v>30.7</v>
      </c>
      <c r="I803">
        <v>3.0300000000000001E-2</v>
      </c>
      <c r="J803">
        <v>33.880000000000003</v>
      </c>
      <c r="K803">
        <v>0</v>
      </c>
      <c r="L803">
        <v>2.4899999999999999E-2</v>
      </c>
      <c r="M803">
        <v>8.0399999999999999E-2</v>
      </c>
      <c r="N803">
        <v>100.0295</v>
      </c>
      <c r="O803" t="s">
        <v>272</v>
      </c>
      <c r="P803" t="s">
        <v>102</v>
      </c>
      <c r="Q803">
        <f>I803-(K803*Standards!$I$15)</f>
        <v>3.0300000000000001E-2</v>
      </c>
    </row>
    <row r="804" spans="1:17">
      <c r="A804">
        <v>46</v>
      </c>
      <c r="B804">
        <v>1.29E-2</v>
      </c>
      <c r="C804">
        <v>0</v>
      </c>
      <c r="D804">
        <v>35.11</v>
      </c>
      <c r="E804">
        <v>0</v>
      </c>
      <c r="F804">
        <v>8.8999999999999999E-3</v>
      </c>
      <c r="G804">
        <v>0</v>
      </c>
      <c r="H804">
        <v>30.26</v>
      </c>
      <c r="I804">
        <v>4.6100000000000002E-2</v>
      </c>
      <c r="J804">
        <v>33.85</v>
      </c>
      <c r="K804">
        <v>0</v>
      </c>
      <c r="L804">
        <v>6.0100000000000001E-2</v>
      </c>
      <c r="M804">
        <v>9.6799999999999997E-2</v>
      </c>
      <c r="N804">
        <v>99.444800000000001</v>
      </c>
      <c r="O804" t="s">
        <v>272</v>
      </c>
      <c r="P804" t="s">
        <v>102</v>
      </c>
      <c r="Q804">
        <f>I804-(K804*Standards!$I$15)</f>
        <v>4.6100000000000002E-2</v>
      </c>
    </row>
    <row r="805" spans="1:17">
      <c r="A805">
        <v>39</v>
      </c>
      <c r="B805">
        <v>2.1399999999999999E-2</v>
      </c>
      <c r="C805">
        <v>0</v>
      </c>
      <c r="D805">
        <v>34.78</v>
      </c>
      <c r="E805">
        <v>1.1299999999999999E-2</v>
      </c>
      <c r="F805">
        <v>0</v>
      </c>
      <c r="G805">
        <v>0</v>
      </c>
      <c r="H805">
        <v>30.36</v>
      </c>
      <c r="I805">
        <v>4.0899999999999999E-2</v>
      </c>
      <c r="J805">
        <v>33.83</v>
      </c>
      <c r="K805">
        <v>0</v>
      </c>
      <c r="L805">
        <v>6.4299999999999996E-2</v>
      </c>
      <c r="M805">
        <v>0.1101</v>
      </c>
      <c r="N805">
        <v>99.218100000000007</v>
      </c>
      <c r="O805" t="s">
        <v>272</v>
      </c>
      <c r="P805" t="s">
        <v>102</v>
      </c>
      <c r="Q805">
        <f>I805-(K805*Standards!$I$15)</f>
        <v>4.0899999999999999E-2</v>
      </c>
    </row>
    <row r="806" spans="1:17">
      <c r="A806">
        <v>37</v>
      </c>
      <c r="B806">
        <v>2.6599999999999999E-2</v>
      </c>
      <c r="C806">
        <v>0</v>
      </c>
      <c r="D806">
        <v>34.99</v>
      </c>
      <c r="E806">
        <v>2.3999999999999998E-3</v>
      </c>
      <c r="F806">
        <v>0</v>
      </c>
      <c r="G806">
        <v>2.0999999999999999E-3</v>
      </c>
      <c r="H806">
        <v>30.57</v>
      </c>
      <c r="I806">
        <v>5.5300000000000002E-2</v>
      </c>
      <c r="J806">
        <v>33.81</v>
      </c>
      <c r="K806">
        <v>0</v>
      </c>
      <c r="L806">
        <v>2.46E-2</v>
      </c>
      <c r="M806">
        <v>0.104</v>
      </c>
      <c r="N806">
        <v>99.585099999999997</v>
      </c>
      <c r="O806" t="s">
        <v>272</v>
      </c>
      <c r="P806" t="s">
        <v>102</v>
      </c>
      <c r="Q806">
        <f>I806-(K806*Standards!$I$15)</f>
        <v>5.5300000000000002E-2</v>
      </c>
    </row>
    <row r="807" spans="1:17">
      <c r="A807">
        <v>26</v>
      </c>
      <c r="B807">
        <v>3.9E-2</v>
      </c>
      <c r="C807">
        <v>0</v>
      </c>
      <c r="D807">
        <v>35.159999999999997</v>
      </c>
      <c r="E807">
        <v>1.78E-2</v>
      </c>
      <c r="F807">
        <v>0</v>
      </c>
      <c r="G807">
        <v>4.0000000000000002E-4</v>
      </c>
      <c r="H807">
        <v>30.62</v>
      </c>
      <c r="I807">
        <v>3.49E-2</v>
      </c>
      <c r="J807">
        <v>33.81</v>
      </c>
      <c r="K807">
        <v>0</v>
      </c>
      <c r="L807">
        <v>3.1199999999999999E-2</v>
      </c>
      <c r="M807">
        <v>9.1899999999999996E-2</v>
      </c>
      <c r="N807">
        <v>99.805300000000003</v>
      </c>
      <c r="O807" t="s">
        <v>272</v>
      </c>
      <c r="P807" t="s">
        <v>102</v>
      </c>
      <c r="Q807">
        <f>I807-(K807*Standards!$I$15)</f>
        <v>3.49E-2</v>
      </c>
    </row>
    <row r="808" spans="1:17">
      <c r="A808">
        <v>31</v>
      </c>
      <c r="B808">
        <v>3.78E-2</v>
      </c>
      <c r="C808">
        <v>0</v>
      </c>
      <c r="D808">
        <v>35.090000000000003</v>
      </c>
      <c r="E808">
        <v>0</v>
      </c>
      <c r="F808">
        <v>0</v>
      </c>
      <c r="G808">
        <v>0</v>
      </c>
      <c r="H808">
        <v>30.51</v>
      </c>
      <c r="I808">
        <v>3.3000000000000002E-2</v>
      </c>
      <c r="J808">
        <v>33.81</v>
      </c>
      <c r="K808">
        <v>0</v>
      </c>
      <c r="L808">
        <v>4.3900000000000002E-2</v>
      </c>
      <c r="M808">
        <v>0.1159</v>
      </c>
      <c r="N808">
        <v>99.640699999999995</v>
      </c>
      <c r="O808" t="s">
        <v>272</v>
      </c>
      <c r="P808" t="s">
        <v>102</v>
      </c>
      <c r="Q808">
        <f>I808-(K808*Standards!$I$15)</f>
        <v>3.3000000000000002E-2</v>
      </c>
    </row>
    <row r="809" spans="1:17">
      <c r="A809">
        <v>34</v>
      </c>
      <c r="B809">
        <v>3.7699999999999997E-2</v>
      </c>
      <c r="C809">
        <v>0</v>
      </c>
      <c r="D809">
        <v>35.159999999999997</v>
      </c>
      <c r="E809">
        <v>0</v>
      </c>
      <c r="F809">
        <v>0</v>
      </c>
      <c r="G809">
        <v>2.5000000000000001E-3</v>
      </c>
      <c r="H809">
        <v>30.32</v>
      </c>
      <c r="I809">
        <v>3.2300000000000002E-2</v>
      </c>
      <c r="J809">
        <v>33.770000000000003</v>
      </c>
      <c r="K809">
        <v>0</v>
      </c>
      <c r="L809">
        <v>9.5100000000000004E-2</v>
      </c>
      <c r="M809">
        <v>0.1031</v>
      </c>
      <c r="N809">
        <v>99.520799999999994</v>
      </c>
      <c r="O809" t="s">
        <v>272</v>
      </c>
      <c r="P809" t="s">
        <v>102</v>
      </c>
      <c r="Q809">
        <f>I809-(K809*Standards!$I$15)</f>
        <v>3.2300000000000002E-2</v>
      </c>
    </row>
    <row r="810" spans="1:17">
      <c r="A810">
        <v>33</v>
      </c>
      <c r="B810">
        <v>3.5099999999999999E-2</v>
      </c>
      <c r="C810">
        <v>0</v>
      </c>
      <c r="D810">
        <v>35.11</v>
      </c>
      <c r="E810">
        <v>0</v>
      </c>
      <c r="F810">
        <v>0</v>
      </c>
      <c r="G810">
        <v>0</v>
      </c>
      <c r="H810">
        <v>30.55</v>
      </c>
      <c r="I810">
        <v>4.0599999999999997E-2</v>
      </c>
      <c r="J810">
        <v>33.75</v>
      </c>
      <c r="K810">
        <v>0</v>
      </c>
      <c r="L810">
        <v>5.5599999999999997E-2</v>
      </c>
      <c r="M810">
        <v>0.12089999999999999</v>
      </c>
      <c r="N810">
        <v>99.662300000000002</v>
      </c>
      <c r="O810" t="s">
        <v>272</v>
      </c>
      <c r="P810" t="s">
        <v>102</v>
      </c>
      <c r="Q810">
        <f>I810-(K810*Standards!$I$15)</f>
        <v>4.0599999999999997E-2</v>
      </c>
    </row>
    <row r="811" spans="1:17">
      <c r="A811">
        <v>30</v>
      </c>
      <c r="B811">
        <v>3.8300000000000001E-2</v>
      </c>
      <c r="C811">
        <v>0</v>
      </c>
      <c r="D811">
        <v>35.119999999999997</v>
      </c>
      <c r="E811">
        <v>4.1999999999999997E-3</v>
      </c>
      <c r="F811">
        <v>0</v>
      </c>
      <c r="G811">
        <v>0</v>
      </c>
      <c r="H811">
        <v>30.29</v>
      </c>
      <c r="I811">
        <v>1.21E-2</v>
      </c>
      <c r="J811">
        <v>33.71</v>
      </c>
      <c r="K811">
        <v>0</v>
      </c>
      <c r="L811">
        <v>2.1299999999999999E-2</v>
      </c>
      <c r="M811">
        <v>0.1024</v>
      </c>
      <c r="N811">
        <v>99.298400000000001</v>
      </c>
      <c r="O811" t="s">
        <v>272</v>
      </c>
      <c r="P811" t="s">
        <v>102</v>
      </c>
      <c r="Q811">
        <f>I811-(K811*Standards!$I$15)</f>
        <v>1.21E-2</v>
      </c>
    </row>
    <row r="812" spans="1:17">
      <c r="A812">
        <v>40</v>
      </c>
      <c r="B812">
        <v>6.6699999999999995E-2</v>
      </c>
      <c r="C812">
        <v>0</v>
      </c>
      <c r="D812">
        <v>35.06</v>
      </c>
      <c r="E812">
        <v>2.8E-3</v>
      </c>
      <c r="F812">
        <v>0</v>
      </c>
      <c r="G812">
        <v>0</v>
      </c>
      <c r="H812">
        <v>30.23</v>
      </c>
      <c r="I812">
        <v>4.1799999999999997E-2</v>
      </c>
      <c r="J812">
        <v>33.64</v>
      </c>
      <c r="K812">
        <v>0</v>
      </c>
      <c r="L812">
        <v>3.61E-2</v>
      </c>
      <c r="M812">
        <v>0.1046</v>
      </c>
      <c r="N812">
        <v>99.182100000000005</v>
      </c>
      <c r="O812" t="s">
        <v>272</v>
      </c>
      <c r="P812" t="s">
        <v>102</v>
      </c>
      <c r="Q812">
        <f>I812-(K812*Standards!$I$15)</f>
        <v>4.1799999999999997E-2</v>
      </c>
    </row>
    <row r="813" spans="1:17">
      <c r="A813">
        <v>35</v>
      </c>
      <c r="B813">
        <v>3.4500000000000003E-2</v>
      </c>
      <c r="C813">
        <v>0</v>
      </c>
      <c r="D813">
        <v>35.46</v>
      </c>
      <c r="E813">
        <v>1.8E-3</v>
      </c>
      <c r="F813">
        <v>0</v>
      </c>
      <c r="G813">
        <v>0</v>
      </c>
      <c r="H813">
        <v>30.08</v>
      </c>
      <c r="I813">
        <v>3.8199999999999998E-2</v>
      </c>
      <c r="J813">
        <v>33.64</v>
      </c>
      <c r="K813">
        <v>0</v>
      </c>
      <c r="L813">
        <v>3.6200000000000003E-2</v>
      </c>
      <c r="M813">
        <v>0.10879999999999999</v>
      </c>
      <c r="N813">
        <v>99.399600000000007</v>
      </c>
      <c r="O813" t="s">
        <v>272</v>
      </c>
      <c r="P813" t="s">
        <v>102</v>
      </c>
      <c r="Q813">
        <f>I813-(K813*Standards!$I$15)</f>
        <v>3.8199999999999998E-2</v>
      </c>
    </row>
    <row r="814" spans="1:17">
      <c r="A814">
        <v>32</v>
      </c>
      <c r="B814">
        <v>5.0099999999999999E-2</v>
      </c>
      <c r="C814">
        <v>0</v>
      </c>
      <c r="D814">
        <v>35.119999999999997</v>
      </c>
      <c r="E814">
        <v>8.6E-3</v>
      </c>
      <c r="F814">
        <v>0</v>
      </c>
      <c r="G814">
        <v>0</v>
      </c>
      <c r="H814">
        <v>30.53</v>
      </c>
      <c r="I814">
        <v>3.5000000000000003E-2</v>
      </c>
      <c r="J814">
        <v>33.44</v>
      </c>
      <c r="K814">
        <v>0</v>
      </c>
      <c r="L814">
        <v>3.1300000000000001E-2</v>
      </c>
      <c r="M814">
        <v>7.8399999999999997E-2</v>
      </c>
      <c r="N814">
        <v>99.293499999999995</v>
      </c>
      <c r="O814" t="s">
        <v>272</v>
      </c>
      <c r="P814" t="s">
        <v>102</v>
      </c>
      <c r="Q814">
        <f>I814-(K814*Standards!$I$15)</f>
        <v>3.5000000000000003E-2</v>
      </c>
    </row>
    <row r="815" spans="1:17">
      <c r="A815">
        <v>40</v>
      </c>
      <c r="B815">
        <v>9.1999999999999998E-3</v>
      </c>
      <c r="C815">
        <v>0</v>
      </c>
      <c r="D815">
        <v>34.97</v>
      </c>
      <c r="E815">
        <v>0</v>
      </c>
      <c r="F815">
        <v>0</v>
      </c>
      <c r="G815">
        <v>5.0000000000000001E-4</v>
      </c>
      <c r="H815">
        <v>30.35</v>
      </c>
      <c r="I815">
        <v>6.3E-3</v>
      </c>
      <c r="J815">
        <v>34.369999999999997</v>
      </c>
      <c r="K815">
        <v>0</v>
      </c>
      <c r="L815">
        <v>4.4400000000000002E-2</v>
      </c>
      <c r="M815">
        <v>0.1265</v>
      </c>
      <c r="N815">
        <v>99.876999999999995</v>
      </c>
      <c r="O815" t="s">
        <v>273</v>
      </c>
      <c r="P815" t="s">
        <v>102</v>
      </c>
      <c r="Q815">
        <f>I815-(K815*Standards!$I$15)</f>
        <v>6.3E-3</v>
      </c>
    </row>
    <row r="816" spans="1:17">
      <c r="A816">
        <v>86</v>
      </c>
      <c r="B816">
        <v>6.4000000000000003E-3</v>
      </c>
      <c r="C816">
        <v>0</v>
      </c>
      <c r="D816">
        <v>35.18</v>
      </c>
      <c r="E816">
        <v>0</v>
      </c>
      <c r="F816">
        <v>0</v>
      </c>
      <c r="G816">
        <v>0</v>
      </c>
      <c r="H816">
        <v>30.65</v>
      </c>
      <c r="I816">
        <v>4.0000000000000001E-3</v>
      </c>
      <c r="J816">
        <v>34.35</v>
      </c>
      <c r="K816">
        <v>0</v>
      </c>
      <c r="L816">
        <v>6.2899999999999998E-2</v>
      </c>
      <c r="M816">
        <v>9.9400000000000002E-2</v>
      </c>
      <c r="N816">
        <v>100.3526</v>
      </c>
      <c r="O816" t="s">
        <v>273</v>
      </c>
      <c r="P816" t="s">
        <v>102</v>
      </c>
      <c r="Q816">
        <f>I816-(K816*Standards!$I$15)</f>
        <v>4.0000000000000001E-3</v>
      </c>
    </row>
    <row r="817" spans="1:17">
      <c r="A817">
        <v>79</v>
      </c>
      <c r="B817">
        <v>3.61E-2</v>
      </c>
      <c r="C817">
        <v>0</v>
      </c>
      <c r="D817">
        <v>35.090000000000003</v>
      </c>
      <c r="E817">
        <v>5.7999999999999996E-3</v>
      </c>
      <c r="F817">
        <v>0</v>
      </c>
      <c r="G817">
        <v>0</v>
      </c>
      <c r="H817">
        <v>30.51</v>
      </c>
      <c r="I817">
        <v>5.7999999999999996E-3</v>
      </c>
      <c r="J817">
        <v>34.340000000000003</v>
      </c>
      <c r="K817">
        <v>0</v>
      </c>
      <c r="L817">
        <v>5.91E-2</v>
      </c>
      <c r="M817">
        <v>0.1087</v>
      </c>
      <c r="N817">
        <v>100.1554</v>
      </c>
      <c r="O817" t="s">
        <v>273</v>
      </c>
      <c r="P817" t="s">
        <v>102</v>
      </c>
      <c r="Q817">
        <f>I817-(K817*Standards!$I$15)</f>
        <v>5.7999999999999996E-3</v>
      </c>
    </row>
    <row r="818" spans="1:17">
      <c r="A818">
        <v>32</v>
      </c>
      <c r="B818">
        <v>0</v>
      </c>
      <c r="C818">
        <v>0</v>
      </c>
      <c r="D818">
        <v>35.090000000000003</v>
      </c>
      <c r="E818">
        <v>2.5999999999999999E-3</v>
      </c>
      <c r="F818">
        <v>0</v>
      </c>
      <c r="G818">
        <v>0</v>
      </c>
      <c r="H818">
        <v>30.52</v>
      </c>
      <c r="I818">
        <v>6.1999999999999998E-3</v>
      </c>
      <c r="J818">
        <v>34.340000000000003</v>
      </c>
      <c r="K818">
        <v>0</v>
      </c>
      <c r="L818">
        <v>3.8300000000000001E-2</v>
      </c>
      <c r="M818">
        <v>0.1191</v>
      </c>
      <c r="N818">
        <v>100.1161</v>
      </c>
      <c r="O818" t="s">
        <v>273</v>
      </c>
      <c r="P818" t="s">
        <v>102</v>
      </c>
      <c r="Q818">
        <f>I818-(K818*Standards!$I$15)</f>
        <v>6.1999999999999998E-3</v>
      </c>
    </row>
    <row r="819" spans="1:17">
      <c r="A819">
        <v>11</v>
      </c>
      <c r="B819">
        <v>1.66E-2</v>
      </c>
      <c r="C819">
        <v>0</v>
      </c>
      <c r="D819">
        <v>35.04</v>
      </c>
      <c r="E819">
        <v>1.8E-3</v>
      </c>
      <c r="F819">
        <v>0</v>
      </c>
      <c r="G819">
        <v>0</v>
      </c>
      <c r="H819">
        <v>30.61</v>
      </c>
      <c r="I819">
        <v>8.2000000000000007E-3</v>
      </c>
      <c r="J819">
        <v>34.340000000000003</v>
      </c>
      <c r="K819">
        <v>0</v>
      </c>
      <c r="L819">
        <v>2.92E-2</v>
      </c>
      <c r="M819">
        <v>0.1119</v>
      </c>
      <c r="N819">
        <v>100.1576</v>
      </c>
      <c r="O819" t="s">
        <v>273</v>
      </c>
      <c r="P819" t="s">
        <v>102</v>
      </c>
      <c r="Q819">
        <f>I819-(K819*Standards!$I$15)</f>
        <v>8.2000000000000007E-3</v>
      </c>
    </row>
    <row r="820" spans="1:17">
      <c r="A820">
        <v>13</v>
      </c>
      <c r="B820">
        <v>6.7999999999999996E-3</v>
      </c>
      <c r="C820">
        <v>0</v>
      </c>
      <c r="D820">
        <v>35.06</v>
      </c>
      <c r="E820">
        <v>5.0000000000000001E-4</v>
      </c>
      <c r="F820">
        <v>0</v>
      </c>
      <c r="G820">
        <v>0</v>
      </c>
      <c r="H820">
        <v>30.44</v>
      </c>
      <c r="I820">
        <v>1.2800000000000001E-2</v>
      </c>
      <c r="J820">
        <v>34.33</v>
      </c>
      <c r="K820">
        <v>0</v>
      </c>
      <c r="L820">
        <v>5.0900000000000001E-2</v>
      </c>
      <c r="M820">
        <v>0.1096</v>
      </c>
      <c r="N820">
        <v>100.0106</v>
      </c>
      <c r="O820" t="s">
        <v>273</v>
      </c>
      <c r="P820" t="s">
        <v>102</v>
      </c>
      <c r="Q820">
        <f>I820-(K820*Standards!$I$15)</f>
        <v>1.2800000000000001E-2</v>
      </c>
    </row>
    <row r="821" spans="1:17">
      <c r="A821">
        <v>39</v>
      </c>
      <c r="B821">
        <v>1.2999999999999999E-2</v>
      </c>
      <c r="C821">
        <v>0</v>
      </c>
      <c r="D821">
        <v>35.07</v>
      </c>
      <c r="E821">
        <v>0</v>
      </c>
      <c r="F821">
        <v>0</v>
      </c>
      <c r="G821">
        <v>0</v>
      </c>
      <c r="H821">
        <v>30.32</v>
      </c>
      <c r="I821">
        <v>3.0000000000000001E-3</v>
      </c>
      <c r="J821">
        <v>34.33</v>
      </c>
      <c r="K821">
        <v>0</v>
      </c>
      <c r="L821">
        <v>4.07E-2</v>
      </c>
      <c r="M821">
        <v>0.111</v>
      </c>
      <c r="N821">
        <v>99.887799999999999</v>
      </c>
      <c r="O821" t="s">
        <v>273</v>
      </c>
      <c r="P821" t="s">
        <v>102</v>
      </c>
      <c r="Q821">
        <f>I821-(K821*Standards!$I$15)</f>
        <v>3.0000000000000001E-3</v>
      </c>
    </row>
    <row r="822" spans="1:17">
      <c r="A822">
        <v>7</v>
      </c>
      <c r="B822">
        <v>0</v>
      </c>
      <c r="C822">
        <v>0</v>
      </c>
      <c r="D822">
        <v>35.15</v>
      </c>
      <c r="E822">
        <v>1.1999999999999999E-3</v>
      </c>
      <c r="F822">
        <v>0</v>
      </c>
      <c r="G822">
        <v>1E-4</v>
      </c>
      <c r="H822">
        <v>30.74</v>
      </c>
      <c r="I822">
        <v>2.2000000000000001E-3</v>
      </c>
      <c r="J822">
        <v>34.32</v>
      </c>
      <c r="K822">
        <v>0</v>
      </c>
      <c r="L822">
        <v>4.8899999999999999E-2</v>
      </c>
      <c r="M822">
        <v>0.1244</v>
      </c>
      <c r="N822">
        <v>100.3867</v>
      </c>
      <c r="O822" t="s">
        <v>273</v>
      </c>
      <c r="P822" t="s">
        <v>102</v>
      </c>
      <c r="Q822">
        <f>I822-(K822*Standards!$I$15)</f>
        <v>2.2000000000000001E-3</v>
      </c>
    </row>
    <row r="823" spans="1:17">
      <c r="A823">
        <v>65</v>
      </c>
      <c r="B823">
        <v>2.4E-2</v>
      </c>
      <c r="C823">
        <v>0</v>
      </c>
      <c r="D823">
        <v>35.130000000000003</v>
      </c>
      <c r="E823">
        <v>0</v>
      </c>
      <c r="F823">
        <v>0</v>
      </c>
      <c r="G823">
        <v>0</v>
      </c>
      <c r="H823">
        <v>30.55</v>
      </c>
      <c r="I823">
        <v>2.7000000000000001E-3</v>
      </c>
      <c r="J823">
        <v>34.32</v>
      </c>
      <c r="K823">
        <v>0</v>
      </c>
      <c r="L823">
        <v>4.6800000000000001E-2</v>
      </c>
      <c r="M823">
        <v>0.1295</v>
      </c>
      <c r="N823">
        <v>100.2029</v>
      </c>
      <c r="O823" t="s">
        <v>273</v>
      </c>
      <c r="P823" t="s">
        <v>102</v>
      </c>
      <c r="Q823">
        <f>I823-(K823*Standards!$I$15)</f>
        <v>2.7000000000000001E-3</v>
      </c>
    </row>
    <row r="824" spans="1:17">
      <c r="A824">
        <v>10</v>
      </c>
      <c r="B824">
        <v>1.32E-2</v>
      </c>
      <c r="C824">
        <v>0</v>
      </c>
      <c r="D824">
        <v>35.14</v>
      </c>
      <c r="E824">
        <v>5.0000000000000001E-4</v>
      </c>
      <c r="F824">
        <v>0</v>
      </c>
      <c r="G824">
        <v>0</v>
      </c>
      <c r="H824">
        <v>30.77</v>
      </c>
      <c r="I824">
        <v>8.6999999999999994E-3</v>
      </c>
      <c r="J824">
        <v>34.299999999999997</v>
      </c>
      <c r="K824">
        <v>0</v>
      </c>
      <c r="L824">
        <v>3.9100000000000003E-2</v>
      </c>
      <c r="M824">
        <v>0.1237</v>
      </c>
      <c r="N824">
        <v>100.3951</v>
      </c>
      <c r="O824" t="s">
        <v>273</v>
      </c>
      <c r="P824" t="s">
        <v>102</v>
      </c>
      <c r="Q824">
        <f>I824-(K824*Standards!$I$15)</f>
        <v>8.6999999999999994E-3</v>
      </c>
    </row>
    <row r="825" spans="1:17">
      <c r="A825">
        <v>97</v>
      </c>
      <c r="B825">
        <v>2.63E-2</v>
      </c>
      <c r="C825">
        <v>0</v>
      </c>
      <c r="D825">
        <v>34.869999999999997</v>
      </c>
      <c r="E825">
        <v>0</v>
      </c>
      <c r="F825">
        <v>0</v>
      </c>
      <c r="G825">
        <v>0</v>
      </c>
      <c r="H825">
        <v>30.65</v>
      </c>
      <c r="I825">
        <v>5.4999999999999997E-3</v>
      </c>
      <c r="J825">
        <v>34.29</v>
      </c>
      <c r="K825">
        <v>0</v>
      </c>
      <c r="L825">
        <v>6.4399999999999999E-2</v>
      </c>
      <c r="M825">
        <v>8.6199999999999999E-2</v>
      </c>
      <c r="N825">
        <v>99.992400000000004</v>
      </c>
      <c r="O825" t="s">
        <v>273</v>
      </c>
      <c r="P825" t="s">
        <v>102</v>
      </c>
      <c r="Q825">
        <f>I825-(K825*Standards!$I$15)</f>
        <v>5.4999999999999997E-3</v>
      </c>
    </row>
    <row r="826" spans="1:17">
      <c r="A826">
        <v>38</v>
      </c>
      <c r="B826">
        <v>1.6899999999999998E-2</v>
      </c>
      <c r="C826">
        <v>0</v>
      </c>
      <c r="D826">
        <v>34.979999999999997</v>
      </c>
      <c r="E826">
        <v>0</v>
      </c>
      <c r="F826">
        <v>0</v>
      </c>
      <c r="G826">
        <v>0</v>
      </c>
      <c r="H826">
        <v>30.42</v>
      </c>
      <c r="I826">
        <v>4.4999999999999997E-3</v>
      </c>
      <c r="J826">
        <v>34.29</v>
      </c>
      <c r="K826">
        <v>0</v>
      </c>
      <c r="L826">
        <v>1.8100000000000002E-2</v>
      </c>
      <c r="M826">
        <v>9.6699999999999994E-2</v>
      </c>
      <c r="N826">
        <v>99.826300000000003</v>
      </c>
      <c r="O826" t="s">
        <v>273</v>
      </c>
      <c r="P826" t="s">
        <v>102</v>
      </c>
      <c r="Q826">
        <f>I826-(K826*Standards!$I$15)</f>
        <v>4.4999999999999997E-3</v>
      </c>
    </row>
    <row r="827" spans="1:17">
      <c r="A827">
        <v>8</v>
      </c>
      <c r="B827">
        <v>1.26E-2</v>
      </c>
      <c r="C827">
        <v>0</v>
      </c>
      <c r="D827">
        <v>35.1</v>
      </c>
      <c r="E827">
        <v>0</v>
      </c>
      <c r="F827">
        <v>0</v>
      </c>
      <c r="G827">
        <v>0</v>
      </c>
      <c r="H827">
        <v>30.6</v>
      </c>
      <c r="I827">
        <v>6.6E-3</v>
      </c>
      <c r="J827">
        <v>34.28</v>
      </c>
      <c r="K827">
        <v>0</v>
      </c>
      <c r="L827">
        <v>0.11550000000000001</v>
      </c>
      <c r="M827">
        <v>0.12330000000000001</v>
      </c>
      <c r="N827">
        <v>100.2379</v>
      </c>
      <c r="O827" t="s">
        <v>273</v>
      </c>
      <c r="P827" t="s">
        <v>102</v>
      </c>
      <c r="Q827">
        <f>I827-(K827*Standards!$I$15)</f>
        <v>6.6E-3</v>
      </c>
    </row>
    <row r="828" spans="1:17">
      <c r="A828">
        <v>33</v>
      </c>
      <c r="B828">
        <v>0</v>
      </c>
      <c r="C828">
        <v>0</v>
      </c>
      <c r="D828">
        <v>35.06</v>
      </c>
      <c r="E828">
        <v>1.26E-2</v>
      </c>
      <c r="F828">
        <v>0</v>
      </c>
      <c r="G828">
        <v>0</v>
      </c>
      <c r="H828">
        <v>30.46</v>
      </c>
      <c r="I828">
        <v>0</v>
      </c>
      <c r="J828">
        <v>34.28</v>
      </c>
      <c r="K828">
        <v>0</v>
      </c>
      <c r="L828">
        <v>4.0300000000000002E-2</v>
      </c>
      <c r="M828">
        <v>0.1187</v>
      </c>
      <c r="N828">
        <v>99.971599999999995</v>
      </c>
      <c r="O828" t="s">
        <v>273</v>
      </c>
      <c r="P828" t="s">
        <v>102</v>
      </c>
      <c r="Q828">
        <f>I828-(K828*Standards!$I$15)</f>
        <v>0</v>
      </c>
    </row>
    <row r="829" spans="1:17">
      <c r="A829">
        <v>99</v>
      </c>
      <c r="B829">
        <v>1.9699999999999999E-2</v>
      </c>
      <c r="C829">
        <v>0</v>
      </c>
      <c r="D829">
        <v>35.119999999999997</v>
      </c>
      <c r="E829">
        <v>4.3E-3</v>
      </c>
      <c r="F829">
        <v>1E-3</v>
      </c>
      <c r="G829">
        <v>3.2000000000000002E-3</v>
      </c>
      <c r="H829">
        <v>30.48</v>
      </c>
      <c r="I829">
        <v>2.5000000000000001E-3</v>
      </c>
      <c r="J829">
        <v>34.270000000000003</v>
      </c>
      <c r="K829">
        <v>0</v>
      </c>
      <c r="L829">
        <v>3.3599999999999998E-2</v>
      </c>
      <c r="M829">
        <v>0.1268</v>
      </c>
      <c r="N829">
        <v>100.06100000000001</v>
      </c>
      <c r="O829" t="s">
        <v>273</v>
      </c>
      <c r="P829" t="s">
        <v>102</v>
      </c>
      <c r="Q829">
        <f>I829-(K829*Standards!$I$15)</f>
        <v>2.5000000000000001E-3</v>
      </c>
    </row>
    <row r="830" spans="1:17">
      <c r="A830">
        <v>70</v>
      </c>
      <c r="B830">
        <v>2.35E-2</v>
      </c>
      <c r="C830">
        <v>0</v>
      </c>
      <c r="D830">
        <v>35.119999999999997</v>
      </c>
      <c r="E830">
        <v>0</v>
      </c>
      <c r="F830">
        <v>0</v>
      </c>
      <c r="G830">
        <v>4.0000000000000002E-4</v>
      </c>
      <c r="H830">
        <v>30.7</v>
      </c>
      <c r="I830">
        <v>5.5999999999999999E-3</v>
      </c>
      <c r="J830">
        <v>34.26</v>
      </c>
      <c r="K830">
        <v>0</v>
      </c>
      <c r="L830">
        <v>6.7199999999999996E-2</v>
      </c>
      <c r="M830">
        <v>9.6199999999999994E-2</v>
      </c>
      <c r="N830">
        <v>100.2728</v>
      </c>
      <c r="O830" t="s">
        <v>273</v>
      </c>
      <c r="P830" t="s">
        <v>102</v>
      </c>
      <c r="Q830">
        <f>I830-(K830*Standards!$I$15)</f>
        <v>5.5999999999999999E-3</v>
      </c>
    </row>
    <row r="831" spans="1:17">
      <c r="A831">
        <v>69</v>
      </c>
      <c r="B831">
        <v>2.4400000000000002E-2</v>
      </c>
      <c r="C831">
        <v>0</v>
      </c>
      <c r="D831">
        <v>35.04</v>
      </c>
      <c r="E831">
        <v>1.4E-3</v>
      </c>
      <c r="F831">
        <v>0</v>
      </c>
      <c r="G831">
        <v>0</v>
      </c>
      <c r="H831">
        <v>30.64</v>
      </c>
      <c r="I831">
        <v>1.0699999999999999E-2</v>
      </c>
      <c r="J831">
        <v>34.26</v>
      </c>
      <c r="K831">
        <v>0</v>
      </c>
      <c r="L831">
        <v>6.5600000000000006E-2</v>
      </c>
      <c r="M831">
        <v>0.11990000000000001</v>
      </c>
      <c r="N831">
        <v>100.1619</v>
      </c>
      <c r="O831" t="s">
        <v>273</v>
      </c>
      <c r="P831" t="s">
        <v>102</v>
      </c>
      <c r="Q831">
        <f>I831-(K831*Standards!$I$15)</f>
        <v>1.0699999999999999E-2</v>
      </c>
    </row>
    <row r="832" spans="1:17">
      <c r="A832">
        <v>9</v>
      </c>
      <c r="B832">
        <v>1.55E-2</v>
      </c>
      <c r="C832">
        <v>0</v>
      </c>
      <c r="D832">
        <v>35.1</v>
      </c>
      <c r="E832">
        <v>5.0000000000000001E-3</v>
      </c>
      <c r="F832">
        <v>0</v>
      </c>
      <c r="G832">
        <v>0</v>
      </c>
      <c r="H832">
        <v>30.72</v>
      </c>
      <c r="I832">
        <v>6.9999999999999999E-4</v>
      </c>
      <c r="J832">
        <v>34.26</v>
      </c>
      <c r="K832">
        <v>0</v>
      </c>
      <c r="L832">
        <v>5.28E-2</v>
      </c>
      <c r="M832">
        <v>0.14149999999999999</v>
      </c>
      <c r="N832">
        <v>100.2954</v>
      </c>
      <c r="O832" t="s">
        <v>273</v>
      </c>
      <c r="P832" t="s">
        <v>102</v>
      </c>
      <c r="Q832">
        <f>I832-(K832*Standards!$I$15)</f>
        <v>6.9999999999999999E-4</v>
      </c>
    </row>
    <row r="833" spans="1:17">
      <c r="A833">
        <v>64</v>
      </c>
      <c r="B833">
        <v>2.0899999999999998E-2</v>
      </c>
      <c r="C833">
        <v>0</v>
      </c>
      <c r="D833">
        <v>35.11</v>
      </c>
      <c r="E833">
        <v>0</v>
      </c>
      <c r="F833">
        <v>0</v>
      </c>
      <c r="G833">
        <v>0</v>
      </c>
      <c r="H833">
        <v>30.67</v>
      </c>
      <c r="I833">
        <v>5.1000000000000004E-3</v>
      </c>
      <c r="J833">
        <v>34.26</v>
      </c>
      <c r="K833">
        <v>0</v>
      </c>
      <c r="L833">
        <v>4.3200000000000002E-2</v>
      </c>
      <c r="M833">
        <v>0.1089</v>
      </c>
      <c r="N833">
        <v>100.218</v>
      </c>
      <c r="O833" t="s">
        <v>273</v>
      </c>
      <c r="P833" t="s">
        <v>102</v>
      </c>
      <c r="Q833">
        <f>I833-(K833*Standards!$I$15)</f>
        <v>5.1000000000000004E-3</v>
      </c>
    </row>
    <row r="834" spans="1:17">
      <c r="A834">
        <v>34</v>
      </c>
      <c r="B834">
        <v>0</v>
      </c>
      <c r="C834">
        <v>0</v>
      </c>
      <c r="D834">
        <v>35.17</v>
      </c>
      <c r="E834">
        <v>0</v>
      </c>
      <c r="F834">
        <v>0</v>
      </c>
      <c r="G834">
        <v>0</v>
      </c>
      <c r="H834">
        <v>30.62</v>
      </c>
      <c r="I834">
        <v>6.1000000000000004E-3</v>
      </c>
      <c r="J834">
        <v>34.26</v>
      </c>
      <c r="K834">
        <v>0</v>
      </c>
      <c r="L834">
        <v>1.7600000000000001E-2</v>
      </c>
      <c r="M834">
        <v>9.0700000000000003E-2</v>
      </c>
      <c r="N834">
        <v>100.1644</v>
      </c>
      <c r="O834" t="s">
        <v>273</v>
      </c>
      <c r="P834" t="s">
        <v>102</v>
      </c>
      <c r="Q834">
        <f>I834-(K834*Standards!$I$15)</f>
        <v>6.1000000000000004E-3</v>
      </c>
    </row>
    <row r="835" spans="1:17">
      <c r="A835">
        <v>42</v>
      </c>
      <c r="B835">
        <v>1.1900000000000001E-2</v>
      </c>
      <c r="C835">
        <v>0</v>
      </c>
      <c r="D835">
        <v>34.979999999999997</v>
      </c>
      <c r="E835">
        <v>0</v>
      </c>
      <c r="F835">
        <v>0</v>
      </c>
      <c r="G835">
        <v>0</v>
      </c>
      <c r="H835">
        <v>30.26</v>
      </c>
      <c r="I835">
        <v>1.01E-2</v>
      </c>
      <c r="J835">
        <v>34.25</v>
      </c>
      <c r="K835">
        <v>0</v>
      </c>
      <c r="L835">
        <v>4.8899999999999999E-2</v>
      </c>
      <c r="M835">
        <v>0.1057</v>
      </c>
      <c r="N835">
        <v>99.666600000000003</v>
      </c>
      <c r="O835" t="s">
        <v>273</v>
      </c>
      <c r="P835" t="s">
        <v>102</v>
      </c>
      <c r="Q835">
        <f>I835-(K835*Standards!$I$15)</f>
        <v>1.01E-2</v>
      </c>
    </row>
    <row r="836" spans="1:17">
      <c r="A836">
        <v>84</v>
      </c>
      <c r="B836">
        <v>2.1999999999999999E-2</v>
      </c>
      <c r="C836">
        <v>0</v>
      </c>
      <c r="D836">
        <v>35</v>
      </c>
      <c r="E836">
        <v>0</v>
      </c>
      <c r="F836">
        <v>0</v>
      </c>
      <c r="G836">
        <v>0</v>
      </c>
      <c r="H836">
        <v>30.26</v>
      </c>
      <c r="I836">
        <v>9.2999999999999992E-3</v>
      </c>
      <c r="J836">
        <v>34.24</v>
      </c>
      <c r="K836">
        <v>0</v>
      </c>
      <c r="L836">
        <v>7.0599999999999996E-2</v>
      </c>
      <c r="M836">
        <v>0.10199999999999999</v>
      </c>
      <c r="N836">
        <v>99.703900000000004</v>
      </c>
      <c r="O836" t="s">
        <v>273</v>
      </c>
      <c r="P836" t="s">
        <v>102</v>
      </c>
      <c r="Q836">
        <f>I836-(K836*Standards!$I$15)</f>
        <v>9.2999999999999992E-3</v>
      </c>
    </row>
    <row r="837" spans="1:17">
      <c r="A837">
        <v>63</v>
      </c>
      <c r="B837">
        <v>3.04E-2</v>
      </c>
      <c r="C837">
        <v>0</v>
      </c>
      <c r="D837">
        <v>35.130000000000003</v>
      </c>
      <c r="E837">
        <v>0</v>
      </c>
      <c r="F837">
        <v>0</v>
      </c>
      <c r="G837">
        <v>0</v>
      </c>
      <c r="H837">
        <v>30.55</v>
      </c>
      <c r="I837">
        <v>3.5000000000000001E-3</v>
      </c>
      <c r="J837">
        <v>34.24</v>
      </c>
      <c r="K837">
        <v>0</v>
      </c>
      <c r="L837">
        <v>3.04E-2</v>
      </c>
      <c r="M837">
        <v>7.9600000000000004E-2</v>
      </c>
      <c r="N837">
        <v>100.0639</v>
      </c>
      <c r="O837" t="s">
        <v>273</v>
      </c>
      <c r="P837" t="s">
        <v>102</v>
      </c>
      <c r="Q837">
        <f>I837-(K837*Standards!$I$15)</f>
        <v>3.5000000000000001E-3</v>
      </c>
    </row>
    <row r="838" spans="1:17">
      <c r="A838">
        <v>17</v>
      </c>
      <c r="B838">
        <v>1.4200000000000001E-2</v>
      </c>
      <c r="C838">
        <v>0</v>
      </c>
      <c r="D838">
        <v>35.159999999999997</v>
      </c>
      <c r="E838">
        <v>0</v>
      </c>
      <c r="F838">
        <v>0</v>
      </c>
      <c r="G838">
        <v>0</v>
      </c>
      <c r="H838">
        <v>30.65</v>
      </c>
      <c r="I838">
        <v>0</v>
      </c>
      <c r="J838">
        <v>34.229999999999997</v>
      </c>
      <c r="K838">
        <v>0</v>
      </c>
      <c r="L838">
        <v>3.3799999999999997E-2</v>
      </c>
      <c r="M838">
        <v>0.1212</v>
      </c>
      <c r="N838">
        <v>100.20910000000001</v>
      </c>
      <c r="O838" t="s">
        <v>273</v>
      </c>
      <c r="P838" t="s">
        <v>102</v>
      </c>
      <c r="Q838">
        <f>I838-(K838*Standards!$I$15)</f>
        <v>0</v>
      </c>
    </row>
    <row r="839" spans="1:17">
      <c r="A839">
        <v>36</v>
      </c>
      <c r="B839">
        <v>3.7000000000000002E-3</v>
      </c>
      <c r="C839">
        <v>0</v>
      </c>
      <c r="D839">
        <v>34.92</v>
      </c>
      <c r="E839">
        <v>6.9999999999999999E-4</v>
      </c>
      <c r="F839">
        <v>0</v>
      </c>
      <c r="G839">
        <v>0</v>
      </c>
      <c r="H839">
        <v>30.33</v>
      </c>
      <c r="I839">
        <v>3.0999999999999999E-3</v>
      </c>
      <c r="J839">
        <v>34.229999999999997</v>
      </c>
      <c r="K839">
        <v>0</v>
      </c>
      <c r="L839">
        <v>2.2200000000000001E-2</v>
      </c>
      <c r="M839">
        <v>0.1108</v>
      </c>
      <c r="N839">
        <v>99.620599999999996</v>
      </c>
      <c r="O839" t="s">
        <v>273</v>
      </c>
      <c r="P839" t="s">
        <v>102</v>
      </c>
      <c r="Q839">
        <f>I839-(K839*Standards!$I$15)</f>
        <v>3.0999999999999999E-3</v>
      </c>
    </row>
    <row r="840" spans="1:17">
      <c r="A840">
        <v>76</v>
      </c>
      <c r="B840">
        <v>2.6499999999999999E-2</v>
      </c>
      <c r="C840">
        <v>0</v>
      </c>
      <c r="D840">
        <v>35.03</v>
      </c>
      <c r="E840">
        <v>1.8E-3</v>
      </c>
      <c r="F840">
        <v>0</v>
      </c>
      <c r="G840">
        <v>2.9999999999999997E-4</v>
      </c>
      <c r="H840">
        <v>30.7</v>
      </c>
      <c r="I840">
        <v>2.0999999999999999E-3</v>
      </c>
      <c r="J840">
        <v>34.22</v>
      </c>
      <c r="K840">
        <v>0</v>
      </c>
      <c r="L840">
        <v>4.3999999999999997E-2</v>
      </c>
      <c r="M840">
        <v>0.1182</v>
      </c>
      <c r="N840">
        <v>100.1429</v>
      </c>
      <c r="O840" t="s">
        <v>273</v>
      </c>
      <c r="P840" t="s">
        <v>102</v>
      </c>
      <c r="Q840">
        <f>I840-(K840*Standards!$I$15)</f>
        <v>2.0999999999999999E-3</v>
      </c>
    </row>
    <row r="841" spans="1:17">
      <c r="A841">
        <v>12</v>
      </c>
      <c r="B841">
        <v>2.5399999999999999E-2</v>
      </c>
      <c r="C841">
        <v>0</v>
      </c>
      <c r="D841">
        <v>35.1</v>
      </c>
      <c r="E841">
        <v>0</v>
      </c>
      <c r="F841">
        <v>0</v>
      </c>
      <c r="G841">
        <v>0</v>
      </c>
      <c r="H841">
        <v>30.56</v>
      </c>
      <c r="I841">
        <v>1.0699999999999999E-2</v>
      </c>
      <c r="J841">
        <v>34.22</v>
      </c>
      <c r="K841">
        <v>0</v>
      </c>
      <c r="L841">
        <v>4.0800000000000003E-2</v>
      </c>
      <c r="M841">
        <v>0.1124</v>
      </c>
      <c r="N841">
        <v>100.0692</v>
      </c>
      <c r="O841" t="s">
        <v>273</v>
      </c>
      <c r="P841" t="s">
        <v>102</v>
      </c>
      <c r="Q841">
        <f>I841-(K841*Standards!$I$15)</f>
        <v>1.0699999999999999E-2</v>
      </c>
    </row>
    <row r="842" spans="1:17">
      <c r="A842">
        <v>87</v>
      </c>
      <c r="B842">
        <v>4.3E-3</v>
      </c>
      <c r="C842">
        <v>0</v>
      </c>
      <c r="D842">
        <v>35.299999999999997</v>
      </c>
      <c r="E842">
        <v>0</v>
      </c>
      <c r="F842">
        <v>0</v>
      </c>
      <c r="G842">
        <v>1E-4</v>
      </c>
      <c r="H842">
        <v>30.25</v>
      </c>
      <c r="I842">
        <v>4.4000000000000003E-3</v>
      </c>
      <c r="J842">
        <v>34.21</v>
      </c>
      <c r="K842">
        <v>0</v>
      </c>
      <c r="L842">
        <v>2.1299999999999999E-2</v>
      </c>
      <c r="M842">
        <v>9.0800000000000006E-2</v>
      </c>
      <c r="N842">
        <v>99.881</v>
      </c>
      <c r="O842" t="s">
        <v>273</v>
      </c>
      <c r="P842" t="s">
        <v>102</v>
      </c>
      <c r="Q842">
        <f>I842-(K842*Standards!$I$15)</f>
        <v>4.4000000000000003E-3</v>
      </c>
    </row>
    <row r="843" spans="1:17">
      <c r="A843">
        <v>88</v>
      </c>
      <c r="B843">
        <v>1.1900000000000001E-2</v>
      </c>
      <c r="C843">
        <v>0</v>
      </c>
      <c r="D843">
        <v>35.119999999999997</v>
      </c>
      <c r="E843">
        <v>0</v>
      </c>
      <c r="F843">
        <v>4.4999999999999997E-3</v>
      </c>
      <c r="G843">
        <v>0</v>
      </c>
      <c r="H843">
        <v>30.54</v>
      </c>
      <c r="I843">
        <v>2.7000000000000001E-3</v>
      </c>
      <c r="J843">
        <v>34.200000000000003</v>
      </c>
      <c r="K843">
        <v>0</v>
      </c>
      <c r="L843">
        <v>3.8699999999999998E-2</v>
      </c>
      <c r="M843">
        <v>0.1197</v>
      </c>
      <c r="N843">
        <v>100.03740000000001</v>
      </c>
      <c r="O843" t="s">
        <v>273</v>
      </c>
      <c r="P843" t="s">
        <v>102</v>
      </c>
      <c r="Q843">
        <f>I843-(K843*Standards!$I$15)</f>
        <v>2.7000000000000001E-3</v>
      </c>
    </row>
    <row r="844" spans="1:17">
      <c r="A844">
        <v>83</v>
      </c>
      <c r="B844">
        <v>2.9899999999999999E-2</v>
      </c>
      <c r="C844">
        <v>0</v>
      </c>
      <c r="D844">
        <v>35.21</v>
      </c>
      <c r="E844">
        <v>0</v>
      </c>
      <c r="F844">
        <v>0</v>
      </c>
      <c r="G844">
        <v>0</v>
      </c>
      <c r="H844">
        <v>30.32</v>
      </c>
      <c r="I844">
        <v>9.5999999999999992E-3</v>
      </c>
      <c r="J844">
        <v>34.19</v>
      </c>
      <c r="K844">
        <v>0</v>
      </c>
      <c r="L844">
        <v>4.7399999999999998E-2</v>
      </c>
      <c r="M844">
        <v>0.1245</v>
      </c>
      <c r="N844">
        <v>99.931399999999996</v>
      </c>
      <c r="O844" t="s">
        <v>273</v>
      </c>
      <c r="P844" t="s">
        <v>102</v>
      </c>
      <c r="Q844">
        <f>I844-(K844*Standards!$I$15)</f>
        <v>9.5999999999999992E-3</v>
      </c>
    </row>
    <row r="845" spans="1:17">
      <c r="A845">
        <v>50</v>
      </c>
      <c r="B845">
        <v>0</v>
      </c>
      <c r="C845">
        <v>0</v>
      </c>
      <c r="D845">
        <v>34.979999999999997</v>
      </c>
      <c r="E845">
        <v>2.2000000000000001E-3</v>
      </c>
      <c r="F845">
        <v>0</v>
      </c>
      <c r="G845">
        <v>0</v>
      </c>
      <c r="H845">
        <v>30.25</v>
      </c>
      <c r="I845">
        <v>3.8E-3</v>
      </c>
      <c r="J845">
        <v>34.18</v>
      </c>
      <c r="K845">
        <v>0</v>
      </c>
      <c r="L845">
        <v>6.0699999999999997E-2</v>
      </c>
      <c r="M845">
        <v>0.10340000000000001</v>
      </c>
      <c r="N845">
        <v>99.580200000000005</v>
      </c>
      <c r="O845" t="s">
        <v>273</v>
      </c>
      <c r="P845" t="s">
        <v>102</v>
      </c>
      <c r="Q845">
        <f>I845-(K845*Standards!$I$15)</f>
        <v>3.8E-3</v>
      </c>
    </row>
    <row r="846" spans="1:17">
      <c r="A846">
        <v>24</v>
      </c>
      <c r="B846">
        <v>2.1000000000000001E-2</v>
      </c>
      <c r="C846">
        <v>0</v>
      </c>
      <c r="D846">
        <v>35.08</v>
      </c>
      <c r="E846">
        <v>5.1000000000000004E-3</v>
      </c>
      <c r="F846">
        <v>0</v>
      </c>
      <c r="G846">
        <v>0</v>
      </c>
      <c r="H846">
        <v>30.21</v>
      </c>
      <c r="I846">
        <v>1.0999999999999999E-2</v>
      </c>
      <c r="J846">
        <v>34.18</v>
      </c>
      <c r="K846">
        <v>0</v>
      </c>
      <c r="L846">
        <v>4.7699999999999999E-2</v>
      </c>
      <c r="M846">
        <v>0.10829999999999999</v>
      </c>
      <c r="N846">
        <v>99.663200000000003</v>
      </c>
      <c r="O846" t="s">
        <v>273</v>
      </c>
      <c r="P846" t="s">
        <v>102</v>
      </c>
      <c r="Q846">
        <f>I846-(K846*Standards!$I$15)</f>
        <v>1.0999999999999999E-2</v>
      </c>
    </row>
    <row r="847" spans="1:17">
      <c r="A847">
        <v>37</v>
      </c>
      <c r="B847">
        <v>1.04E-2</v>
      </c>
      <c r="C847">
        <v>0</v>
      </c>
      <c r="D847">
        <v>35.07</v>
      </c>
      <c r="E847">
        <v>2.3999999999999998E-3</v>
      </c>
      <c r="F847">
        <v>0</v>
      </c>
      <c r="G847">
        <v>0</v>
      </c>
      <c r="H847">
        <v>30.43</v>
      </c>
      <c r="I847">
        <v>8.0000000000000002E-3</v>
      </c>
      <c r="J847">
        <v>34.17</v>
      </c>
      <c r="K847">
        <v>0</v>
      </c>
      <c r="L847">
        <v>8.1299999999999997E-2</v>
      </c>
      <c r="M847">
        <v>9.4799999999999995E-2</v>
      </c>
      <c r="N847">
        <v>99.867000000000004</v>
      </c>
      <c r="O847" t="s">
        <v>273</v>
      </c>
      <c r="P847" t="s">
        <v>102</v>
      </c>
      <c r="Q847">
        <f>I847-(K847*Standards!$I$15)</f>
        <v>8.0000000000000002E-3</v>
      </c>
    </row>
    <row r="848" spans="1:17">
      <c r="A848">
        <v>67</v>
      </c>
      <c r="B848">
        <v>3.32E-2</v>
      </c>
      <c r="C848">
        <v>0</v>
      </c>
      <c r="D848">
        <v>34.99</v>
      </c>
      <c r="E848">
        <v>0</v>
      </c>
      <c r="F848">
        <v>0</v>
      </c>
      <c r="G848">
        <v>0</v>
      </c>
      <c r="H848">
        <v>30.55</v>
      </c>
      <c r="I848">
        <v>5.5999999999999999E-3</v>
      </c>
      <c r="J848">
        <v>34.17</v>
      </c>
      <c r="K848">
        <v>0</v>
      </c>
      <c r="L848">
        <v>4.4299999999999999E-2</v>
      </c>
      <c r="M848">
        <v>0.1205</v>
      </c>
      <c r="N848">
        <v>99.913600000000002</v>
      </c>
      <c r="O848" t="s">
        <v>273</v>
      </c>
      <c r="P848" t="s">
        <v>102</v>
      </c>
      <c r="Q848">
        <f>I848-(K848*Standards!$I$15)</f>
        <v>5.5999999999999999E-3</v>
      </c>
    </row>
    <row r="849" spans="1:17">
      <c r="A849">
        <v>35</v>
      </c>
      <c r="B849">
        <v>0</v>
      </c>
      <c r="C849">
        <v>0</v>
      </c>
      <c r="D849">
        <v>34.869999999999997</v>
      </c>
      <c r="E849">
        <v>0</v>
      </c>
      <c r="F849">
        <v>0</v>
      </c>
      <c r="G849">
        <v>0</v>
      </c>
      <c r="H849">
        <v>30.45</v>
      </c>
      <c r="I849">
        <v>6.1999999999999998E-3</v>
      </c>
      <c r="J849">
        <v>34.159999999999997</v>
      </c>
      <c r="K849">
        <v>0</v>
      </c>
      <c r="L849">
        <v>4.5100000000000001E-2</v>
      </c>
      <c r="M849">
        <v>0.106</v>
      </c>
      <c r="N849">
        <v>99.6374</v>
      </c>
      <c r="O849" t="s">
        <v>273</v>
      </c>
      <c r="P849" t="s">
        <v>102</v>
      </c>
      <c r="Q849">
        <f>I849-(K849*Standards!$I$15)</f>
        <v>6.1999999999999998E-3</v>
      </c>
    </row>
    <row r="850" spans="1:17">
      <c r="A850">
        <v>81</v>
      </c>
      <c r="B850">
        <v>2.12E-2</v>
      </c>
      <c r="C850">
        <v>0</v>
      </c>
      <c r="D850">
        <v>35.090000000000003</v>
      </c>
      <c r="E850">
        <v>0</v>
      </c>
      <c r="F850">
        <v>0</v>
      </c>
      <c r="G850">
        <v>0</v>
      </c>
      <c r="H850">
        <v>30.36</v>
      </c>
      <c r="I850">
        <v>7.6E-3</v>
      </c>
      <c r="J850">
        <v>34.159999999999997</v>
      </c>
      <c r="K850">
        <v>0</v>
      </c>
      <c r="L850">
        <v>3.0800000000000001E-2</v>
      </c>
      <c r="M850">
        <v>8.1000000000000003E-2</v>
      </c>
      <c r="N850">
        <v>99.750600000000006</v>
      </c>
      <c r="O850" t="s">
        <v>273</v>
      </c>
      <c r="P850" t="s">
        <v>102</v>
      </c>
      <c r="Q850">
        <f>I850-(K850*Standards!$I$15)</f>
        <v>7.6E-3</v>
      </c>
    </row>
    <row r="851" spans="1:17">
      <c r="A851">
        <v>31</v>
      </c>
      <c r="B851">
        <v>0</v>
      </c>
      <c r="C851">
        <v>0</v>
      </c>
      <c r="D851">
        <v>35.1</v>
      </c>
      <c r="E851">
        <v>0</v>
      </c>
      <c r="F851">
        <v>0</v>
      </c>
      <c r="G851">
        <v>0</v>
      </c>
      <c r="H851">
        <v>30.66</v>
      </c>
      <c r="I851">
        <v>0</v>
      </c>
      <c r="J851">
        <v>34.159999999999997</v>
      </c>
      <c r="K851">
        <v>0</v>
      </c>
      <c r="L851">
        <v>3.0300000000000001E-2</v>
      </c>
      <c r="M851">
        <v>0.1176</v>
      </c>
      <c r="N851">
        <v>100.06780000000001</v>
      </c>
      <c r="O851" t="s">
        <v>273</v>
      </c>
      <c r="P851" t="s">
        <v>102</v>
      </c>
      <c r="Q851">
        <f>I851-(K851*Standards!$I$15)</f>
        <v>0</v>
      </c>
    </row>
    <row r="852" spans="1:17">
      <c r="A852">
        <v>6</v>
      </c>
      <c r="B852">
        <v>4.4000000000000003E-3</v>
      </c>
      <c r="C852">
        <v>0</v>
      </c>
      <c r="D852">
        <v>35.049999999999997</v>
      </c>
      <c r="E852">
        <v>0</v>
      </c>
      <c r="F852">
        <v>0</v>
      </c>
      <c r="G852">
        <v>0</v>
      </c>
      <c r="H852">
        <v>30.58</v>
      </c>
      <c r="I852">
        <v>2.5000000000000001E-3</v>
      </c>
      <c r="J852">
        <v>34.15</v>
      </c>
      <c r="K852">
        <v>0</v>
      </c>
      <c r="L852">
        <v>5.0599999999999999E-2</v>
      </c>
      <c r="M852">
        <v>0.10979999999999999</v>
      </c>
      <c r="N852">
        <v>99.947400000000002</v>
      </c>
      <c r="O852" t="s">
        <v>273</v>
      </c>
      <c r="P852" t="s">
        <v>102</v>
      </c>
      <c r="Q852">
        <f>I852-(K852*Standards!$I$15)</f>
        <v>2.5000000000000001E-3</v>
      </c>
    </row>
    <row r="853" spans="1:17">
      <c r="A853">
        <v>61</v>
      </c>
      <c r="B853">
        <v>1.6299999999999999E-2</v>
      </c>
      <c r="C853">
        <v>0</v>
      </c>
      <c r="D853">
        <v>35.07</v>
      </c>
      <c r="E853">
        <v>0</v>
      </c>
      <c r="F853">
        <v>0</v>
      </c>
      <c r="G853">
        <v>0</v>
      </c>
      <c r="H853">
        <v>30.56</v>
      </c>
      <c r="I853">
        <v>6.6E-3</v>
      </c>
      <c r="J853">
        <v>34.14</v>
      </c>
      <c r="K853">
        <v>0</v>
      </c>
      <c r="L853">
        <v>3.3500000000000002E-2</v>
      </c>
      <c r="M853">
        <v>8.7599999999999997E-2</v>
      </c>
      <c r="N853">
        <v>99.914100000000005</v>
      </c>
      <c r="O853" t="s">
        <v>273</v>
      </c>
      <c r="P853" t="s">
        <v>102</v>
      </c>
      <c r="Q853">
        <f>I853-(K853*Standards!$I$15)</f>
        <v>6.6E-3</v>
      </c>
    </row>
    <row r="854" spans="1:17">
      <c r="A854">
        <v>23</v>
      </c>
      <c r="B854">
        <v>2.0400000000000001E-2</v>
      </c>
      <c r="C854">
        <v>0</v>
      </c>
      <c r="D854">
        <v>34.97</v>
      </c>
      <c r="E854">
        <v>1.1599999999999999E-2</v>
      </c>
      <c r="F854">
        <v>0</v>
      </c>
      <c r="G854">
        <v>0</v>
      </c>
      <c r="H854">
        <v>30.41</v>
      </c>
      <c r="I854">
        <v>7.7999999999999996E-3</v>
      </c>
      <c r="J854">
        <v>34.14</v>
      </c>
      <c r="K854">
        <v>0</v>
      </c>
      <c r="L854">
        <v>2.4500000000000001E-2</v>
      </c>
      <c r="M854">
        <v>0.1166</v>
      </c>
      <c r="N854">
        <v>99.700999999999993</v>
      </c>
      <c r="O854" t="s">
        <v>273</v>
      </c>
      <c r="P854" t="s">
        <v>102</v>
      </c>
      <c r="Q854">
        <f>I854-(K854*Standards!$I$15)</f>
        <v>7.7999999999999996E-3</v>
      </c>
    </row>
    <row r="855" spans="1:17">
      <c r="A855">
        <v>96</v>
      </c>
      <c r="B855">
        <v>2.1899999999999999E-2</v>
      </c>
      <c r="C855">
        <v>0</v>
      </c>
      <c r="D855">
        <v>35.020000000000003</v>
      </c>
      <c r="E855">
        <v>0</v>
      </c>
      <c r="F855">
        <v>0</v>
      </c>
      <c r="G855">
        <v>0</v>
      </c>
      <c r="H855">
        <v>30.38</v>
      </c>
      <c r="I855">
        <v>6.1000000000000004E-3</v>
      </c>
      <c r="J855">
        <v>34.130000000000003</v>
      </c>
      <c r="K855">
        <v>0</v>
      </c>
      <c r="L855">
        <v>0.04</v>
      </c>
      <c r="M855">
        <v>9.5600000000000004E-2</v>
      </c>
      <c r="N855">
        <v>99.693600000000004</v>
      </c>
      <c r="O855" t="s">
        <v>273</v>
      </c>
      <c r="P855" t="s">
        <v>102</v>
      </c>
      <c r="Q855">
        <f>I855-(K855*Standards!$I$15)</f>
        <v>6.1000000000000004E-3</v>
      </c>
    </row>
    <row r="856" spans="1:17">
      <c r="A856">
        <v>85</v>
      </c>
      <c r="B856">
        <v>2.9899999999999999E-2</v>
      </c>
      <c r="C856">
        <v>0</v>
      </c>
      <c r="D856">
        <v>34.97</v>
      </c>
      <c r="E856">
        <v>0</v>
      </c>
      <c r="F856">
        <v>0</v>
      </c>
      <c r="G856">
        <v>0</v>
      </c>
      <c r="H856">
        <v>30.41</v>
      </c>
      <c r="I856">
        <v>6.6E-3</v>
      </c>
      <c r="J856">
        <v>34.130000000000003</v>
      </c>
      <c r="K856">
        <v>0</v>
      </c>
      <c r="L856">
        <v>2.4299999999999999E-2</v>
      </c>
      <c r="M856">
        <v>0.10970000000000001</v>
      </c>
      <c r="N856">
        <v>99.680499999999995</v>
      </c>
      <c r="O856" t="s">
        <v>273</v>
      </c>
      <c r="P856" t="s">
        <v>102</v>
      </c>
      <c r="Q856">
        <f>I856-(K856*Standards!$I$15)</f>
        <v>6.6E-3</v>
      </c>
    </row>
    <row r="857" spans="1:17">
      <c r="A857">
        <v>19</v>
      </c>
      <c r="B857">
        <v>1.2800000000000001E-2</v>
      </c>
      <c r="C857">
        <v>0</v>
      </c>
      <c r="D857">
        <v>35.049999999999997</v>
      </c>
      <c r="E857">
        <v>0</v>
      </c>
      <c r="F857">
        <v>0</v>
      </c>
      <c r="G857">
        <v>0</v>
      </c>
      <c r="H857">
        <v>30.62</v>
      </c>
      <c r="I857">
        <v>6.0000000000000001E-3</v>
      </c>
      <c r="J857">
        <v>34.119999999999997</v>
      </c>
      <c r="K857">
        <v>0</v>
      </c>
      <c r="L857">
        <v>6.9099999999999995E-2</v>
      </c>
      <c r="M857">
        <v>8.4199999999999997E-2</v>
      </c>
      <c r="N857">
        <v>99.962100000000007</v>
      </c>
      <c r="O857" t="s">
        <v>273</v>
      </c>
      <c r="P857" t="s">
        <v>102</v>
      </c>
      <c r="Q857">
        <f>I857-(K857*Standards!$I$15)</f>
        <v>6.0000000000000001E-3</v>
      </c>
    </row>
    <row r="858" spans="1:17">
      <c r="A858">
        <v>78</v>
      </c>
      <c r="B858">
        <v>2.06E-2</v>
      </c>
      <c r="C858">
        <v>0</v>
      </c>
      <c r="D858">
        <v>35.35</v>
      </c>
      <c r="E858">
        <v>0</v>
      </c>
      <c r="F858">
        <v>0</v>
      </c>
      <c r="G858">
        <v>0</v>
      </c>
      <c r="H858">
        <v>30.57</v>
      </c>
      <c r="I858">
        <v>1.1299999999999999E-2</v>
      </c>
      <c r="J858">
        <v>34.119999999999997</v>
      </c>
      <c r="K858">
        <v>0</v>
      </c>
      <c r="L858">
        <v>3.8199999999999998E-2</v>
      </c>
      <c r="M858">
        <v>9.69E-2</v>
      </c>
      <c r="N858">
        <v>100.2069</v>
      </c>
      <c r="O858" t="s">
        <v>273</v>
      </c>
      <c r="P858" t="s">
        <v>102</v>
      </c>
      <c r="Q858">
        <f>I858-(K858*Standards!$I$15)</f>
        <v>1.1299999999999999E-2</v>
      </c>
    </row>
    <row r="859" spans="1:17">
      <c r="A859">
        <v>98</v>
      </c>
      <c r="B859">
        <v>9.1000000000000004E-3</v>
      </c>
      <c r="C859">
        <v>0</v>
      </c>
      <c r="D859">
        <v>35.17</v>
      </c>
      <c r="E859">
        <v>0</v>
      </c>
      <c r="F859">
        <v>0</v>
      </c>
      <c r="G859">
        <v>0</v>
      </c>
      <c r="H859">
        <v>30.41</v>
      </c>
      <c r="I859">
        <v>5.5999999999999999E-3</v>
      </c>
      <c r="J859">
        <v>34.119999999999997</v>
      </c>
      <c r="K859">
        <v>0</v>
      </c>
      <c r="L859">
        <v>2.41E-2</v>
      </c>
      <c r="M859">
        <v>0.1172</v>
      </c>
      <c r="N859">
        <v>99.855999999999995</v>
      </c>
      <c r="O859" t="s">
        <v>273</v>
      </c>
      <c r="P859" t="s">
        <v>102</v>
      </c>
      <c r="Q859">
        <f>I859-(K859*Standards!$I$15)</f>
        <v>5.5999999999999999E-3</v>
      </c>
    </row>
    <row r="860" spans="1:17">
      <c r="A860">
        <v>49</v>
      </c>
      <c r="B860">
        <v>0</v>
      </c>
      <c r="C860">
        <v>0</v>
      </c>
      <c r="D860">
        <v>35.04</v>
      </c>
      <c r="E860">
        <v>0</v>
      </c>
      <c r="F860">
        <v>0</v>
      </c>
      <c r="G860">
        <v>0</v>
      </c>
      <c r="H860">
        <v>30.53</v>
      </c>
      <c r="I860">
        <v>7.0000000000000001E-3</v>
      </c>
      <c r="J860">
        <v>34.11</v>
      </c>
      <c r="K860">
        <v>0</v>
      </c>
      <c r="L860">
        <v>5.3900000000000003E-2</v>
      </c>
      <c r="M860">
        <v>9.7900000000000001E-2</v>
      </c>
      <c r="N860">
        <v>99.838899999999995</v>
      </c>
      <c r="O860" t="s">
        <v>273</v>
      </c>
      <c r="P860" t="s">
        <v>102</v>
      </c>
      <c r="Q860">
        <f>I860-(K860*Standards!$I$15)</f>
        <v>7.0000000000000001E-3</v>
      </c>
    </row>
    <row r="861" spans="1:17">
      <c r="A861">
        <v>41</v>
      </c>
      <c r="B861">
        <v>1.66E-2</v>
      </c>
      <c r="C861">
        <v>0</v>
      </c>
      <c r="D861">
        <v>35.090000000000003</v>
      </c>
      <c r="E861">
        <v>0</v>
      </c>
      <c r="F861">
        <v>0</v>
      </c>
      <c r="G861">
        <v>0</v>
      </c>
      <c r="H861">
        <v>30.28</v>
      </c>
      <c r="I861">
        <v>1.1999999999999999E-3</v>
      </c>
      <c r="J861">
        <v>34.11</v>
      </c>
      <c r="K861">
        <v>0</v>
      </c>
      <c r="L861">
        <v>3.8399999999999997E-2</v>
      </c>
      <c r="M861">
        <v>9.8000000000000004E-2</v>
      </c>
      <c r="N861">
        <v>99.634299999999996</v>
      </c>
      <c r="O861" t="s">
        <v>273</v>
      </c>
      <c r="P861" t="s">
        <v>102</v>
      </c>
      <c r="Q861">
        <f>I861-(K861*Standards!$I$15)</f>
        <v>1.1999999999999999E-3</v>
      </c>
    </row>
    <row r="862" spans="1:17">
      <c r="A862">
        <v>43</v>
      </c>
      <c r="B862">
        <v>7.7999999999999996E-3</v>
      </c>
      <c r="C862">
        <v>0</v>
      </c>
      <c r="D862">
        <v>35.090000000000003</v>
      </c>
      <c r="E862">
        <v>0</v>
      </c>
      <c r="F862">
        <v>0</v>
      </c>
      <c r="G862">
        <v>0</v>
      </c>
      <c r="H862">
        <v>30.47</v>
      </c>
      <c r="I862">
        <v>1.6999999999999999E-3</v>
      </c>
      <c r="J862">
        <v>34.11</v>
      </c>
      <c r="K862">
        <v>0</v>
      </c>
      <c r="L862">
        <v>3.3700000000000001E-2</v>
      </c>
      <c r="M862">
        <v>0.12180000000000001</v>
      </c>
      <c r="N862">
        <v>99.835099999999997</v>
      </c>
      <c r="O862" t="s">
        <v>273</v>
      </c>
      <c r="P862" t="s">
        <v>102</v>
      </c>
      <c r="Q862">
        <f>I862-(K862*Standards!$I$15)</f>
        <v>1.6999999999999999E-3</v>
      </c>
    </row>
    <row r="863" spans="1:17">
      <c r="A863">
        <v>21</v>
      </c>
      <c r="B863">
        <v>2.4899999999999999E-2</v>
      </c>
      <c r="C863">
        <v>0</v>
      </c>
      <c r="D863">
        <v>35.08</v>
      </c>
      <c r="E863">
        <v>1.2999999999999999E-3</v>
      </c>
      <c r="F863">
        <v>0</v>
      </c>
      <c r="G863">
        <v>8.0000000000000004E-4</v>
      </c>
      <c r="H863">
        <v>30.49</v>
      </c>
      <c r="I863">
        <v>7.4000000000000003E-3</v>
      </c>
      <c r="J863">
        <v>34.11</v>
      </c>
      <c r="K863">
        <v>0</v>
      </c>
      <c r="L863">
        <v>2.7199999999999998E-2</v>
      </c>
      <c r="M863">
        <v>0.10639999999999999</v>
      </c>
      <c r="N863">
        <v>99.848100000000002</v>
      </c>
      <c r="O863" t="s">
        <v>273</v>
      </c>
      <c r="P863" t="s">
        <v>102</v>
      </c>
      <c r="Q863">
        <f>I863-(K863*Standards!$I$15)</f>
        <v>7.4000000000000003E-3</v>
      </c>
    </row>
    <row r="864" spans="1:17">
      <c r="A864">
        <v>44</v>
      </c>
      <c r="B864">
        <v>0</v>
      </c>
      <c r="C864">
        <v>0</v>
      </c>
      <c r="D864">
        <v>35.01</v>
      </c>
      <c r="E864">
        <v>0</v>
      </c>
      <c r="F864">
        <v>0</v>
      </c>
      <c r="G864">
        <v>0</v>
      </c>
      <c r="H864">
        <v>30.59</v>
      </c>
      <c r="I864">
        <v>2.0999999999999999E-3</v>
      </c>
      <c r="J864">
        <v>34.1</v>
      </c>
      <c r="K864">
        <v>0</v>
      </c>
      <c r="L864">
        <v>5.74E-2</v>
      </c>
      <c r="M864">
        <v>9.8799999999999999E-2</v>
      </c>
      <c r="N864">
        <v>99.858400000000003</v>
      </c>
      <c r="O864" t="s">
        <v>273</v>
      </c>
      <c r="P864" t="s">
        <v>102</v>
      </c>
      <c r="Q864">
        <f>I864-(K864*Standards!$I$15)</f>
        <v>2.0999999999999999E-3</v>
      </c>
    </row>
    <row r="865" spans="1:17">
      <c r="A865">
        <v>14</v>
      </c>
      <c r="B865">
        <v>6.8999999999999999E-3</v>
      </c>
      <c r="C865">
        <v>0</v>
      </c>
      <c r="D865">
        <v>34.979999999999997</v>
      </c>
      <c r="E865">
        <v>0</v>
      </c>
      <c r="F865">
        <v>0</v>
      </c>
      <c r="G865">
        <v>0</v>
      </c>
      <c r="H865">
        <v>30.47</v>
      </c>
      <c r="I865">
        <v>6.6E-3</v>
      </c>
      <c r="J865">
        <v>34.1</v>
      </c>
      <c r="K865">
        <v>0</v>
      </c>
      <c r="L865">
        <v>3.15E-2</v>
      </c>
      <c r="M865">
        <v>0.12039999999999999</v>
      </c>
      <c r="N865">
        <v>99.715500000000006</v>
      </c>
      <c r="O865" t="s">
        <v>273</v>
      </c>
      <c r="P865" t="s">
        <v>102</v>
      </c>
      <c r="Q865">
        <f>I865-(K865*Standards!$I$15)</f>
        <v>6.6E-3</v>
      </c>
    </row>
    <row r="866" spans="1:17">
      <c r="A866">
        <v>82</v>
      </c>
      <c r="B866">
        <v>2.1000000000000001E-2</v>
      </c>
      <c r="C866">
        <v>0</v>
      </c>
      <c r="D866">
        <v>34.78</v>
      </c>
      <c r="E866">
        <v>0</v>
      </c>
      <c r="F866">
        <v>0</v>
      </c>
      <c r="G866">
        <v>0</v>
      </c>
      <c r="H866">
        <v>30.39</v>
      </c>
      <c r="I866">
        <v>3.8E-3</v>
      </c>
      <c r="J866">
        <v>34.090000000000003</v>
      </c>
      <c r="K866">
        <v>0</v>
      </c>
      <c r="L866">
        <v>6.2899999999999998E-2</v>
      </c>
      <c r="M866">
        <v>0.1023</v>
      </c>
      <c r="N866">
        <v>99.45</v>
      </c>
      <c r="O866" t="s">
        <v>273</v>
      </c>
      <c r="P866" t="s">
        <v>102</v>
      </c>
      <c r="Q866">
        <f>I866-(K866*Standards!$I$15)</f>
        <v>3.8E-3</v>
      </c>
    </row>
    <row r="867" spans="1:17">
      <c r="A867">
        <v>25</v>
      </c>
      <c r="B867">
        <v>2.47E-2</v>
      </c>
      <c r="C867">
        <v>0</v>
      </c>
      <c r="D867">
        <v>35.03</v>
      </c>
      <c r="E867">
        <v>0</v>
      </c>
      <c r="F867">
        <v>0</v>
      </c>
      <c r="G867">
        <v>0</v>
      </c>
      <c r="H867">
        <v>30.28</v>
      </c>
      <c r="I867">
        <v>6.1000000000000004E-3</v>
      </c>
      <c r="J867">
        <v>34.08</v>
      </c>
      <c r="K867">
        <v>0</v>
      </c>
      <c r="L867">
        <v>3.4700000000000002E-2</v>
      </c>
      <c r="M867">
        <v>0.1133</v>
      </c>
      <c r="N867">
        <v>99.568899999999999</v>
      </c>
      <c r="O867" t="s">
        <v>273</v>
      </c>
      <c r="P867" t="s">
        <v>102</v>
      </c>
      <c r="Q867">
        <f>I867-(K867*Standards!$I$15)</f>
        <v>6.1000000000000004E-3</v>
      </c>
    </row>
    <row r="868" spans="1:17">
      <c r="A868">
        <v>68</v>
      </c>
      <c r="B868">
        <v>1.43E-2</v>
      </c>
      <c r="C868">
        <v>0</v>
      </c>
      <c r="D868">
        <v>35.22</v>
      </c>
      <c r="E868">
        <v>0</v>
      </c>
      <c r="F868">
        <v>0</v>
      </c>
      <c r="G868">
        <v>0</v>
      </c>
      <c r="H868">
        <v>30.7</v>
      </c>
      <c r="I868">
        <v>6.7999999999999996E-3</v>
      </c>
      <c r="J868">
        <v>34.07</v>
      </c>
      <c r="K868">
        <v>0</v>
      </c>
      <c r="L868">
        <v>6.4899999999999999E-2</v>
      </c>
      <c r="M868">
        <v>0.10050000000000001</v>
      </c>
      <c r="N868">
        <v>100.1765</v>
      </c>
      <c r="O868" t="s">
        <v>273</v>
      </c>
      <c r="P868" t="s">
        <v>102</v>
      </c>
      <c r="Q868">
        <f>I868-(K868*Standards!$I$15)</f>
        <v>6.7999999999999996E-3</v>
      </c>
    </row>
    <row r="869" spans="1:17">
      <c r="A869">
        <v>80</v>
      </c>
      <c r="B869">
        <v>2.46E-2</v>
      </c>
      <c r="C869">
        <v>0</v>
      </c>
      <c r="D869">
        <v>35.43</v>
      </c>
      <c r="E869">
        <v>0</v>
      </c>
      <c r="F869">
        <v>0</v>
      </c>
      <c r="G869">
        <v>0</v>
      </c>
      <c r="H869">
        <v>30.45</v>
      </c>
      <c r="I869">
        <v>7.4000000000000003E-3</v>
      </c>
      <c r="J869">
        <v>34.01</v>
      </c>
      <c r="K869">
        <v>0</v>
      </c>
      <c r="L869">
        <v>5.9799999999999999E-2</v>
      </c>
      <c r="M869">
        <v>8.6999999999999994E-2</v>
      </c>
      <c r="N869">
        <v>100.06870000000001</v>
      </c>
      <c r="O869" t="s">
        <v>273</v>
      </c>
      <c r="P869" t="s">
        <v>102</v>
      </c>
      <c r="Q869">
        <f>I869-(K869*Standards!$I$15)</f>
        <v>7.4000000000000003E-3</v>
      </c>
    </row>
    <row r="870" spans="1:17">
      <c r="A870">
        <v>45</v>
      </c>
      <c r="B870">
        <v>0</v>
      </c>
      <c r="C870">
        <v>0</v>
      </c>
      <c r="D870">
        <v>35.07</v>
      </c>
      <c r="E870">
        <v>1.3299999999999999E-2</v>
      </c>
      <c r="F870">
        <v>0</v>
      </c>
      <c r="G870">
        <v>1.6999999999999999E-3</v>
      </c>
      <c r="H870">
        <v>30.73</v>
      </c>
      <c r="I870">
        <v>8.2000000000000007E-3</v>
      </c>
      <c r="J870">
        <v>34.01</v>
      </c>
      <c r="K870">
        <v>0</v>
      </c>
      <c r="L870">
        <v>5.4600000000000003E-2</v>
      </c>
      <c r="M870">
        <v>7.6499999999999999E-2</v>
      </c>
      <c r="N870">
        <v>99.964399999999998</v>
      </c>
      <c r="O870" t="s">
        <v>273</v>
      </c>
      <c r="P870" t="s">
        <v>102</v>
      </c>
      <c r="Q870">
        <f>I870-(K870*Standards!$I$15)</f>
        <v>8.2000000000000007E-3</v>
      </c>
    </row>
    <row r="871" spans="1:17">
      <c r="A871">
        <v>46</v>
      </c>
      <c r="B871">
        <v>5.4999999999999997E-3</v>
      </c>
      <c r="C871">
        <v>0</v>
      </c>
      <c r="D871">
        <v>35.159999999999997</v>
      </c>
      <c r="E871">
        <v>1.21E-2</v>
      </c>
      <c r="F871">
        <v>0</v>
      </c>
      <c r="G871">
        <v>0</v>
      </c>
      <c r="H871">
        <v>30.79</v>
      </c>
      <c r="I871">
        <v>3.8E-3</v>
      </c>
      <c r="J871">
        <v>33.99</v>
      </c>
      <c r="K871">
        <v>0</v>
      </c>
      <c r="L871">
        <v>4.4400000000000002E-2</v>
      </c>
      <c r="M871">
        <v>0.1077</v>
      </c>
      <c r="N871">
        <v>100.1135</v>
      </c>
      <c r="O871" t="s">
        <v>273</v>
      </c>
      <c r="P871" t="s">
        <v>102</v>
      </c>
      <c r="Q871">
        <f>I871-(K871*Standards!$I$15)</f>
        <v>3.8E-3</v>
      </c>
    </row>
    <row r="872" spans="1:17">
      <c r="A872">
        <v>89</v>
      </c>
      <c r="B872">
        <v>8.3000000000000001E-3</v>
      </c>
      <c r="C872">
        <v>0</v>
      </c>
      <c r="D872">
        <v>35.07</v>
      </c>
      <c r="E872">
        <v>0</v>
      </c>
      <c r="F872">
        <v>7.3000000000000001E-3</v>
      </c>
      <c r="G872">
        <v>0</v>
      </c>
      <c r="H872">
        <v>30.11</v>
      </c>
      <c r="I872">
        <v>8.2000000000000007E-3</v>
      </c>
      <c r="J872">
        <v>33.979999999999997</v>
      </c>
      <c r="K872">
        <v>0</v>
      </c>
      <c r="L872">
        <v>4.7800000000000002E-2</v>
      </c>
      <c r="M872">
        <v>9.7699999999999995E-2</v>
      </c>
      <c r="N872">
        <v>99.329400000000007</v>
      </c>
      <c r="O872" t="s">
        <v>273</v>
      </c>
      <c r="P872" t="s">
        <v>102</v>
      </c>
      <c r="Q872">
        <f>I872-(K872*Standards!$I$15)</f>
        <v>8.2000000000000007E-3</v>
      </c>
    </row>
    <row r="873" spans="1:17">
      <c r="A873">
        <v>62</v>
      </c>
      <c r="B873">
        <v>3.2599999999999997E-2</v>
      </c>
      <c r="C873">
        <v>0</v>
      </c>
      <c r="D873">
        <v>34.97</v>
      </c>
      <c r="E873">
        <v>2E-3</v>
      </c>
      <c r="F873">
        <v>0</v>
      </c>
      <c r="G873">
        <v>0</v>
      </c>
      <c r="H873">
        <v>30.69</v>
      </c>
      <c r="I873">
        <v>2.2000000000000001E-3</v>
      </c>
      <c r="J873">
        <v>33.96</v>
      </c>
      <c r="K873">
        <v>0</v>
      </c>
      <c r="L873">
        <v>4.1200000000000001E-2</v>
      </c>
      <c r="M873">
        <v>0.113</v>
      </c>
      <c r="N873">
        <v>99.811099999999996</v>
      </c>
      <c r="O873" t="s">
        <v>273</v>
      </c>
      <c r="P873" t="s">
        <v>102</v>
      </c>
      <c r="Q873">
        <f>I873-(K873*Standards!$I$15)</f>
        <v>2.2000000000000001E-3</v>
      </c>
    </row>
    <row r="874" spans="1:17">
      <c r="A874">
        <v>16</v>
      </c>
      <c r="B874">
        <v>1.8800000000000001E-2</v>
      </c>
      <c r="C874">
        <v>0</v>
      </c>
      <c r="D874">
        <v>34.25</v>
      </c>
      <c r="E874">
        <v>0</v>
      </c>
      <c r="F874">
        <v>0</v>
      </c>
      <c r="G874">
        <v>0</v>
      </c>
      <c r="H874">
        <v>30</v>
      </c>
      <c r="I874">
        <v>8.6999999999999994E-3</v>
      </c>
      <c r="J874">
        <v>33.93</v>
      </c>
      <c r="K874">
        <v>0</v>
      </c>
      <c r="L874">
        <v>5.9400000000000001E-2</v>
      </c>
      <c r="M874">
        <v>0.1157</v>
      </c>
      <c r="N874">
        <v>98.3827</v>
      </c>
      <c r="O874" t="s">
        <v>273</v>
      </c>
      <c r="P874" t="s">
        <v>102</v>
      </c>
      <c r="Q874">
        <f>I874-(K874*Standards!$I$15)</f>
        <v>8.6999999999999994E-3</v>
      </c>
    </row>
    <row r="875" spans="1:17">
      <c r="A875">
        <v>66</v>
      </c>
      <c r="B875">
        <v>2.92E-2</v>
      </c>
      <c r="C875">
        <v>0</v>
      </c>
      <c r="D875">
        <v>35.020000000000003</v>
      </c>
      <c r="E875">
        <v>0</v>
      </c>
      <c r="F875">
        <v>0</v>
      </c>
      <c r="G875">
        <v>0</v>
      </c>
      <c r="H875">
        <v>30.71</v>
      </c>
      <c r="I875">
        <v>5.8999999999999999E-3</v>
      </c>
      <c r="J875">
        <v>33.93</v>
      </c>
      <c r="K875">
        <v>0</v>
      </c>
      <c r="L875">
        <v>4.1200000000000001E-2</v>
      </c>
      <c r="M875">
        <v>0.1231</v>
      </c>
      <c r="N875">
        <v>99.859499999999997</v>
      </c>
      <c r="O875" t="s">
        <v>273</v>
      </c>
      <c r="P875" t="s">
        <v>102</v>
      </c>
      <c r="Q875">
        <f>I875-(K875*Standards!$I$15)</f>
        <v>5.8999999999999999E-3</v>
      </c>
    </row>
    <row r="876" spans="1:17">
      <c r="A876">
        <v>22</v>
      </c>
      <c r="B876">
        <v>2.87E-2</v>
      </c>
      <c r="C876">
        <v>0</v>
      </c>
      <c r="D876">
        <v>34.950000000000003</v>
      </c>
      <c r="E876">
        <v>9.1999999999999998E-3</v>
      </c>
      <c r="F876">
        <v>0</v>
      </c>
      <c r="G876">
        <v>0</v>
      </c>
      <c r="H876">
        <v>30.58</v>
      </c>
      <c r="I876">
        <v>6.7999999999999996E-3</v>
      </c>
      <c r="J876">
        <v>33.89</v>
      </c>
      <c r="K876">
        <v>0</v>
      </c>
      <c r="L876">
        <v>5.8799999999999998E-2</v>
      </c>
      <c r="M876">
        <v>0.1022</v>
      </c>
      <c r="N876">
        <v>99.625799999999998</v>
      </c>
      <c r="O876" t="s">
        <v>273</v>
      </c>
      <c r="P876" t="s">
        <v>102</v>
      </c>
      <c r="Q876">
        <f>I876-(K876*Standards!$I$15)</f>
        <v>6.7999999999999996E-3</v>
      </c>
    </row>
    <row r="877" spans="1:17">
      <c r="A877">
        <v>15</v>
      </c>
      <c r="B877">
        <v>3.3999999999999998E-3</v>
      </c>
      <c r="C877">
        <v>0</v>
      </c>
      <c r="D877">
        <v>35</v>
      </c>
      <c r="E877">
        <v>1.1000000000000001E-3</v>
      </c>
      <c r="F877">
        <v>0</v>
      </c>
      <c r="G877">
        <v>0</v>
      </c>
      <c r="H877">
        <v>30.51</v>
      </c>
      <c r="I877">
        <v>7.4000000000000003E-3</v>
      </c>
      <c r="J877">
        <v>33.86</v>
      </c>
      <c r="K877">
        <v>0</v>
      </c>
      <c r="L877">
        <v>2.8000000000000001E-2</v>
      </c>
      <c r="M877">
        <v>0.1061</v>
      </c>
      <c r="N877">
        <v>99.516099999999994</v>
      </c>
      <c r="O877" t="s">
        <v>273</v>
      </c>
      <c r="P877" t="s">
        <v>102</v>
      </c>
      <c r="Q877">
        <f>I877-(K877*Standards!$I$15)</f>
        <v>7.4000000000000003E-3</v>
      </c>
    </row>
    <row r="878" spans="1:17">
      <c r="A878">
        <v>77</v>
      </c>
      <c r="B878">
        <v>2.29E-2</v>
      </c>
      <c r="C878">
        <v>0</v>
      </c>
      <c r="D878">
        <v>35.119999999999997</v>
      </c>
      <c r="E878">
        <v>8.6999999999999994E-3</v>
      </c>
      <c r="F878">
        <v>0</v>
      </c>
      <c r="G878">
        <v>0</v>
      </c>
      <c r="H878">
        <v>30.77</v>
      </c>
      <c r="I878">
        <v>2.5000000000000001E-3</v>
      </c>
      <c r="J878">
        <v>33.82</v>
      </c>
      <c r="K878">
        <v>0</v>
      </c>
      <c r="L878">
        <v>2.5999999999999999E-2</v>
      </c>
      <c r="M878">
        <v>9.2499999999999999E-2</v>
      </c>
      <c r="N878">
        <v>99.862700000000004</v>
      </c>
      <c r="O878" t="s">
        <v>273</v>
      </c>
      <c r="P878" t="s">
        <v>102</v>
      </c>
      <c r="Q878">
        <f>I878-(K878*Standards!$I$15)</f>
        <v>2.5000000000000001E-3</v>
      </c>
    </row>
    <row r="879" spans="1:17">
      <c r="A879">
        <v>20</v>
      </c>
      <c r="B879">
        <v>1.55E-2</v>
      </c>
      <c r="C879">
        <v>0</v>
      </c>
      <c r="D879">
        <v>35</v>
      </c>
      <c r="E879">
        <v>0</v>
      </c>
      <c r="F879">
        <v>0</v>
      </c>
      <c r="G879">
        <v>0</v>
      </c>
      <c r="H879">
        <v>30.6</v>
      </c>
      <c r="I879">
        <v>1.6899999999999998E-2</v>
      </c>
      <c r="J879">
        <v>33.69</v>
      </c>
      <c r="K879">
        <v>0</v>
      </c>
      <c r="L879">
        <v>5.3800000000000001E-2</v>
      </c>
      <c r="M879">
        <v>0.10489999999999999</v>
      </c>
      <c r="N879">
        <v>99.481200000000001</v>
      </c>
      <c r="O879" t="s">
        <v>273</v>
      </c>
      <c r="P879" t="s">
        <v>102</v>
      </c>
      <c r="Q879">
        <f>I879-(K879*Standards!$I$15)</f>
        <v>1.6899999999999998E-2</v>
      </c>
    </row>
    <row r="880" spans="1:17">
      <c r="A880">
        <v>100</v>
      </c>
      <c r="B880">
        <v>1.9E-2</v>
      </c>
      <c r="C880">
        <v>0</v>
      </c>
      <c r="D880">
        <v>35.35</v>
      </c>
      <c r="E880">
        <v>8.5199999999999998E-2</v>
      </c>
      <c r="F880">
        <v>0</v>
      </c>
      <c r="G880">
        <v>0</v>
      </c>
      <c r="H880">
        <v>32.119999999999997</v>
      </c>
      <c r="I880">
        <v>0</v>
      </c>
      <c r="J880">
        <v>31.93</v>
      </c>
      <c r="K880">
        <v>0</v>
      </c>
      <c r="L880">
        <v>4.3200000000000002E-2</v>
      </c>
      <c r="M880">
        <v>0.1128</v>
      </c>
      <c r="N880">
        <v>99.660300000000007</v>
      </c>
      <c r="O880" t="s">
        <v>273</v>
      </c>
      <c r="P880" t="s">
        <v>102</v>
      </c>
      <c r="Q880">
        <f>I880-(K880*Standards!$I$15)</f>
        <v>0</v>
      </c>
    </row>
    <row r="881" spans="1:17">
      <c r="A881">
        <v>54</v>
      </c>
      <c r="B881">
        <v>2.2100000000000002E-2</v>
      </c>
      <c r="C881">
        <v>0</v>
      </c>
      <c r="D881">
        <v>35.159999999999997</v>
      </c>
      <c r="E881">
        <v>0</v>
      </c>
      <c r="F881">
        <v>0</v>
      </c>
      <c r="G881">
        <v>0</v>
      </c>
      <c r="H881">
        <v>30.23</v>
      </c>
      <c r="I881">
        <v>6.1999999999999998E-3</v>
      </c>
      <c r="J881">
        <v>34.24</v>
      </c>
      <c r="K881">
        <v>0</v>
      </c>
      <c r="L881">
        <v>4.0399999999999998E-2</v>
      </c>
      <c r="M881">
        <v>0.13600000000000001</v>
      </c>
      <c r="N881">
        <v>99.834699999999998</v>
      </c>
      <c r="O881" t="s">
        <v>274</v>
      </c>
      <c r="P881" t="s">
        <v>102</v>
      </c>
      <c r="Q881">
        <f>I881-(K881*Standards!$I$15)</f>
        <v>6.1999999999999998E-3</v>
      </c>
    </row>
    <row r="882" spans="1:17">
      <c r="A882">
        <v>53</v>
      </c>
      <c r="B882">
        <v>3.2099999999999997E-2</v>
      </c>
      <c r="C882">
        <v>0</v>
      </c>
      <c r="D882">
        <v>35.090000000000003</v>
      </c>
      <c r="E882">
        <v>1.1000000000000001E-3</v>
      </c>
      <c r="F882">
        <v>0</v>
      </c>
      <c r="G882">
        <v>0</v>
      </c>
      <c r="H882">
        <v>30.69</v>
      </c>
      <c r="I882">
        <v>5.5999999999999999E-3</v>
      </c>
      <c r="J882">
        <v>34.01</v>
      </c>
      <c r="K882">
        <v>0</v>
      </c>
      <c r="L882">
        <v>4.3299999999999998E-2</v>
      </c>
      <c r="M882">
        <v>0.1024</v>
      </c>
      <c r="N882">
        <v>99.974500000000006</v>
      </c>
      <c r="O882" t="s">
        <v>274</v>
      </c>
      <c r="P882" t="s">
        <v>102</v>
      </c>
      <c r="Q882">
        <f>I882-(K882*Standards!$I$15)</f>
        <v>5.5999999999999999E-3</v>
      </c>
    </row>
    <row r="883" spans="1:17">
      <c r="A883">
        <v>65</v>
      </c>
      <c r="B883">
        <v>0</v>
      </c>
      <c r="C883">
        <v>0</v>
      </c>
      <c r="D883">
        <v>35.299999999999997</v>
      </c>
      <c r="E883">
        <v>0</v>
      </c>
      <c r="F883">
        <v>0</v>
      </c>
      <c r="G883">
        <v>0</v>
      </c>
      <c r="H883">
        <v>30.6</v>
      </c>
      <c r="I883">
        <v>4.9299999999999997E-2</v>
      </c>
      <c r="J883">
        <v>34.549999999999997</v>
      </c>
      <c r="K883">
        <v>0</v>
      </c>
      <c r="L883">
        <v>6.8199999999999997E-2</v>
      </c>
      <c r="M883">
        <v>0.13270000000000001</v>
      </c>
      <c r="N883">
        <v>100.70010000000001</v>
      </c>
      <c r="O883" t="s">
        <v>275</v>
      </c>
      <c r="P883" t="s">
        <v>102</v>
      </c>
      <c r="Q883">
        <f>I883-(K883*Standards!$I$15)</f>
        <v>4.9299999999999997E-2</v>
      </c>
    </row>
    <row r="884" spans="1:17">
      <c r="A884">
        <v>71</v>
      </c>
      <c r="B884">
        <v>0</v>
      </c>
      <c r="C884">
        <v>0</v>
      </c>
      <c r="D884">
        <v>35.270000000000003</v>
      </c>
      <c r="E884">
        <v>0</v>
      </c>
      <c r="F884">
        <v>0</v>
      </c>
      <c r="G884">
        <v>0</v>
      </c>
      <c r="H884">
        <v>30.75</v>
      </c>
      <c r="I884">
        <v>2.6800000000000001E-2</v>
      </c>
      <c r="J884">
        <v>34.51</v>
      </c>
      <c r="K884">
        <v>0</v>
      </c>
      <c r="L884">
        <v>4.9799999999999997E-2</v>
      </c>
      <c r="M884">
        <v>0.1173</v>
      </c>
      <c r="N884">
        <v>100.7239</v>
      </c>
      <c r="O884" t="s">
        <v>275</v>
      </c>
      <c r="P884" t="s">
        <v>102</v>
      </c>
      <c r="Q884">
        <f>I884-(K884*Standards!$I$15)</f>
        <v>2.6800000000000001E-2</v>
      </c>
    </row>
    <row r="885" spans="1:17">
      <c r="A885">
        <v>68</v>
      </c>
      <c r="B885">
        <v>0</v>
      </c>
      <c r="C885">
        <v>0</v>
      </c>
      <c r="D885">
        <v>35.409999999999997</v>
      </c>
      <c r="E885">
        <v>0</v>
      </c>
      <c r="F885">
        <v>0</v>
      </c>
      <c r="G885">
        <v>0</v>
      </c>
      <c r="H885">
        <v>30.39</v>
      </c>
      <c r="I885">
        <v>3.6600000000000001E-2</v>
      </c>
      <c r="J885">
        <v>34.4</v>
      </c>
      <c r="K885">
        <v>0</v>
      </c>
      <c r="L885">
        <v>2.69E-2</v>
      </c>
      <c r="M885">
        <v>0.1235</v>
      </c>
      <c r="N885">
        <v>100.3869</v>
      </c>
      <c r="O885" t="s">
        <v>275</v>
      </c>
      <c r="P885" t="s">
        <v>102</v>
      </c>
      <c r="Q885">
        <f>I885-(K885*Standards!$I$15)</f>
        <v>3.6600000000000001E-2</v>
      </c>
    </row>
    <row r="886" spans="1:17">
      <c r="A886">
        <v>69</v>
      </c>
      <c r="B886">
        <v>2.9999999999999997E-4</v>
      </c>
      <c r="C886">
        <v>0</v>
      </c>
      <c r="D886">
        <v>35.22</v>
      </c>
      <c r="E886">
        <v>4.3799999999999999E-2</v>
      </c>
      <c r="F886">
        <v>0</v>
      </c>
      <c r="G886">
        <v>0</v>
      </c>
      <c r="H886">
        <v>30.65</v>
      </c>
      <c r="I886">
        <v>3.95E-2</v>
      </c>
      <c r="J886">
        <v>34.4</v>
      </c>
      <c r="K886">
        <v>0</v>
      </c>
      <c r="L886">
        <v>4.2200000000000001E-2</v>
      </c>
      <c r="M886">
        <v>0.11409999999999999</v>
      </c>
      <c r="N886">
        <v>100.5098</v>
      </c>
      <c r="O886" t="s">
        <v>275</v>
      </c>
      <c r="P886" t="s">
        <v>102</v>
      </c>
      <c r="Q886">
        <f>I886-(K886*Standards!$I$15)</f>
        <v>3.95E-2</v>
      </c>
    </row>
    <row r="887" spans="1:17">
      <c r="A887">
        <v>49</v>
      </c>
      <c r="B887">
        <v>8.0000000000000004E-4</v>
      </c>
      <c r="C887">
        <v>0</v>
      </c>
      <c r="D887">
        <v>35.39</v>
      </c>
      <c r="E887">
        <v>0</v>
      </c>
      <c r="F887">
        <v>0</v>
      </c>
      <c r="G887">
        <v>0</v>
      </c>
      <c r="H887">
        <v>30.68</v>
      </c>
      <c r="I887">
        <v>2.6599999999999999E-2</v>
      </c>
      <c r="J887">
        <v>34.340000000000003</v>
      </c>
      <c r="K887">
        <v>0</v>
      </c>
      <c r="L887">
        <v>4.7100000000000003E-2</v>
      </c>
      <c r="M887">
        <v>0.13600000000000001</v>
      </c>
      <c r="N887">
        <v>100.62050000000001</v>
      </c>
      <c r="O887" t="s">
        <v>275</v>
      </c>
      <c r="P887" t="s">
        <v>102</v>
      </c>
      <c r="Q887">
        <f>I887-(K887*Standards!$I$15)</f>
        <v>2.6599999999999999E-2</v>
      </c>
    </row>
    <row r="888" spans="1:17">
      <c r="A888">
        <v>70</v>
      </c>
      <c r="B888">
        <v>0</v>
      </c>
      <c r="C888">
        <v>0</v>
      </c>
      <c r="D888">
        <v>35.229999999999997</v>
      </c>
      <c r="E888">
        <v>0</v>
      </c>
      <c r="F888">
        <v>0</v>
      </c>
      <c r="G888">
        <v>5.0000000000000001E-4</v>
      </c>
      <c r="H888">
        <v>30.68</v>
      </c>
      <c r="I888">
        <v>5.0099999999999999E-2</v>
      </c>
      <c r="J888">
        <v>34.340000000000003</v>
      </c>
      <c r="K888">
        <v>0</v>
      </c>
      <c r="L888">
        <v>5.4699999999999999E-2</v>
      </c>
      <c r="M888">
        <v>0.1032</v>
      </c>
      <c r="N888">
        <v>100.4585</v>
      </c>
      <c r="O888" t="s">
        <v>275</v>
      </c>
      <c r="P888" t="s">
        <v>102</v>
      </c>
      <c r="Q888">
        <f>I888-(K888*Standards!$I$15)</f>
        <v>5.0099999999999999E-2</v>
      </c>
    </row>
    <row r="889" spans="1:17">
      <c r="A889">
        <v>66</v>
      </c>
      <c r="B889">
        <v>0</v>
      </c>
      <c r="C889">
        <v>0</v>
      </c>
      <c r="D889">
        <v>35.4</v>
      </c>
      <c r="E889">
        <v>7.9000000000000008E-3</v>
      </c>
      <c r="F889">
        <v>0</v>
      </c>
      <c r="G889">
        <v>0</v>
      </c>
      <c r="H889">
        <v>30.47</v>
      </c>
      <c r="I889">
        <v>5.9499999999999997E-2</v>
      </c>
      <c r="J889">
        <v>34.31</v>
      </c>
      <c r="K889">
        <v>0</v>
      </c>
      <c r="L889">
        <v>3.1699999999999999E-2</v>
      </c>
      <c r="M889">
        <v>0.1033</v>
      </c>
      <c r="N889">
        <v>100.3824</v>
      </c>
      <c r="O889" t="s">
        <v>275</v>
      </c>
      <c r="P889" t="s">
        <v>102</v>
      </c>
      <c r="Q889">
        <f>I889-(K889*Standards!$I$15)</f>
        <v>5.9499999999999997E-2</v>
      </c>
    </row>
    <row r="890" spans="1:17">
      <c r="A890">
        <v>67</v>
      </c>
      <c r="B890">
        <v>1.55E-2</v>
      </c>
      <c r="C890">
        <v>0</v>
      </c>
      <c r="D890">
        <v>35.369999999999997</v>
      </c>
      <c r="E890">
        <v>0</v>
      </c>
      <c r="F890">
        <v>0</v>
      </c>
      <c r="G890">
        <v>0</v>
      </c>
      <c r="H890">
        <v>30.35</v>
      </c>
      <c r="I890">
        <v>6.4699999999999994E-2</v>
      </c>
      <c r="J890">
        <v>33.58</v>
      </c>
      <c r="K890">
        <v>0</v>
      </c>
      <c r="L890">
        <v>0</v>
      </c>
      <c r="M890">
        <v>0.1157</v>
      </c>
      <c r="N890">
        <v>99.495900000000006</v>
      </c>
      <c r="O890" t="s">
        <v>275</v>
      </c>
      <c r="P890" t="s">
        <v>102</v>
      </c>
      <c r="Q890">
        <f>I890-(K890*Standards!$I$15)</f>
        <v>6.4699999999999994E-2</v>
      </c>
    </row>
    <row r="891" spans="1:17">
      <c r="A891">
        <v>21</v>
      </c>
      <c r="B891">
        <v>5.0000000000000001E-4</v>
      </c>
      <c r="C891">
        <v>0</v>
      </c>
      <c r="D891">
        <v>35.25</v>
      </c>
      <c r="E891">
        <v>1.2200000000000001E-2</v>
      </c>
      <c r="F891">
        <v>0</v>
      </c>
      <c r="G891">
        <v>0</v>
      </c>
      <c r="H891">
        <v>30.75</v>
      </c>
      <c r="I891">
        <v>2.58E-2</v>
      </c>
      <c r="J891">
        <v>34.22</v>
      </c>
      <c r="K891">
        <v>0</v>
      </c>
      <c r="L891">
        <v>1.8700000000000001E-2</v>
      </c>
      <c r="M891">
        <v>0.1081</v>
      </c>
      <c r="N891">
        <v>100.3852</v>
      </c>
      <c r="O891" t="s">
        <v>276</v>
      </c>
      <c r="P891" t="s">
        <v>102</v>
      </c>
      <c r="Q891">
        <f>I891-(K891*Standards!$I$15)</f>
        <v>2.58E-2</v>
      </c>
    </row>
    <row r="892" spans="1:17">
      <c r="A892">
        <v>15</v>
      </c>
      <c r="B892">
        <v>0</v>
      </c>
      <c r="C892">
        <v>0</v>
      </c>
      <c r="D892">
        <v>35.270000000000003</v>
      </c>
      <c r="E892">
        <v>7.4000000000000003E-3</v>
      </c>
      <c r="F892">
        <v>0</v>
      </c>
      <c r="G892">
        <v>0</v>
      </c>
      <c r="H892">
        <v>30.92</v>
      </c>
      <c r="I892">
        <v>2.6499999999999999E-2</v>
      </c>
      <c r="J892">
        <v>34.28</v>
      </c>
      <c r="K892">
        <v>0</v>
      </c>
      <c r="L892">
        <v>3.9199999999999999E-2</v>
      </c>
      <c r="M892">
        <v>0.127</v>
      </c>
      <c r="N892">
        <v>100.67</v>
      </c>
      <c r="O892" t="s">
        <v>276</v>
      </c>
      <c r="P892" t="s">
        <v>102</v>
      </c>
      <c r="Q892">
        <f>I892-(K892*Standards!$I$15)</f>
        <v>2.6499999999999999E-2</v>
      </c>
    </row>
    <row r="893" spans="1:17">
      <c r="A893">
        <v>13</v>
      </c>
      <c r="B893">
        <v>0</v>
      </c>
      <c r="C893">
        <v>0</v>
      </c>
      <c r="D893">
        <v>35.32</v>
      </c>
      <c r="E893">
        <v>0</v>
      </c>
      <c r="F893">
        <v>0</v>
      </c>
      <c r="G893">
        <v>0</v>
      </c>
      <c r="H893">
        <v>31.02</v>
      </c>
      <c r="I893">
        <v>2.9600000000000001E-2</v>
      </c>
      <c r="J893">
        <v>34.29</v>
      </c>
      <c r="K893">
        <v>0</v>
      </c>
      <c r="L893">
        <v>1.6400000000000001E-2</v>
      </c>
      <c r="M893">
        <v>0.12139999999999999</v>
      </c>
      <c r="N893">
        <v>100.79730000000001</v>
      </c>
      <c r="O893" t="s">
        <v>276</v>
      </c>
      <c r="P893" t="s">
        <v>102</v>
      </c>
      <c r="Q893">
        <f>I893-(K893*Standards!$I$15)</f>
        <v>2.9600000000000001E-2</v>
      </c>
    </row>
    <row r="894" spans="1:17">
      <c r="A894">
        <v>4</v>
      </c>
      <c r="B894">
        <v>0</v>
      </c>
      <c r="C894">
        <v>0</v>
      </c>
      <c r="D894">
        <v>35.130000000000003</v>
      </c>
      <c r="E894">
        <v>3.8999999999999998E-3</v>
      </c>
      <c r="F894">
        <v>0</v>
      </c>
      <c r="G894">
        <v>0</v>
      </c>
      <c r="H894">
        <v>30.37</v>
      </c>
      <c r="I894">
        <v>2.35E-2</v>
      </c>
      <c r="J894">
        <v>34.29</v>
      </c>
      <c r="K894">
        <v>0</v>
      </c>
      <c r="L894">
        <v>4.3700000000000003E-2</v>
      </c>
      <c r="M894">
        <v>0.1454</v>
      </c>
      <c r="N894">
        <v>100.0064</v>
      </c>
      <c r="O894" t="s">
        <v>276</v>
      </c>
      <c r="P894" t="s">
        <v>102</v>
      </c>
      <c r="Q894">
        <f>I894-(K894*Standards!$I$15)</f>
        <v>2.35E-2</v>
      </c>
    </row>
    <row r="895" spans="1:17">
      <c r="A895">
        <v>22</v>
      </c>
      <c r="B895">
        <v>0</v>
      </c>
      <c r="C895">
        <v>0</v>
      </c>
      <c r="D895">
        <v>35.43</v>
      </c>
      <c r="E895">
        <v>4.1000000000000003E-3</v>
      </c>
      <c r="F895">
        <v>0</v>
      </c>
      <c r="G895">
        <v>0</v>
      </c>
      <c r="H895">
        <v>30.92</v>
      </c>
      <c r="I895">
        <v>2.3800000000000002E-2</v>
      </c>
      <c r="J895">
        <v>34.299999999999997</v>
      </c>
      <c r="K895">
        <v>0</v>
      </c>
      <c r="L895">
        <v>4.5999999999999999E-2</v>
      </c>
      <c r="M895">
        <v>0.1328</v>
      </c>
      <c r="N895">
        <v>100.8566</v>
      </c>
      <c r="O895" t="s">
        <v>276</v>
      </c>
      <c r="P895" t="s">
        <v>102</v>
      </c>
      <c r="Q895">
        <f>I895-(K895*Standards!$I$15)</f>
        <v>2.3800000000000002E-2</v>
      </c>
    </row>
    <row r="896" spans="1:17">
      <c r="A896">
        <v>1</v>
      </c>
      <c r="B896">
        <v>0</v>
      </c>
      <c r="C896">
        <v>0</v>
      </c>
      <c r="D896">
        <v>35.33</v>
      </c>
      <c r="E896">
        <v>7.6E-3</v>
      </c>
      <c r="F896">
        <v>0</v>
      </c>
      <c r="G896">
        <v>0</v>
      </c>
      <c r="H896">
        <v>30.74</v>
      </c>
      <c r="I896">
        <v>2.29E-2</v>
      </c>
      <c r="J896">
        <v>34.299999999999997</v>
      </c>
      <c r="K896">
        <v>0</v>
      </c>
      <c r="L896">
        <v>5.5300000000000002E-2</v>
      </c>
      <c r="M896">
        <v>0.13220000000000001</v>
      </c>
      <c r="N896">
        <v>100.5879</v>
      </c>
      <c r="O896" t="s">
        <v>276</v>
      </c>
      <c r="P896" t="s">
        <v>102</v>
      </c>
      <c r="Q896">
        <f>I896-(K896*Standards!$I$15)</f>
        <v>2.29E-2</v>
      </c>
    </row>
    <row r="897" spans="1:17">
      <c r="A897">
        <v>12</v>
      </c>
      <c r="B897">
        <v>0</v>
      </c>
      <c r="C897">
        <v>0</v>
      </c>
      <c r="D897">
        <v>35.409999999999997</v>
      </c>
      <c r="E897">
        <v>6.3E-3</v>
      </c>
      <c r="F897">
        <v>0</v>
      </c>
      <c r="G897">
        <v>0</v>
      </c>
      <c r="H897">
        <v>30.79</v>
      </c>
      <c r="I897">
        <v>2.7799999999999998E-2</v>
      </c>
      <c r="J897">
        <v>34.31</v>
      </c>
      <c r="K897">
        <v>0</v>
      </c>
      <c r="L897">
        <v>4.5400000000000003E-2</v>
      </c>
      <c r="M897">
        <v>0.13950000000000001</v>
      </c>
      <c r="N897">
        <v>100.729</v>
      </c>
      <c r="O897" t="s">
        <v>276</v>
      </c>
      <c r="P897" t="s">
        <v>102</v>
      </c>
      <c r="Q897">
        <f>I897-(K897*Standards!$I$15)</f>
        <v>2.7799999999999998E-2</v>
      </c>
    </row>
    <row r="898" spans="1:17">
      <c r="A898">
        <v>14</v>
      </c>
      <c r="B898">
        <v>0</v>
      </c>
      <c r="C898">
        <v>0</v>
      </c>
      <c r="D898">
        <v>35.32</v>
      </c>
      <c r="E898">
        <v>7.7999999999999996E-3</v>
      </c>
      <c r="F898">
        <v>0</v>
      </c>
      <c r="G898">
        <v>6.9999999999999999E-4</v>
      </c>
      <c r="H898">
        <v>31.03</v>
      </c>
      <c r="I898">
        <v>1.6799999999999999E-2</v>
      </c>
      <c r="J898">
        <v>34.340000000000003</v>
      </c>
      <c r="K898">
        <v>0</v>
      </c>
      <c r="L898">
        <v>4.4200000000000003E-2</v>
      </c>
      <c r="M898">
        <v>0.1578</v>
      </c>
      <c r="N898">
        <v>100.91719999999999</v>
      </c>
      <c r="O898" t="s">
        <v>276</v>
      </c>
      <c r="P898" t="s">
        <v>102</v>
      </c>
      <c r="Q898">
        <f>I898-(K898*Standards!$I$15)</f>
        <v>1.6799999999999999E-2</v>
      </c>
    </row>
    <row r="899" spans="1:17">
      <c r="A899">
        <v>25</v>
      </c>
      <c r="B899">
        <v>8.0000000000000004E-4</v>
      </c>
      <c r="C899">
        <v>0</v>
      </c>
      <c r="D899">
        <v>35.229999999999997</v>
      </c>
      <c r="E899">
        <v>0</v>
      </c>
      <c r="F899">
        <v>0</v>
      </c>
      <c r="G899">
        <v>0</v>
      </c>
      <c r="H899">
        <v>30.91</v>
      </c>
      <c r="I899">
        <v>1.9699999999999999E-2</v>
      </c>
      <c r="J899">
        <v>34.409999999999997</v>
      </c>
      <c r="K899">
        <v>0</v>
      </c>
      <c r="L899">
        <v>3.9600000000000003E-2</v>
      </c>
      <c r="M899">
        <v>0.1089</v>
      </c>
      <c r="N899">
        <v>100.7189</v>
      </c>
      <c r="O899" t="s">
        <v>276</v>
      </c>
      <c r="P899" t="s">
        <v>102</v>
      </c>
      <c r="Q899">
        <f>I899-(K899*Standards!$I$15)</f>
        <v>1.9699999999999999E-2</v>
      </c>
    </row>
    <row r="900" spans="1:17">
      <c r="A900">
        <v>23</v>
      </c>
      <c r="B900">
        <v>0</v>
      </c>
      <c r="C900">
        <v>0</v>
      </c>
      <c r="D900">
        <v>35.24</v>
      </c>
      <c r="E900">
        <v>5.3E-3</v>
      </c>
      <c r="F900">
        <v>0</v>
      </c>
      <c r="G900">
        <v>0</v>
      </c>
      <c r="H900">
        <v>30.87</v>
      </c>
      <c r="I900">
        <v>2.52E-2</v>
      </c>
      <c r="J900">
        <v>34.43</v>
      </c>
      <c r="K900">
        <v>0</v>
      </c>
      <c r="L900">
        <v>2.9499999999999998E-2</v>
      </c>
      <c r="M900">
        <v>0.1057</v>
      </c>
      <c r="N900">
        <v>100.70569999999999</v>
      </c>
      <c r="O900" t="s">
        <v>276</v>
      </c>
      <c r="P900" t="s">
        <v>102</v>
      </c>
      <c r="Q900">
        <f>I900-(K900*Standards!$I$15)</f>
        <v>2.52E-2</v>
      </c>
    </row>
    <row r="901" spans="1:17">
      <c r="A901">
        <v>11</v>
      </c>
      <c r="B901">
        <v>0</v>
      </c>
      <c r="C901">
        <v>0</v>
      </c>
      <c r="D901">
        <v>35.33</v>
      </c>
      <c r="E901">
        <v>0</v>
      </c>
      <c r="F901">
        <v>0</v>
      </c>
      <c r="G901">
        <v>0</v>
      </c>
      <c r="H901">
        <v>30.87</v>
      </c>
      <c r="I901">
        <v>2.4E-2</v>
      </c>
      <c r="J901">
        <v>34.44</v>
      </c>
      <c r="K901">
        <v>0</v>
      </c>
      <c r="L901">
        <v>5.5E-2</v>
      </c>
      <c r="M901">
        <v>0.1331</v>
      </c>
      <c r="N901">
        <v>100.85209999999999</v>
      </c>
      <c r="O901" t="s">
        <v>276</v>
      </c>
      <c r="P901" t="s">
        <v>102</v>
      </c>
      <c r="Q901">
        <f>I901-(K901*Standards!$I$15)</f>
        <v>2.4E-2</v>
      </c>
    </row>
    <row r="902" spans="1:17">
      <c r="A902">
        <v>3</v>
      </c>
      <c r="B902">
        <v>0</v>
      </c>
      <c r="C902">
        <v>0</v>
      </c>
      <c r="D902">
        <v>35.340000000000003</v>
      </c>
      <c r="E902">
        <v>4.5999999999999999E-3</v>
      </c>
      <c r="F902">
        <v>0</v>
      </c>
      <c r="G902">
        <v>0</v>
      </c>
      <c r="H902">
        <v>30.63</v>
      </c>
      <c r="I902">
        <v>2.24E-2</v>
      </c>
      <c r="J902">
        <v>34.46</v>
      </c>
      <c r="K902">
        <v>0</v>
      </c>
      <c r="L902">
        <v>4.3799999999999999E-2</v>
      </c>
      <c r="M902">
        <v>0.14929999999999999</v>
      </c>
      <c r="N902">
        <v>100.65</v>
      </c>
      <c r="O902" t="s">
        <v>276</v>
      </c>
      <c r="P902" t="s">
        <v>102</v>
      </c>
      <c r="Q902">
        <f>I902-(K902*Standards!$I$15)</f>
        <v>2.24E-2</v>
      </c>
    </row>
    <row r="903" spans="1:17">
      <c r="A903">
        <v>5</v>
      </c>
      <c r="B903">
        <v>0</v>
      </c>
      <c r="C903">
        <v>0</v>
      </c>
      <c r="D903">
        <v>35.299999999999997</v>
      </c>
      <c r="E903">
        <v>2.5000000000000001E-3</v>
      </c>
      <c r="F903">
        <v>0</v>
      </c>
      <c r="G903">
        <v>0</v>
      </c>
      <c r="H903">
        <v>30.66</v>
      </c>
      <c r="I903">
        <v>1.43E-2</v>
      </c>
      <c r="J903">
        <v>34.47</v>
      </c>
      <c r="K903">
        <v>0</v>
      </c>
      <c r="L903">
        <v>3.5200000000000002E-2</v>
      </c>
      <c r="M903">
        <v>0.12659999999999999</v>
      </c>
      <c r="N903">
        <v>100.60850000000001</v>
      </c>
      <c r="O903" t="s">
        <v>276</v>
      </c>
      <c r="P903" t="s">
        <v>102</v>
      </c>
      <c r="Q903">
        <f>I903-(K903*Standards!$I$15)</f>
        <v>1.43E-2</v>
      </c>
    </row>
    <row r="904" spans="1:17">
      <c r="A904">
        <v>2</v>
      </c>
      <c r="B904">
        <v>3.2000000000000002E-3</v>
      </c>
      <c r="C904">
        <v>0</v>
      </c>
      <c r="D904">
        <v>35.43</v>
      </c>
      <c r="E904">
        <v>0</v>
      </c>
      <c r="F904">
        <v>0</v>
      </c>
      <c r="G904">
        <v>0</v>
      </c>
      <c r="H904">
        <v>30.66</v>
      </c>
      <c r="I904">
        <v>2.01E-2</v>
      </c>
      <c r="J904">
        <v>34.479999999999997</v>
      </c>
      <c r="K904">
        <v>0</v>
      </c>
      <c r="L904">
        <v>3.9800000000000002E-2</v>
      </c>
      <c r="M904">
        <v>0.1497</v>
      </c>
      <c r="N904">
        <v>100.78279999999999</v>
      </c>
      <c r="O904" t="s">
        <v>276</v>
      </c>
      <c r="P904" t="s">
        <v>102</v>
      </c>
      <c r="Q904">
        <f>I904-(K904*Standards!$I$15)</f>
        <v>2.01E-2</v>
      </c>
    </row>
    <row r="905" spans="1:17">
      <c r="A905">
        <v>18</v>
      </c>
      <c r="B905">
        <v>0</v>
      </c>
      <c r="C905">
        <v>0</v>
      </c>
      <c r="D905">
        <v>35.340000000000003</v>
      </c>
      <c r="E905">
        <v>0</v>
      </c>
      <c r="F905">
        <v>0</v>
      </c>
      <c r="G905">
        <v>6.0000000000000001E-3</v>
      </c>
      <c r="H905">
        <v>30.65</v>
      </c>
      <c r="I905">
        <v>2.87E-2</v>
      </c>
      <c r="J905">
        <v>34.51</v>
      </c>
      <c r="K905">
        <v>0</v>
      </c>
      <c r="L905">
        <v>2.4299999999999999E-2</v>
      </c>
      <c r="M905">
        <v>0.1147</v>
      </c>
      <c r="N905">
        <v>100.67359999999999</v>
      </c>
      <c r="O905" t="s">
        <v>276</v>
      </c>
      <c r="P905" t="s">
        <v>102</v>
      </c>
      <c r="Q905">
        <f>I905-(K905*Standards!$I$15)</f>
        <v>2.87E-2</v>
      </c>
    </row>
    <row r="906" spans="1:17">
      <c r="A906">
        <v>17</v>
      </c>
      <c r="B906">
        <v>1E-3</v>
      </c>
      <c r="C906">
        <v>0</v>
      </c>
      <c r="D906">
        <v>35.479999999999997</v>
      </c>
      <c r="E906">
        <v>2.0999999999999999E-3</v>
      </c>
      <c r="F906">
        <v>0</v>
      </c>
      <c r="G906">
        <v>0</v>
      </c>
      <c r="H906">
        <v>30.84</v>
      </c>
      <c r="I906">
        <v>2.5999999999999999E-2</v>
      </c>
      <c r="J906">
        <v>34.51</v>
      </c>
      <c r="K906">
        <v>0</v>
      </c>
      <c r="L906">
        <v>4.2799999999999998E-2</v>
      </c>
      <c r="M906">
        <v>0.13589999999999999</v>
      </c>
      <c r="N906">
        <v>101.0378</v>
      </c>
      <c r="O906" t="s">
        <v>276</v>
      </c>
      <c r="P906" t="s">
        <v>102</v>
      </c>
      <c r="Q906">
        <f>I906-(K906*Standards!$I$15)</f>
        <v>2.5999999999999999E-2</v>
      </c>
    </row>
    <row r="907" spans="1:17">
      <c r="A907">
        <v>19</v>
      </c>
      <c r="B907">
        <v>0</v>
      </c>
      <c r="C907">
        <v>0</v>
      </c>
      <c r="D907">
        <v>35.29</v>
      </c>
      <c r="E907">
        <v>0</v>
      </c>
      <c r="F907">
        <v>0</v>
      </c>
      <c r="G907">
        <v>0</v>
      </c>
      <c r="H907">
        <v>30.4</v>
      </c>
      <c r="I907">
        <v>2.3699999999999999E-2</v>
      </c>
      <c r="J907">
        <v>34.549999999999997</v>
      </c>
      <c r="K907">
        <v>0</v>
      </c>
      <c r="L907">
        <v>4.4200000000000003E-2</v>
      </c>
      <c r="M907">
        <v>0.1007</v>
      </c>
      <c r="N907">
        <v>100.4085</v>
      </c>
      <c r="O907" t="s">
        <v>276</v>
      </c>
      <c r="P907" t="s">
        <v>102</v>
      </c>
      <c r="Q907">
        <f>I907-(K907*Standards!$I$15)</f>
        <v>2.3699999999999999E-2</v>
      </c>
    </row>
    <row r="908" spans="1:17">
      <c r="A908">
        <v>24</v>
      </c>
      <c r="B908">
        <v>0</v>
      </c>
      <c r="C908">
        <v>0</v>
      </c>
      <c r="D908">
        <v>35.14</v>
      </c>
      <c r="E908">
        <v>0</v>
      </c>
      <c r="F908">
        <v>0</v>
      </c>
      <c r="G908">
        <v>1E-3</v>
      </c>
      <c r="H908">
        <v>30.85</v>
      </c>
      <c r="I908">
        <v>1.78E-2</v>
      </c>
      <c r="J908">
        <v>34.57</v>
      </c>
      <c r="K908">
        <v>0</v>
      </c>
      <c r="L908">
        <v>3.7699999999999997E-2</v>
      </c>
      <c r="M908">
        <v>9.2700000000000005E-2</v>
      </c>
      <c r="N908">
        <v>100.70910000000001</v>
      </c>
      <c r="O908" t="s">
        <v>276</v>
      </c>
      <c r="P908" t="s">
        <v>102</v>
      </c>
      <c r="Q908">
        <f>I908-(K908*Standards!$I$15)</f>
        <v>1.78E-2</v>
      </c>
    </row>
    <row r="909" spans="1:17">
      <c r="A909">
        <v>20</v>
      </c>
      <c r="B909">
        <v>8.9999999999999993E-3</v>
      </c>
      <c r="C909">
        <v>0</v>
      </c>
      <c r="D909">
        <v>35.32</v>
      </c>
      <c r="E909">
        <v>4.1000000000000003E-3</v>
      </c>
      <c r="F909">
        <v>0</v>
      </c>
      <c r="G909">
        <v>0</v>
      </c>
      <c r="H909">
        <v>30.7</v>
      </c>
      <c r="I909">
        <v>2.58E-2</v>
      </c>
      <c r="J909">
        <v>34.619999999999997</v>
      </c>
      <c r="K909">
        <v>0</v>
      </c>
      <c r="L909">
        <v>5.2400000000000002E-2</v>
      </c>
      <c r="M909">
        <v>0.1268</v>
      </c>
      <c r="N909">
        <v>100.858</v>
      </c>
      <c r="O909" t="s">
        <v>276</v>
      </c>
      <c r="P909" t="s">
        <v>102</v>
      </c>
      <c r="Q909">
        <f>I909-(K909*Standards!$I$15)</f>
        <v>2.58E-2</v>
      </c>
    </row>
    <row r="910" spans="1:17">
      <c r="A910">
        <v>16</v>
      </c>
      <c r="B910">
        <v>0</v>
      </c>
      <c r="C910">
        <v>0</v>
      </c>
      <c r="D910">
        <v>35.17</v>
      </c>
      <c r="E910">
        <v>5.4999999999999997E-3</v>
      </c>
      <c r="F910">
        <v>0</v>
      </c>
      <c r="G910">
        <v>0</v>
      </c>
      <c r="H910">
        <v>29.53</v>
      </c>
      <c r="I910">
        <v>2.6599999999999999E-2</v>
      </c>
      <c r="J910">
        <v>34.700000000000003</v>
      </c>
      <c r="K910">
        <v>0</v>
      </c>
      <c r="L910">
        <v>4.2500000000000003E-2</v>
      </c>
      <c r="M910">
        <v>0.1212</v>
      </c>
      <c r="N910">
        <v>99.5959</v>
      </c>
      <c r="O910" t="s">
        <v>276</v>
      </c>
      <c r="P910" t="s">
        <v>102</v>
      </c>
      <c r="Q910">
        <f>I910-(K910*Standards!$I$15)</f>
        <v>2.6599999999999999E-2</v>
      </c>
    </row>
    <row r="911" spans="1:17">
      <c r="A911">
        <v>107</v>
      </c>
      <c r="B911">
        <v>3.2000000000000002E-3</v>
      </c>
      <c r="C911">
        <v>0</v>
      </c>
      <c r="D911">
        <v>35.58</v>
      </c>
      <c r="E911">
        <v>0</v>
      </c>
      <c r="F911">
        <v>0</v>
      </c>
      <c r="G911">
        <v>0</v>
      </c>
      <c r="H911">
        <v>31.26</v>
      </c>
      <c r="I911">
        <v>2.7099999999999999E-2</v>
      </c>
      <c r="J911">
        <v>35.020000000000003</v>
      </c>
      <c r="K911">
        <v>0</v>
      </c>
      <c r="L911">
        <v>1.2200000000000001E-2</v>
      </c>
      <c r="M911">
        <v>0.12089999999999999</v>
      </c>
      <c r="N911">
        <v>102.0234</v>
      </c>
      <c r="O911" t="s">
        <v>277</v>
      </c>
      <c r="P911" t="s">
        <v>102</v>
      </c>
      <c r="Q911">
        <f>I911-(K911*Standards!$I$15)</f>
        <v>2.7099999999999999E-2</v>
      </c>
    </row>
    <row r="912" spans="1:17">
      <c r="A912">
        <v>106</v>
      </c>
      <c r="B912">
        <v>5.4999999999999997E-3</v>
      </c>
      <c r="C912">
        <v>0</v>
      </c>
      <c r="D912">
        <v>35.69</v>
      </c>
      <c r="E912">
        <v>5.4000000000000003E-3</v>
      </c>
      <c r="F912">
        <v>0</v>
      </c>
      <c r="G912">
        <v>0</v>
      </c>
      <c r="H912">
        <v>31.37</v>
      </c>
      <c r="I912">
        <v>3.0700000000000002E-2</v>
      </c>
      <c r="J912">
        <v>35.049999999999997</v>
      </c>
      <c r="K912">
        <v>0</v>
      </c>
      <c r="L912">
        <v>5.1299999999999998E-2</v>
      </c>
      <c r="M912">
        <v>0.11</v>
      </c>
      <c r="N912">
        <v>102.3128</v>
      </c>
      <c r="O912" t="s">
        <v>277</v>
      </c>
      <c r="P912" t="s">
        <v>102</v>
      </c>
      <c r="Q912">
        <f>I912-(K912*Standards!$I$15)</f>
        <v>3.0700000000000002E-2</v>
      </c>
    </row>
    <row r="913" spans="1:17">
      <c r="A913">
        <v>18</v>
      </c>
      <c r="B913">
        <v>0</v>
      </c>
      <c r="C913">
        <v>0</v>
      </c>
      <c r="D913">
        <v>35.15</v>
      </c>
      <c r="E913">
        <v>0</v>
      </c>
      <c r="F913">
        <v>0</v>
      </c>
      <c r="G913">
        <v>0</v>
      </c>
      <c r="H913">
        <v>30.59</v>
      </c>
      <c r="I913">
        <v>0</v>
      </c>
      <c r="J913">
        <v>34.4</v>
      </c>
      <c r="K913">
        <v>0</v>
      </c>
      <c r="L913">
        <v>5.5899999999999998E-2</v>
      </c>
      <c r="M913">
        <v>0.1082</v>
      </c>
      <c r="N913">
        <v>100.30410000000001</v>
      </c>
      <c r="O913" t="s">
        <v>278</v>
      </c>
      <c r="P913" t="s">
        <v>102</v>
      </c>
      <c r="Q913">
        <f>I913-(K913*Standards!$I$15)</f>
        <v>0</v>
      </c>
    </row>
    <row r="914" spans="1:17">
      <c r="A914">
        <v>13</v>
      </c>
      <c r="B914">
        <v>6.7000000000000002E-3</v>
      </c>
      <c r="C914">
        <v>0</v>
      </c>
      <c r="D914">
        <v>35.57</v>
      </c>
      <c r="E914">
        <v>1.18E-2</v>
      </c>
      <c r="F914">
        <v>0</v>
      </c>
      <c r="G914">
        <v>0</v>
      </c>
      <c r="H914">
        <v>30.62</v>
      </c>
      <c r="I914">
        <v>8.0000000000000004E-4</v>
      </c>
      <c r="J914">
        <v>34.380000000000003</v>
      </c>
      <c r="K914">
        <v>0</v>
      </c>
      <c r="L914">
        <v>2.3800000000000002E-2</v>
      </c>
      <c r="M914">
        <v>0.1053</v>
      </c>
      <c r="N914">
        <v>100.7183</v>
      </c>
      <c r="O914" t="s">
        <v>278</v>
      </c>
      <c r="P914" t="s">
        <v>102</v>
      </c>
      <c r="Q914">
        <f>I914-(K914*Standards!$I$15)</f>
        <v>8.0000000000000004E-4</v>
      </c>
    </row>
    <row r="915" spans="1:17">
      <c r="A915">
        <v>21</v>
      </c>
      <c r="B915">
        <v>3.1600000000000003E-2</v>
      </c>
      <c r="C915">
        <v>0</v>
      </c>
      <c r="D915">
        <v>35.26</v>
      </c>
      <c r="E915">
        <v>0</v>
      </c>
      <c r="F915">
        <v>0</v>
      </c>
      <c r="G915">
        <v>0</v>
      </c>
      <c r="H915">
        <v>30.32</v>
      </c>
      <c r="I915">
        <v>0</v>
      </c>
      <c r="J915">
        <v>34.29</v>
      </c>
      <c r="K915">
        <v>0</v>
      </c>
      <c r="L915">
        <v>3.1699999999999999E-2</v>
      </c>
      <c r="M915">
        <v>0.11070000000000001</v>
      </c>
      <c r="N915">
        <v>100.044</v>
      </c>
      <c r="O915" t="s">
        <v>278</v>
      </c>
      <c r="P915" t="s">
        <v>102</v>
      </c>
      <c r="Q915">
        <f>I915-(K915*Standards!$I$15)</f>
        <v>0</v>
      </c>
    </row>
    <row r="916" spans="1:17">
      <c r="A916">
        <v>7</v>
      </c>
      <c r="B916">
        <v>1.06E-2</v>
      </c>
      <c r="C916">
        <v>0</v>
      </c>
      <c r="D916">
        <v>35.369999999999997</v>
      </c>
      <c r="E916">
        <v>1.1999999999999999E-3</v>
      </c>
      <c r="F916">
        <v>0</v>
      </c>
      <c r="G916">
        <v>0</v>
      </c>
      <c r="H916">
        <v>30.76</v>
      </c>
      <c r="I916">
        <v>2.7000000000000001E-3</v>
      </c>
      <c r="J916">
        <v>34.29</v>
      </c>
      <c r="K916">
        <v>0</v>
      </c>
      <c r="L916">
        <v>3.5499999999999997E-2</v>
      </c>
      <c r="M916">
        <v>0.1188</v>
      </c>
      <c r="N916">
        <v>100.5887</v>
      </c>
      <c r="O916" t="s">
        <v>278</v>
      </c>
      <c r="P916" t="s">
        <v>102</v>
      </c>
      <c r="Q916">
        <f>I916-(K916*Standards!$I$15)</f>
        <v>2.7000000000000001E-3</v>
      </c>
    </row>
    <row r="917" spans="1:17">
      <c r="A917">
        <v>15</v>
      </c>
      <c r="B917">
        <v>3.8E-3</v>
      </c>
      <c r="C917">
        <v>0</v>
      </c>
      <c r="D917">
        <v>35.11</v>
      </c>
      <c r="E917">
        <v>3.0000000000000001E-3</v>
      </c>
      <c r="F917">
        <v>0</v>
      </c>
      <c r="G917">
        <v>0</v>
      </c>
      <c r="H917">
        <v>30.34</v>
      </c>
      <c r="I917">
        <v>2.8999999999999998E-3</v>
      </c>
      <c r="J917">
        <v>34.28</v>
      </c>
      <c r="K917">
        <v>0</v>
      </c>
      <c r="L917">
        <v>3.0300000000000001E-2</v>
      </c>
      <c r="M917">
        <v>0.10349999999999999</v>
      </c>
      <c r="N917">
        <v>99.873599999999996</v>
      </c>
      <c r="O917" t="s">
        <v>278</v>
      </c>
      <c r="P917" t="s">
        <v>102</v>
      </c>
      <c r="Q917">
        <f>I917-(K917*Standards!$I$15)</f>
        <v>2.8999999999999998E-3</v>
      </c>
    </row>
    <row r="918" spans="1:17">
      <c r="A918">
        <v>14</v>
      </c>
      <c r="B918">
        <v>1.32E-2</v>
      </c>
      <c r="C918">
        <v>0</v>
      </c>
      <c r="D918">
        <v>35.119999999999997</v>
      </c>
      <c r="E918">
        <v>0</v>
      </c>
      <c r="F918">
        <v>0</v>
      </c>
      <c r="G918">
        <v>0</v>
      </c>
      <c r="H918">
        <v>30.59</v>
      </c>
      <c r="I918">
        <v>1.6999999999999999E-3</v>
      </c>
      <c r="J918">
        <v>34.19</v>
      </c>
      <c r="K918">
        <v>0</v>
      </c>
      <c r="L918">
        <v>2.4799999999999999E-2</v>
      </c>
      <c r="M918">
        <v>0.1057</v>
      </c>
      <c r="N918">
        <v>100.0453</v>
      </c>
      <c r="O918" t="s">
        <v>278</v>
      </c>
      <c r="P918" t="s">
        <v>102</v>
      </c>
      <c r="Q918">
        <f>I918-(K918*Standards!$I$15)</f>
        <v>1.6999999999999999E-3</v>
      </c>
    </row>
    <row r="919" spans="1:17">
      <c r="A919">
        <v>17</v>
      </c>
      <c r="B919">
        <v>1.3899999999999999E-2</v>
      </c>
      <c r="C919">
        <v>0</v>
      </c>
      <c r="D919">
        <v>35.1</v>
      </c>
      <c r="E919">
        <v>0</v>
      </c>
      <c r="F919">
        <v>0</v>
      </c>
      <c r="G919">
        <v>0</v>
      </c>
      <c r="H919">
        <v>30.42</v>
      </c>
      <c r="I919">
        <v>0</v>
      </c>
      <c r="J919">
        <v>34.14</v>
      </c>
      <c r="K919">
        <v>0</v>
      </c>
      <c r="L919">
        <v>5.9299999999999999E-2</v>
      </c>
      <c r="M919">
        <v>0.1326</v>
      </c>
      <c r="N919">
        <v>99.865899999999996</v>
      </c>
      <c r="O919" t="s">
        <v>278</v>
      </c>
      <c r="P919" t="s">
        <v>102</v>
      </c>
      <c r="Q919">
        <f>I919-(K919*Standards!$I$15)</f>
        <v>0</v>
      </c>
    </row>
    <row r="920" spans="1:17">
      <c r="A920">
        <v>8</v>
      </c>
      <c r="B920">
        <v>1.5100000000000001E-2</v>
      </c>
      <c r="C920">
        <v>0</v>
      </c>
      <c r="D920">
        <v>35.28</v>
      </c>
      <c r="E920">
        <v>0</v>
      </c>
      <c r="F920">
        <v>0</v>
      </c>
      <c r="G920">
        <v>0</v>
      </c>
      <c r="H920">
        <v>30.4</v>
      </c>
      <c r="I920">
        <v>3.8999999999999998E-3</v>
      </c>
      <c r="J920">
        <v>34.119999999999997</v>
      </c>
      <c r="K920">
        <v>0</v>
      </c>
      <c r="L920">
        <v>9.9599999999999994E-2</v>
      </c>
      <c r="M920">
        <v>0.12740000000000001</v>
      </c>
      <c r="N920">
        <v>100.04600000000001</v>
      </c>
      <c r="O920" t="s">
        <v>278</v>
      </c>
      <c r="P920" t="s">
        <v>102</v>
      </c>
      <c r="Q920">
        <f>I920-(K920*Standards!$I$15)</f>
        <v>3.8999999999999998E-3</v>
      </c>
    </row>
    <row r="921" spans="1:17">
      <c r="A921">
        <v>16</v>
      </c>
      <c r="B921">
        <v>2.0999999999999999E-3</v>
      </c>
      <c r="C921">
        <v>0</v>
      </c>
      <c r="D921">
        <v>35.19</v>
      </c>
      <c r="E921">
        <v>5.4999999999999997E-3</v>
      </c>
      <c r="F921">
        <v>0</v>
      </c>
      <c r="G921">
        <v>2.8E-3</v>
      </c>
      <c r="H921">
        <v>30.51</v>
      </c>
      <c r="I921">
        <v>0</v>
      </c>
      <c r="J921">
        <v>34.07</v>
      </c>
      <c r="K921">
        <v>0</v>
      </c>
      <c r="L921">
        <v>5.2200000000000003E-2</v>
      </c>
      <c r="M921">
        <v>0.13489999999999999</v>
      </c>
      <c r="N921">
        <v>99.967600000000004</v>
      </c>
      <c r="O921" t="s">
        <v>278</v>
      </c>
      <c r="P921" t="s">
        <v>102</v>
      </c>
      <c r="Q921">
        <f>I921-(K921*Standards!$I$15)</f>
        <v>0</v>
      </c>
    </row>
    <row r="922" spans="1:17">
      <c r="A922">
        <v>19</v>
      </c>
      <c r="B922">
        <v>2.2000000000000001E-3</v>
      </c>
      <c r="C922">
        <v>0</v>
      </c>
      <c r="D922">
        <v>35.4</v>
      </c>
      <c r="E922">
        <v>0</v>
      </c>
      <c r="F922">
        <v>0</v>
      </c>
      <c r="G922">
        <v>0</v>
      </c>
      <c r="H922">
        <v>30.28</v>
      </c>
      <c r="I922">
        <v>0</v>
      </c>
      <c r="J922">
        <v>33.979999999999997</v>
      </c>
      <c r="K922">
        <v>0</v>
      </c>
      <c r="L922">
        <v>6.83E-2</v>
      </c>
      <c r="M922">
        <v>0.10440000000000001</v>
      </c>
      <c r="N922">
        <v>99.834999999999994</v>
      </c>
      <c r="O922" t="s">
        <v>278</v>
      </c>
      <c r="P922" t="s">
        <v>102</v>
      </c>
      <c r="Q922">
        <f>I922-(K922*Standards!$I$15)</f>
        <v>0</v>
      </c>
    </row>
    <row r="923" spans="1:17">
      <c r="A923">
        <v>47</v>
      </c>
      <c r="B923">
        <v>1.55E-2</v>
      </c>
      <c r="C923">
        <v>0</v>
      </c>
      <c r="D923">
        <v>35.090000000000003</v>
      </c>
      <c r="E923">
        <v>0</v>
      </c>
      <c r="F923">
        <v>0</v>
      </c>
      <c r="G923">
        <v>4.0000000000000002E-4</v>
      </c>
      <c r="H923">
        <v>31.27</v>
      </c>
      <c r="I923">
        <v>8.0000000000000002E-3</v>
      </c>
      <c r="J923">
        <v>34.68</v>
      </c>
      <c r="K923">
        <v>0</v>
      </c>
      <c r="L923">
        <v>4.02E-2</v>
      </c>
      <c r="M923">
        <v>0.1133</v>
      </c>
      <c r="N923">
        <v>101.21729999999999</v>
      </c>
      <c r="O923" t="s">
        <v>279</v>
      </c>
      <c r="P923" t="s">
        <v>102</v>
      </c>
      <c r="Q923">
        <f>I923-(K923*Standards!$I$15)</f>
        <v>8.0000000000000002E-3</v>
      </c>
    </row>
    <row r="924" spans="1:17">
      <c r="A924">
        <v>33</v>
      </c>
      <c r="B924">
        <v>0</v>
      </c>
      <c r="C924">
        <v>0</v>
      </c>
      <c r="D924">
        <v>35.26</v>
      </c>
      <c r="E924">
        <v>0</v>
      </c>
      <c r="F924">
        <v>0</v>
      </c>
      <c r="G924">
        <v>0</v>
      </c>
      <c r="H924">
        <v>31.16</v>
      </c>
      <c r="I924">
        <v>5.8299999999999998E-2</v>
      </c>
      <c r="J924">
        <v>34.51</v>
      </c>
      <c r="K924">
        <v>0</v>
      </c>
      <c r="L924">
        <v>3.61E-2</v>
      </c>
      <c r="M924">
        <v>0.1401</v>
      </c>
      <c r="N924">
        <v>101.1644</v>
      </c>
      <c r="O924" t="s">
        <v>279</v>
      </c>
      <c r="P924" t="s">
        <v>102</v>
      </c>
      <c r="Q924">
        <f>I924-(K924*Standards!$I$15)</f>
        <v>5.8299999999999998E-2</v>
      </c>
    </row>
    <row r="925" spans="1:17">
      <c r="A925">
        <v>44</v>
      </c>
      <c r="B925">
        <v>5.1000000000000004E-3</v>
      </c>
      <c r="C925">
        <v>0</v>
      </c>
      <c r="D925">
        <v>35.119999999999997</v>
      </c>
      <c r="E925">
        <v>0</v>
      </c>
      <c r="F925">
        <v>0</v>
      </c>
      <c r="G925">
        <v>0</v>
      </c>
      <c r="H925">
        <v>31.22</v>
      </c>
      <c r="I925">
        <v>1.0800000000000001E-2</v>
      </c>
      <c r="J925">
        <v>34.46</v>
      </c>
      <c r="K925">
        <v>0</v>
      </c>
      <c r="L925">
        <v>4.8599999999999997E-2</v>
      </c>
      <c r="M925">
        <v>0.1016</v>
      </c>
      <c r="N925">
        <v>100.96599999999999</v>
      </c>
      <c r="O925" t="s">
        <v>279</v>
      </c>
      <c r="P925" t="s">
        <v>102</v>
      </c>
      <c r="Q925">
        <f>I925-(K925*Standards!$I$15)</f>
        <v>1.0800000000000001E-2</v>
      </c>
    </row>
    <row r="926" spans="1:17">
      <c r="A926">
        <v>41</v>
      </c>
      <c r="B926">
        <v>1.26E-2</v>
      </c>
      <c r="C926">
        <v>0</v>
      </c>
      <c r="D926">
        <v>35.29</v>
      </c>
      <c r="E926">
        <v>0</v>
      </c>
      <c r="F926">
        <v>0</v>
      </c>
      <c r="G926">
        <v>0</v>
      </c>
      <c r="H926">
        <v>31.35</v>
      </c>
      <c r="I926">
        <v>2.07E-2</v>
      </c>
      <c r="J926">
        <v>34.44</v>
      </c>
      <c r="K926">
        <v>0</v>
      </c>
      <c r="L926">
        <v>3.7199999999999997E-2</v>
      </c>
      <c r="M926">
        <v>0.13120000000000001</v>
      </c>
      <c r="N926">
        <v>101.2816</v>
      </c>
      <c r="O926" t="s">
        <v>279</v>
      </c>
      <c r="P926" t="s">
        <v>102</v>
      </c>
      <c r="Q926">
        <f>I926-(K926*Standards!$I$15)</f>
        <v>2.07E-2</v>
      </c>
    </row>
    <row r="927" spans="1:17">
      <c r="A927">
        <v>39</v>
      </c>
      <c r="B927">
        <v>2.1399999999999999E-2</v>
      </c>
      <c r="C927">
        <v>0</v>
      </c>
      <c r="D927">
        <v>35.159999999999997</v>
      </c>
      <c r="E927">
        <v>0</v>
      </c>
      <c r="F927">
        <v>0</v>
      </c>
      <c r="G927">
        <v>0</v>
      </c>
      <c r="H927">
        <v>31.36</v>
      </c>
      <c r="I927">
        <v>3.1600000000000003E-2</v>
      </c>
      <c r="J927">
        <v>34.44</v>
      </c>
      <c r="K927">
        <v>0</v>
      </c>
      <c r="L927">
        <v>3.2399999999999998E-2</v>
      </c>
      <c r="M927">
        <v>0.1166</v>
      </c>
      <c r="N927">
        <v>101.1619</v>
      </c>
      <c r="O927" t="s">
        <v>279</v>
      </c>
      <c r="P927" t="s">
        <v>102</v>
      </c>
      <c r="Q927">
        <f>I927-(K927*Standards!$I$15)</f>
        <v>3.1600000000000003E-2</v>
      </c>
    </row>
    <row r="928" spans="1:17">
      <c r="A928">
        <v>38</v>
      </c>
      <c r="B928">
        <v>6.4999999999999997E-3</v>
      </c>
      <c r="C928">
        <v>0</v>
      </c>
      <c r="D928">
        <v>35.06</v>
      </c>
      <c r="E928">
        <v>0</v>
      </c>
      <c r="F928">
        <v>0</v>
      </c>
      <c r="G928">
        <v>0</v>
      </c>
      <c r="H928">
        <v>31.15</v>
      </c>
      <c r="I928">
        <v>2.93E-2</v>
      </c>
      <c r="J928">
        <v>34.4</v>
      </c>
      <c r="K928">
        <v>0</v>
      </c>
      <c r="L928">
        <v>5.4100000000000002E-2</v>
      </c>
      <c r="M928">
        <v>0.1186</v>
      </c>
      <c r="N928">
        <v>100.8184</v>
      </c>
      <c r="O928" t="s">
        <v>279</v>
      </c>
      <c r="P928" t="s">
        <v>102</v>
      </c>
      <c r="Q928">
        <f>I928-(K928*Standards!$I$15)</f>
        <v>2.93E-2</v>
      </c>
    </row>
    <row r="929" spans="1:17">
      <c r="A929">
        <v>23</v>
      </c>
      <c r="B929">
        <v>1.34E-2</v>
      </c>
      <c r="C929">
        <v>0</v>
      </c>
      <c r="D929">
        <v>35.090000000000003</v>
      </c>
      <c r="E929">
        <v>4.5999999999999999E-3</v>
      </c>
      <c r="F929">
        <v>1.4E-3</v>
      </c>
      <c r="G929">
        <v>0</v>
      </c>
      <c r="H929">
        <v>31.02</v>
      </c>
      <c r="I929">
        <v>1.8200000000000001E-2</v>
      </c>
      <c r="J929">
        <v>34.39</v>
      </c>
      <c r="K929">
        <v>0</v>
      </c>
      <c r="L929">
        <v>2.24E-2</v>
      </c>
      <c r="M929">
        <v>0.1144</v>
      </c>
      <c r="N929">
        <v>100.67440000000001</v>
      </c>
      <c r="O929" t="s">
        <v>279</v>
      </c>
      <c r="P929" t="s">
        <v>102</v>
      </c>
      <c r="Q929">
        <f>I929-(K929*Standards!$I$15)</f>
        <v>1.8200000000000001E-2</v>
      </c>
    </row>
    <row r="930" spans="1:17">
      <c r="A930">
        <v>48</v>
      </c>
      <c r="B930">
        <v>2.4500000000000001E-2</v>
      </c>
      <c r="C930">
        <v>0</v>
      </c>
      <c r="D930">
        <v>35.29</v>
      </c>
      <c r="E930">
        <v>0</v>
      </c>
      <c r="F930">
        <v>0</v>
      </c>
      <c r="G930">
        <v>0</v>
      </c>
      <c r="H930">
        <v>31.28</v>
      </c>
      <c r="I930">
        <v>1.3299999999999999E-2</v>
      </c>
      <c r="J930">
        <v>34.380000000000003</v>
      </c>
      <c r="K930">
        <v>0</v>
      </c>
      <c r="L930">
        <v>9.1700000000000004E-2</v>
      </c>
      <c r="M930">
        <v>0.10539999999999999</v>
      </c>
      <c r="N930">
        <v>101.1849</v>
      </c>
      <c r="O930" t="s">
        <v>279</v>
      </c>
      <c r="P930" t="s">
        <v>102</v>
      </c>
      <c r="Q930">
        <f>I930-(K930*Standards!$I$15)</f>
        <v>1.3299999999999999E-2</v>
      </c>
    </row>
    <row r="931" spans="1:17">
      <c r="A931">
        <v>24</v>
      </c>
      <c r="B931">
        <v>4.1999999999999997E-3</v>
      </c>
      <c r="C931">
        <v>0</v>
      </c>
      <c r="D931">
        <v>35.47</v>
      </c>
      <c r="E931">
        <v>1E-4</v>
      </c>
      <c r="F931">
        <v>0</v>
      </c>
      <c r="G931">
        <v>0</v>
      </c>
      <c r="H931">
        <v>31.23</v>
      </c>
      <c r="I931">
        <v>2.3400000000000001E-2</v>
      </c>
      <c r="J931">
        <v>34.369999999999997</v>
      </c>
      <c r="K931">
        <v>0</v>
      </c>
      <c r="L931">
        <v>3.3300000000000003E-2</v>
      </c>
      <c r="M931">
        <v>0.11849999999999999</v>
      </c>
      <c r="N931">
        <v>101.2495</v>
      </c>
      <c r="O931" t="s">
        <v>279</v>
      </c>
      <c r="P931" t="s">
        <v>102</v>
      </c>
      <c r="Q931">
        <f>I931-(K931*Standards!$I$15)</f>
        <v>2.3400000000000001E-2</v>
      </c>
    </row>
    <row r="932" spans="1:17">
      <c r="A932">
        <v>40</v>
      </c>
      <c r="B932">
        <v>1.55E-2</v>
      </c>
      <c r="C932">
        <v>0</v>
      </c>
      <c r="D932">
        <v>35.159999999999997</v>
      </c>
      <c r="E932">
        <v>0</v>
      </c>
      <c r="F932">
        <v>0</v>
      </c>
      <c r="G932">
        <v>0</v>
      </c>
      <c r="H932">
        <v>31.54</v>
      </c>
      <c r="I932">
        <v>1.7600000000000001E-2</v>
      </c>
      <c r="J932">
        <v>34.299999999999997</v>
      </c>
      <c r="K932">
        <v>0</v>
      </c>
      <c r="L932">
        <v>3.3700000000000001E-2</v>
      </c>
      <c r="M932">
        <v>9.98E-2</v>
      </c>
      <c r="N932">
        <v>101.1665</v>
      </c>
      <c r="O932" t="s">
        <v>279</v>
      </c>
      <c r="P932" t="s">
        <v>102</v>
      </c>
      <c r="Q932">
        <f>I932-(K932*Standards!$I$15)</f>
        <v>1.7600000000000001E-2</v>
      </c>
    </row>
    <row r="933" spans="1:17">
      <c r="A933">
        <v>42</v>
      </c>
      <c r="B933">
        <v>1.09E-2</v>
      </c>
      <c r="C933">
        <v>0</v>
      </c>
      <c r="D933">
        <v>35.32</v>
      </c>
      <c r="E933">
        <v>0</v>
      </c>
      <c r="F933">
        <v>0</v>
      </c>
      <c r="G933">
        <v>0</v>
      </c>
      <c r="H933">
        <v>31.37</v>
      </c>
      <c r="I933">
        <v>2.75E-2</v>
      </c>
      <c r="J933">
        <v>34.270000000000003</v>
      </c>
      <c r="K933">
        <v>0</v>
      </c>
      <c r="L933">
        <v>6.1100000000000002E-2</v>
      </c>
      <c r="M933">
        <v>0.1128</v>
      </c>
      <c r="N933">
        <v>101.1722</v>
      </c>
      <c r="O933" t="s">
        <v>279</v>
      </c>
      <c r="P933" t="s">
        <v>102</v>
      </c>
      <c r="Q933">
        <f>I933-(K933*Standards!$I$15)</f>
        <v>2.75E-2</v>
      </c>
    </row>
    <row r="934" spans="1:17">
      <c r="A934">
        <v>43</v>
      </c>
      <c r="B934">
        <v>3.2000000000000002E-3</v>
      </c>
      <c r="C934">
        <v>0</v>
      </c>
      <c r="D934">
        <v>35.119999999999997</v>
      </c>
      <c r="E934">
        <v>0</v>
      </c>
      <c r="F934">
        <v>0</v>
      </c>
      <c r="G934">
        <v>0</v>
      </c>
      <c r="H934">
        <v>31.21</v>
      </c>
      <c r="I934">
        <v>2.06E-2</v>
      </c>
      <c r="J934">
        <v>34.270000000000003</v>
      </c>
      <c r="K934">
        <v>0</v>
      </c>
      <c r="L934">
        <v>4.0300000000000002E-2</v>
      </c>
      <c r="M934">
        <v>0.1013</v>
      </c>
      <c r="N934">
        <v>100.7653</v>
      </c>
      <c r="O934" t="s">
        <v>279</v>
      </c>
      <c r="P934" t="s">
        <v>102</v>
      </c>
      <c r="Q934">
        <f>I934-(K934*Standards!$I$15)</f>
        <v>2.06E-2</v>
      </c>
    </row>
    <row r="935" spans="1:17">
      <c r="A935">
        <v>52</v>
      </c>
      <c r="B935">
        <v>1.2500000000000001E-2</v>
      </c>
      <c r="C935">
        <v>0</v>
      </c>
      <c r="D935">
        <v>35.26</v>
      </c>
      <c r="E935">
        <v>7.1000000000000004E-3</v>
      </c>
      <c r="F935">
        <v>0</v>
      </c>
      <c r="G935">
        <v>0</v>
      </c>
      <c r="H935">
        <v>31.2</v>
      </c>
      <c r="I935">
        <v>4.1000000000000003E-3</v>
      </c>
      <c r="J935">
        <v>34.25</v>
      </c>
      <c r="K935">
        <v>0</v>
      </c>
      <c r="L935">
        <v>9.7299999999999998E-2</v>
      </c>
      <c r="M935">
        <v>0.12039999999999999</v>
      </c>
      <c r="N935">
        <v>100.9513</v>
      </c>
      <c r="O935" t="s">
        <v>279</v>
      </c>
      <c r="P935" t="s">
        <v>102</v>
      </c>
      <c r="Q935">
        <f>I935-(K935*Standards!$I$15)</f>
        <v>4.1000000000000003E-3</v>
      </c>
    </row>
    <row r="936" spans="1:17">
      <c r="A936">
        <v>51</v>
      </c>
      <c r="B936">
        <v>1.67E-2</v>
      </c>
      <c r="C936">
        <v>0</v>
      </c>
      <c r="D936">
        <v>35.119999999999997</v>
      </c>
      <c r="E936">
        <v>0</v>
      </c>
      <c r="F936">
        <v>4.5999999999999999E-3</v>
      </c>
      <c r="G936">
        <v>0</v>
      </c>
      <c r="H936">
        <v>31.36</v>
      </c>
      <c r="I936">
        <v>7.1000000000000004E-3</v>
      </c>
      <c r="J936">
        <v>34.25</v>
      </c>
      <c r="K936">
        <v>0</v>
      </c>
      <c r="L936">
        <v>4.3900000000000002E-2</v>
      </c>
      <c r="M936">
        <v>9.7600000000000006E-2</v>
      </c>
      <c r="N936">
        <v>100.8998</v>
      </c>
      <c r="O936" t="s">
        <v>279</v>
      </c>
      <c r="P936" t="s">
        <v>102</v>
      </c>
      <c r="Q936">
        <f>I936-(K936*Standards!$I$15)</f>
        <v>7.1000000000000004E-3</v>
      </c>
    </row>
    <row r="937" spans="1:17">
      <c r="A937">
        <v>46</v>
      </c>
      <c r="B937">
        <v>1.0200000000000001E-2</v>
      </c>
      <c r="C937">
        <v>0</v>
      </c>
      <c r="D937">
        <v>35.25</v>
      </c>
      <c r="E937">
        <v>3.5000000000000001E-3</v>
      </c>
      <c r="F937">
        <v>0</v>
      </c>
      <c r="G937">
        <v>0</v>
      </c>
      <c r="H937">
        <v>31.34</v>
      </c>
      <c r="I937">
        <v>8.8999999999999999E-3</v>
      </c>
      <c r="J937">
        <v>34.21</v>
      </c>
      <c r="K937">
        <v>0</v>
      </c>
      <c r="L937">
        <v>4.0599999999999997E-2</v>
      </c>
      <c r="M937">
        <v>0.10630000000000001</v>
      </c>
      <c r="N937">
        <v>100.9695</v>
      </c>
      <c r="O937" t="s">
        <v>279</v>
      </c>
      <c r="P937" t="s">
        <v>102</v>
      </c>
      <c r="Q937">
        <f>I937-(K937*Standards!$I$15)</f>
        <v>8.8999999999999999E-3</v>
      </c>
    </row>
    <row r="938" spans="1:17">
      <c r="A938">
        <v>45</v>
      </c>
      <c r="B938">
        <v>3.3E-3</v>
      </c>
      <c r="C938">
        <v>0</v>
      </c>
      <c r="D938">
        <v>35.549999999999997</v>
      </c>
      <c r="E938">
        <v>6.7999999999999996E-3</v>
      </c>
      <c r="F938">
        <v>0</v>
      </c>
      <c r="G938">
        <v>0</v>
      </c>
      <c r="H938">
        <v>31.32</v>
      </c>
      <c r="I938">
        <v>1.1299999999999999E-2</v>
      </c>
      <c r="J938">
        <v>34.19</v>
      </c>
      <c r="K938">
        <v>0</v>
      </c>
      <c r="L938">
        <v>0.14180000000000001</v>
      </c>
      <c r="M938">
        <v>9.8299999999999998E-2</v>
      </c>
      <c r="N938">
        <v>101.3214</v>
      </c>
      <c r="O938" t="s">
        <v>279</v>
      </c>
      <c r="P938" t="s">
        <v>102</v>
      </c>
      <c r="Q938">
        <f>I938-(K938*Standards!$I$15)</f>
        <v>1.1299999999999999E-2</v>
      </c>
    </row>
    <row r="939" spans="1:17">
      <c r="A939">
        <v>49</v>
      </c>
      <c r="B939">
        <v>1.01E-2</v>
      </c>
      <c r="C939">
        <v>0</v>
      </c>
      <c r="D939">
        <v>35.32</v>
      </c>
      <c r="E939">
        <v>0</v>
      </c>
      <c r="F939">
        <v>0</v>
      </c>
      <c r="G939">
        <v>0</v>
      </c>
      <c r="H939">
        <v>31.17</v>
      </c>
      <c r="I939">
        <v>1.0699999999999999E-2</v>
      </c>
      <c r="J939">
        <v>34.19</v>
      </c>
      <c r="K939">
        <v>0</v>
      </c>
      <c r="L939">
        <v>4.3200000000000002E-2</v>
      </c>
      <c r="M939">
        <v>8.8599999999999998E-2</v>
      </c>
      <c r="N939">
        <v>100.8325</v>
      </c>
      <c r="O939" t="s">
        <v>279</v>
      </c>
      <c r="P939" t="s">
        <v>102</v>
      </c>
      <c r="Q939">
        <f>I939-(K939*Standards!$I$15)</f>
        <v>1.0699999999999999E-2</v>
      </c>
    </row>
    <row r="940" spans="1:17">
      <c r="A940">
        <v>50</v>
      </c>
      <c r="B940">
        <v>4.7000000000000002E-3</v>
      </c>
      <c r="C940">
        <v>0</v>
      </c>
      <c r="D940">
        <v>35.159999999999997</v>
      </c>
      <c r="E940">
        <v>1.6999999999999999E-3</v>
      </c>
      <c r="F940">
        <v>0</v>
      </c>
      <c r="G940">
        <v>0</v>
      </c>
      <c r="H940">
        <v>31.12</v>
      </c>
      <c r="I940">
        <v>9.5999999999999992E-3</v>
      </c>
      <c r="J940">
        <v>34.06</v>
      </c>
      <c r="K940">
        <v>0</v>
      </c>
      <c r="L940">
        <v>3.5900000000000001E-2</v>
      </c>
      <c r="M940">
        <v>0.1041</v>
      </c>
      <c r="N940">
        <v>100.49590000000001</v>
      </c>
      <c r="O940" t="s">
        <v>279</v>
      </c>
      <c r="P940" t="s">
        <v>102</v>
      </c>
      <c r="Q940">
        <f>I940-(K940*Standards!$I$15)</f>
        <v>9.5999999999999992E-3</v>
      </c>
    </row>
    <row r="941" spans="1:17">
      <c r="A941">
        <v>22</v>
      </c>
      <c r="B941">
        <v>4.4999999999999997E-3</v>
      </c>
      <c r="C941">
        <v>0</v>
      </c>
      <c r="D941">
        <v>35.32</v>
      </c>
      <c r="E941">
        <v>0</v>
      </c>
      <c r="F941">
        <v>0</v>
      </c>
      <c r="G941">
        <v>0</v>
      </c>
      <c r="H941">
        <v>31.2</v>
      </c>
      <c r="I941">
        <v>2.1100000000000001E-2</v>
      </c>
      <c r="J941">
        <v>33.96</v>
      </c>
      <c r="K941">
        <v>0</v>
      </c>
      <c r="L941">
        <v>8.6800000000000002E-2</v>
      </c>
      <c r="M941">
        <v>0.115</v>
      </c>
      <c r="N941">
        <v>100.70740000000001</v>
      </c>
      <c r="O941" t="s">
        <v>279</v>
      </c>
      <c r="P941" t="s">
        <v>102</v>
      </c>
      <c r="Q941">
        <f>I941-(K941*Standards!$I$15)</f>
        <v>2.1100000000000001E-2</v>
      </c>
    </row>
    <row r="942" spans="1:17">
      <c r="A942">
        <v>53</v>
      </c>
      <c r="B942">
        <v>1.84E-2</v>
      </c>
      <c r="C942">
        <v>0</v>
      </c>
      <c r="D942">
        <v>35.25</v>
      </c>
      <c r="E942">
        <v>2.8999999999999998E-3</v>
      </c>
      <c r="F942">
        <v>0</v>
      </c>
      <c r="G942">
        <v>0</v>
      </c>
      <c r="H942">
        <v>31.04</v>
      </c>
      <c r="I942">
        <v>6.7999999999999996E-3</v>
      </c>
      <c r="J942">
        <v>33.93</v>
      </c>
      <c r="K942">
        <v>0</v>
      </c>
      <c r="L942">
        <v>6.4699999999999994E-2</v>
      </c>
      <c r="M942">
        <v>9.6199999999999994E-2</v>
      </c>
      <c r="N942">
        <v>100.4089</v>
      </c>
      <c r="O942" t="s">
        <v>279</v>
      </c>
      <c r="P942" t="s">
        <v>102</v>
      </c>
      <c r="Q942">
        <f>I942-(K942*Standards!$I$15)</f>
        <v>6.7999999999999996E-3</v>
      </c>
    </row>
    <row r="943" spans="1:17">
      <c r="A943">
        <v>16</v>
      </c>
      <c r="B943">
        <v>2.3E-3</v>
      </c>
      <c r="C943">
        <v>0</v>
      </c>
      <c r="D943">
        <v>35.14</v>
      </c>
      <c r="E943">
        <v>5.4999999999999997E-3</v>
      </c>
      <c r="F943">
        <v>0</v>
      </c>
      <c r="G943">
        <v>0</v>
      </c>
      <c r="H943">
        <v>31.4</v>
      </c>
      <c r="I943">
        <v>2.1700000000000001E-2</v>
      </c>
      <c r="J943">
        <v>34.36</v>
      </c>
      <c r="K943">
        <v>0</v>
      </c>
      <c r="L943">
        <v>6.7799999999999999E-2</v>
      </c>
      <c r="M943">
        <v>0.121</v>
      </c>
      <c r="N943">
        <v>101.1182</v>
      </c>
      <c r="O943" t="s">
        <v>280</v>
      </c>
      <c r="P943" t="s">
        <v>102</v>
      </c>
      <c r="Q943">
        <f>I943-(K943*Standards!$I$15)</f>
        <v>2.1700000000000001E-2</v>
      </c>
    </row>
    <row r="944" spans="1:17">
      <c r="A944">
        <v>15</v>
      </c>
      <c r="B944">
        <v>4.3E-3</v>
      </c>
      <c r="C944">
        <v>0</v>
      </c>
      <c r="D944">
        <v>35.32</v>
      </c>
      <c r="E944">
        <v>0</v>
      </c>
      <c r="F944">
        <v>0</v>
      </c>
      <c r="G944">
        <v>0</v>
      </c>
      <c r="H944">
        <v>31.12</v>
      </c>
      <c r="I944">
        <v>2.6499999999999999E-2</v>
      </c>
      <c r="J944">
        <v>34.35</v>
      </c>
      <c r="K944">
        <v>0</v>
      </c>
      <c r="L944">
        <v>3.5200000000000002E-2</v>
      </c>
      <c r="M944">
        <v>0.14050000000000001</v>
      </c>
      <c r="N944">
        <v>100.99639999999999</v>
      </c>
      <c r="O944" t="s">
        <v>280</v>
      </c>
      <c r="P944" t="s">
        <v>102</v>
      </c>
      <c r="Q944">
        <f>I944-(K944*Standards!$I$15)</f>
        <v>2.6499999999999999E-2</v>
      </c>
    </row>
    <row r="945" spans="1:24">
      <c r="A945">
        <v>54</v>
      </c>
      <c r="B945">
        <v>6.7000000000000002E-3</v>
      </c>
      <c r="C945">
        <v>0</v>
      </c>
      <c r="D945">
        <v>35.299999999999997</v>
      </c>
      <c r="E945">
        <v>2.8999999999999998E-3</v>
      </c>
      <c r="F945">
        <v>0</v>
      </c>
      <c r="G945">
        <v>0</v>
      </c>
      <c r="H945">
        <v>31.34</v>
      </c>
      <c r="I945">
        <v>1.8200000000000001E-2</v>
      </c>
      <c r="J945">
        <v>34.07</v>
      </c>
      <c r="K945">
        <v>0</v>
      </c>
      <c r="L945">
        <v>0.23219999999999999</v>
      </c>
      <c r="M945">
        <v>0.13150000000000001</v>
      </c>
      <c r="N945">
        <v>101.1014</v>
      </c>
      <c r="O945" t="s">
        <v>281</v>
      </c>
      <c r="P945" t="s">
        <v>102</v>
      </c>
      <c r="Q945">
        <f>I945-(K945*Standards!$I$15)</f>
        <v>1.8200000000000001E-2</v>
      </c>
    </row>
    <row r="946" spans="1:24">
      <c r="A946">
        <v>37</v>
      </c>
      <c r="B946">
        <v>0</v>
      </c>
      <c r="C946">
        <v>0</v>
      </c>
      <c r="D946">
        <v>35.06</v>
      </c>
      <c r="E946">
        <v>0</v>
      </c>
      <c r="F946">
        <v>0</v>
      </c>
      <c r="G946">
        <v>0</v>
      </c>
      <c r="H946">
        <v>30.87</v>
      </c>
      <c r="I946">
        <v>9.9000000000000008E-3</v>
      </c>
      <c r="J946">
        <v>34.6</v>
      </c>
      <c r="K946">
        <v>0</v>
      </c>
      <c r="L946">
        <v>3.56E-2</v>
      </c>
      <c r="M946">
        <v>0.12479999999999999</v>
      </c>
      <c r="N946">
        <v>100.7002</v>
      </c>
      <c r="O946" t="s">
        <v>282</v>
      </c>
      <c r="P946" t="s">
        <v>112</v>
      </c>
      <c r="Q946">
        <f>I946-(K946*Standards!$I$15)</f>
        <v>9.9000000000000008E-3</v>
      </c>
      <c r="R946" t="s">
        <v>112</v>
      </c>
      <c r="S946">
        <f>COUNT(Q946:Q963)</f>
        <v>18</v>
      </c>
      <c r="T946">
        <f>MAX(L946:L963)</f>
        <v>0.441</v>
      </c>
      <c r="U946">
        <f>AVERAGE(L946:L963)</f>
        <v>4.9750000000000003E-2</v>
      </c>
      <c r="V946">
        <f>10000*MAX(Q946:Q963)</f>
        <v>248.99999999999997</v>
      </c>
      <c r="W946">
        <f>10000*AVERAGE(Q946:Q963)</f>
        <v>137.55555555555554</v>
      </c>
      <c r="X946">
        <f>10000*STDEV(Q946:Q963)</f>
        <v>71.884075158813289</v>
      </c>
    </row>
    <row r="947" spans="1:24">
      <c r="A947">
        <v>35</v>
      </c>
      <c r="B947">
        <v>0</v>
      </c>
      <c r="C947">
        <v>0</v>
      </c>
      <c r="D947">
        <v>35.14</v>
      </c>
      <c r="E947">
        <v>0</v>
      </c>
      <c r="F947">
        <v>0</v>
      </c>
      <c r="G947">
        <v>0</v>
      </c>
      <c r="H947">
        <v>30.67</v>
      </c>
      <c r="I947">
        <v>1.06E-2</v>
      </c>
      <c r="J947">
        <v>34.590000000000003</v>
      </c>
      <c r="K947">
        <v>0</v>
      </c>
      <c r="L947">
        <v>3.7199999999999997E-2</v>
      </c>
      <c r="M947">
        <v>0.1003</v>
      </c>
      <c r="N947">
        <v>100.548</v>
      </c>
      <c r="O947" t="s">
        <v>282</v>
      </c>
      <c r="P947" t="s">
        <v>112</v>
      </c>
      <c r="Q947">
        <f>I947-(K947*Standards!$I$15)</f>
        <v>1.06E-2</v>
      </c>
    </row>
    <row r="948" spans="1:24">
      <c r="A948">
        <v>40</v>
      </c>
      <c r="B948">
        <v>2.9999999999999997E-4</v>
      </c>
      <c r="C948">
        <v>0</v>
      </c>
      <c r="D948">
        <v>35.08</v>
      </c>
      <c r="E948">
        <v>0</v>
      </c>
      <c r="F948">
        <v>9.9000000000000008E-3</v>
      </c>
      <c r="G948">
        <v>0</v>
      </c>
      <c r="H948">
        <v>31.04</v>
      </c>
      <c r="I948">
        <v>2.4400000000000002E-2</v>
      </c>
      <c r="J948">
        <v>34.58</v>
      </c>
      <c r="K948">
        <v>0</v>
      </c>
      <c r="L948">
        <v>3.3399999999999999E-2</v>
      </c>
      <c r="M948">
        <v>8.72E-2</v>
      </c>
      <c r="N948">
        <v>100.85509999999999</v>
      </c>
      <c r="O948" t="s">
        <v>282</v>
      </c>
      <c r="P948" t="s">
        <v>112</v>
      </c>
      <c r="Q948">
        <f>I948-(K948*Standards!$I$15)</f>
        <v>2.4400000000000002E-2</v>
      </c>
    </row>
    <row r="949" spans="1:24">
      <c r="A949">
        <v>36</v>
      </c>
      <c r="B949">
        <v>0</v>
      </c>
      <c r="C949">
        <v>0</v>
      </c>
      <c r="D949">
        <v>35.25</v>
      </c>
      <c r="E949">
        <v>0</v>
      </c>
      <c r="F949">
        <v>0</v>
      </c>
      <c r="G949">
        <v>0</v>
      </c>
      <c r="H949">
        <v>30.56</v>
      </c>
      <c r="I949">
        <v>4.4999999999999997E-3</v>
      </c>
      <c r="J949">
        <v>34.54</v>
      </c>
      <c r="K949">
        <v>0</v>
      </c>
      <c r="L949">
        <v>2.9899999999999999E-2</v>
      </c>
      <c r="M949">
        <v>0.1042</v>
      </c>
      <c r="N949">
        <v>100.4885</v>
      </c>
      <c r="O949" t="s">
        <v>282</v>
      </c>
      <c r="P949" t="s">
        <v>112</v>
      </c>
      <c r="Q949">
        <f>I949-(K949*Standards!$I$15)</f>
        <v>4.4999999999999997E-3</v>
      </c>
    </row>
    <row r="950" spans="1:24">
      <c r="A950">
        <v>41</v>
      </c>
      <c r="B950">
        <v>0</v>
      </c>
      <c r="C950">
        <v>0</v>
      </c>
      <c r="D950">
        <v>35.08</v>
      </c>
      <c r="E950">
        <v>0</v>
      </c>
      <c r="F950">
        <v>0</v>
      </c>
      <c r="G950">
        <v>0</v>
      </c>
      <c r="H950">
        <v>30.85</v>
      </c>
      <c r="I950">
        <v>2.4899999999999999E-2</v>
      </c>
      <c r="J950">
        <v>34.53</v>
      </c>
      <c r="K950">
        <v>0</v>
      </c>
      <c r="L950">
        <v>2.7400000000000001E-2</v>
      </c>
      <c r="M950">
        <v>0.1105</v>
      </c>
      <c r="N950">
        <v>100.62269999999999</v>
      </c>
      <c r="O950" t="s">
        <v>282</v>
      </c>
      <c r="P950" t="s">
        <v>112</v>
      </c>
      <c r="Q950">
        <f>I950-(K950*Standards!$I$15)</f>
        <v>2.4899999999999999E-2</v>
      </c>
    </row>
    <row r="951" spans="1:24">
      <c r="A951">
        <v>42</v>
      </c>
      <c r="B951">
        <v>0</v>
      </c>
      <c r="C951">
        <v>0</v>
      </c>
      <c r="D951">
        <v>34.9</v>
      </c>
      <c r="E951">
        <v>1.06E-2</v>
      </c>
      <c r="F951">
        <v>0</v>
      </c>
      <c r="G951">
        <v>0</v>
      </c>
      <c r="H951">
        <v>30.64</v>
      </c>
      <c r="I951">
        <v>5.1000000000000004E-3</v>
      </c>
      <c r="J951">
        <v>34.5</v>
      </c>
      <c r="K951">
        <v>0</v>
      </c>
      <c r="L951">
        <v>1.17E-2</v>
      </c>
      <c r="M951">
        <v>9.7500000000000003E-2</v>
      </c>
      <c r="N951">
        <v>100.1648</v>
      </c>
      <c r="O951" t="s">
        <v>282</v>
      </c>
      <c r="P951" t="s">
        <v>112</v>
      </c>
      <c r="Q951">
        <f>I951-(K951*Standards!$I$15)</f>
        <v>5.1000000000000004E-3</v>
      </c>
    </row>
    <row r="952" spans="1:24">
      <c r="A952">
        <v>34</v>
      </c>
      <c r="B952">
        <v>1.5E-3</v>
      </c>
      <c r="C952">
        <v>0</v>
      </c>
      <c r="D952">
        <v>35.479999999999997</v>
      </c>
      <c r="E952">
        <v>0</v>
      </c>
      <c r="F952">
        <v>0</v>
      </c>
      <c r="G952">
        <v>0</v>
      </c>
      <c r="H952">
        <v>30.51</v>
      </c>
      <c r="I952">
        <v>1.4999999999999999E-2</v>
      </c>
      <c r="J952">
        <v>34.47</v>
      </c>
      <c r="K952">
        <v>0</v>
      </c>
      <c r="L952">
        <v>1.01E-2</v>
      </c>
      <c r="M952">
        <v>7.4999999999999997E-2</v>
      </c>
      <c r="N952">
        <v>100.5615</v>
      </c>
      <c r="O952" t="s">
        <v>282</v>
      </c>
      <c r="P952" t="s">
        <v>112</v>
      </c>
      <c r="Q952">
        <f>I952-(K952*Standards!$I$15)</f>
        <v>1.4999999999999999E-2</v>
      </c>
    </row>
    <row r="953" spans="1:24">
      <c r="A953">
        <v>46</v>
      </c>
      <c r="B953">
        <v>0</v>
      </c>
      <c r="C953">
        <v>0</v>
      </c>
      <c r="D953">
        <v>34.92</v>
      </c>
      <c r="E953">
        <v>0</v>
      </c>
      <c r="F953">
        <v>0</v>
      </c>
      <c r="G953">
        <v>0</v>
      </c>
      <c r="H953">
        <v>30.75</v>
      </c>
      <c r="I953">
        <v>0</v>
      </c>
      <c r="J953">
        <v>34.43</v>
      </c>
      <c r="K953">
        <v>0</v>
      </c>
      <c r="L953">
        <v>3.1600000000000003E-2</v>
      </c>
      <c r="M953">
        <v>0.1152</v>
      </c>
      <c r="N953">
        <v>100.2467</v>
      </c>
      <c r="O953" t="s">
        <v>282</v>
      </c>
      <c r="P953" t="s">
        <v>112</v>
      </c>
      <c r="Q953">
        <f>I953-(K953*Standards!$I$15)</f>
        <v>0</v>
      </c>
    </row>
    <row r="954" spans="1:24">
      <c r="A954">
        <v>38</v>
      </c>
      <c r="B954">
        <v>0</v>
      </c>
      <c r="C954">
        <v>0</v>
      </c>
      <c r="D954">
        <v>35.15</v>
      </c>
      <c r="E954">
        <v>0</v>
      </c>
      <c r="F954">
        <v>0</v>
      </c>
      <c r="G954">
        <v>0</v>
      </c>
      <c r="H954">
        <v>30.83</v>
      </c>
      <c r="I954">
        <v>8.0999999999999996E-3</v>
      </c>
      <c r="J954">
        <v>34.22</v>
      </c>
      <c r="K954">
        <v>0</v>
      </c>
      <c r="L954">
        <v>1.29E-2</v>
      </c>
      <c r="M954">
        <v>9.11E-2</v>
      </c>
      <c r="N954">
        <v>100.3121</v>
      </c>
      <c r="O954" t="s">
        <v>282</v>
      </c>
      <c r="P954" t="s">
        <v>112</v>
      </c>
      <c r="Q954">
        <f>I954-(K954*Standards!$I$15)</f>
        <v>8.0999999999999996E-3</v>
      </c>
    </row>
    <row r="955" spans="1:24">
      <c r="A955">
        <v>24</v>
      </c>
      <c r="B955">
        <v>0</v>
      </c>
      <c r="C955">
        <v>0</v>
      </c>
      <c r="D955">
        <v>35.44</v>
      </c>
      <c r="E955">
        <v>4.0000000000000002E-4</v>
      </c>
      <c r="F955">
        <v>0</v>
      </c>
      <c r="G955">
        <v>3.0000000000000001E-3</v>
      </c>
      <c r="H955">
        <v>30.8</v>
      </c>
      <c r="I955">
        <v>2.3699999999999999E-2</v>
      </c>
      <c r="J955">
        <v>34.57</v>
      </c>
      <c r="K955">
        <v>0</v>
      </c>
      <c r="L955">
        <v>1.38E-2</v>
      </c>
      <c r="M955">
        <v>0.1047</v>
      </c>
      <c r="N955">
        <v>100.9555</v>
      </c>
      <c r="O955" t="s">
        <v>283</v>
      </c>
      <c r="P955" t="s">
        <v>112</v>
      </c>
      <c r="Q955">
        <f>I955-(K955*Standards!$I$15)</f>
        <v>2.3699999999999999E-2</v>
      </c>
    </row>
    <row r="956" spans="1:24">
      <c r="A956">
        <v>27</v>
      </c>
      <c r="B956">
        <v>0</v>
      </c>
      <c r="C956">
        <v>0</v>
      </c>
      <c r="D956">
        <v>34.950000000000003</v>
      </c>
      <c r="E956">
        <v>1.0999999999999999E-2</v>
      </c>
      <c r="F956">
        <v>0</v>
      </c>
      <c r="G956">
        <v>0</v>
      </c>
      <c r="H956">
        <v>30.36</v>
      </c>
      <c r="I956">
        <v>1.23E-2</v>
      </c>
      <c r="J956">
        <v>34.51</v>
      </c>
      <c r="K956">
        <v>0</v>
      </c>
      <c r="L956">
        <v>6.2700000000000006E-2</v>
      </c>
      <c r="M956">
        <v>0.1196</v>
      </c>
      <c r="N956">
        <v>100.02549999999999</v>
      </c>
      <c r="O956" t="s">
        <v>283</v>
      </c>
      <c r="P956" t="s">
        <v>112</v>
      </c>
      <c r="Q956">
        <f>I956-(K956*Standards!$I$15)</f>
        <v>1.23E-2</v>
      </c>
    </row>
    <row r="957" spans="1:24">
      <c r="A957">
        <v>30</v>
      </c>
      <c r="B957">
        <v>2.0000000000000001E-4</v>
      </c>
      <c r="C957">
        <v>0</v>
      </c>
      <c r="D957">
        <v>34.93</v>
      </c>
      <c r="E957">
        <v>0</v>
      </c>
      <c r="F957">
        <v>0</v>
      </c>
      <c r="G957">
        <v>0</v>
      </c>
      <c r="H957">
        <v>30.55</v>
      </c>
      <c r="I957">
        <v>1.5699999999999999E-2</v>
      </c>
      <c r="J957">
        <v>34.479999999999997</v>
      </c>
      <c r="K957">
        <v>0</v>
      </c>
      <c r="L957">
        <v>5.0000000000000001E-3</v>
      </c>
      <c r="M957">
        <v>9.2799999999999994E-2</v>
      </c>
      <c r="N957">
        <v>100.0736</v>
      </c>
      <c r="O957" t="s">
        <v>283</v>
      </c>
      <c r="P957" t="s">
        <v>112</v>
      </c>
      <c r="Q957">
        <f>I957-(K957*Standards!$I$15)</f>
        <v>1.5699999999999999E-2</v>
      </c>
    </row>
    <row r="958" spans="1:24">
      <c r="A958">
        <v>26</v>
      </c>
      <c r="B958">
        <v>4.3E-3</v>
      </c>
      <c r="C958">
        <v>0</v>
      </c>
      <c r="D958">
        <v>35.07</v>
      </c>
      <c r="E958">
        <v>0</v>
      </c>
      <c r="F958">
        <v>0</v>
      </c>
      <c r="G958">
        <v>0</v>
      </c>
      <c r="H958">
        <v>30.58</v>
      </c>
      <c r="I958">
        <v>1.7000000000000001E-2</v>
      </c>
      <c r="J958">
        <v>34.450000000000003</v>
      </c>
      <c r="K958">
        <v>0</v>
      </c>
      <c r="L958">
        <v>2.5100000000000001E-2</v>
      </c>
      <c r="M958">
        <v>0.1176</v>
      </c>
      <c r="N958">
        <v>100.26390000000001</v>
      </c>
      <c r="O958" t="s">
        <v>283</v>
      </c>
      <c r="P958" t="s">
        <v>112</v>
      </c>
      <c r="Q958">
        <f>I958-(K958*Standards!$I$15)</f>
        <v>1.7000000000000001E-2</v>
      </c>
    </row>
    <row r="959" spans="1:24">
      <c r="A959">
        <v>29</v>
      </c>
      <c r="B959">
        <v>0</v>
      </c>
      <c r="C959">
        <v>0</v>
      </c>
      <c r="D959">
        <v>35.06</v>
      </c>
      <c r="E959">
        <v>0</v>
      </c>
      <c r="F959">
        <v>0</v>
      </c>
      <c r="G959">
        <v>0</v>
      </c>
      <c r="H959">
        <v>30.88</v>
      </c>
      <c r="I959">
        <v>1.5900000000000001E-2</v>
      </c>
      <c r="J959">
        <v>34.43</v>
      </c>
      <c r="K959">
        <v>0</v>
      </c>
      <c r="L959">
        <v>4.2999999999999997E-2</v>
      </c>
      <c r="M959">
        <v>0.10680000000000001</v>
      </c>
      <c r="N959">
        <v>100.5356</v>
      </c>
      <c r="O959" t="s">
        <v>283</v>
      </c>
      <c r="P959" t="s">
        <v>112</v>
      </c>
      <c r="Q959">
        <f>I959-(K959*Standards!$I$15)</f>
        <v>1.5900000000000001E-2</v>
      </c>
    </row>
    <row r="960" spans="1:24">
      <c r="A960">
        <v>28</v>
      </c>
      <c r="B960">
        <v>0</v>
      </c>
      <c r="C960">
        <v>0</v>
      </c>
      <c r="D960">
        <v>35.020000000000003</v>
      </c>
      <c r="E960">
        <v>8.0999999999999996E-3</v>
      </c>
      <c r="F960">
        <v>0</v>
      </c>
      <c r="G960">
        <v>1.6999999999999999E-3</v>
      </c>
      <c r="H960">
        <v>30.79</v>
      </c>
      <c r="I960">
        <v>2.1499999999999998E-2</v>
      </c>
      <c r="J960">
        <v>34.36</v>
      </c>
      <c r="K960">
        <v>0</v>
      </c>
      <c r="L960">
        <v>2.18E-2</v>
      </c>
      <c r="M960">
        <v>0.1226</v>
      </c>
      <c r="N960">
        <v>100.3456</v>
      </c>
      <c r="O960" t="s">
        <v>283</v>
      </c>
      <c r="P960" t="s">
        <v>112</v>
      </c>
      <c r="Q960">
        <f>I960-(K960*Standards!$I$15)</f>
        <v>2.1499999999999998E-2</v>
      </c>
    </row>
    <row r="961" spans="1:17">
      <c r="A961">
        <v>32</v>
      </c>
      <c r="B961">
        <v>0</v>
      </c>
      <c r="C961">
        <v>0</v>
      </c>
      <c r="D961">
        <v>34.96</v>
      </c>
      <c r="E961">
        <v>0</v>
      </c>
      <c r="F961">
        <v>0</v>
      </c>
      <c r="G961">
        <v>0</v>
      </c>
      <c r="H961">
        <v>30.26</v>
      </c>
      <c r="I961">
        <v>9.4999999999999998E-3</v>
      </c>
      <c r="J961">
        <v>34.21</v>
      </c>
      <c r="K961">
        <v>0</v>
      </c>
      <c r="L961">
        <v>0.441</v>
      </c>
      <c r="M961">
        <v>0.1036</v>
      </c>
      <c r="N961">
        <v>99.984200000000001</v>
      </c>
      <c r="O961" t="s">
        <v>283</v>
      </c>
      <c r="P961" t="s">
        <v>112</v>
      </c>
      <c r="Q961">
        <f>I961-(K961*Standards!$I$15)</f>
        <v>9.4999999999999998E-3</v>
      </c>
    </row>
    <row r="962" spans="1:17">
      <c r="A962">
        <v>25</v>
      </c>
      <c r="B962">
        <v>0</v>
      </c>
      <c r="C962">
        <v>0</v>
      </c>
      <c r="D962">
        <v>35.06</v>
      </c>
      <c r="E962">
        <v>5.0000000000000001E-4</v>
      </c>
      <c r="F962">
        <v>0</v>
      </c>
      <c r="G962">
        <v>0</v>
      </c>
      <c r="H962">
        <v>30.45</v>
      </c>
      <c r="I962">
        <v>1.8800000000000001E-2</v>
      </c>
      <c r="J962">
        <v>34.19</v>
      </c>
      <c r="K962">
        <v>0</v>
      </c>
      <c r="L962">
        <v>2.2800000000000001E-2</v>
      </c>
      <c r="M962">
        <v>0.1163</v>
      </c>
      <c r="N962">
        <v>99.858500000000006</v>
      </c>
      <c r="O962" t="s">
        <v>283</v>
      </c>
      <c r="P962" t="s">
        <v>112</v>
      </c>
      <c r="Q962">
        <f>I962-(K962*Standards!$I$15)</f>
        <v>1.8800000000000001E-2</v>
      </c>
    </row>
    <row r="963" spans="1:17">
      <c r="A963">
        <v>31</v>
      </c>
      <c r="B963">
        <v>1.1999999999999999E-3</v>
      </c>
      <c r="C963">
        <v>0</v>
      </c>
      <c r="D963">
        <v>34.85</v>
      </c>
      <c r="E963">
        <v>0</v>
      </c>
      <c r="F963">
        <v>0</v>
      </c>
      <c r="G963">
        <v>0</v>
      </c>
      <c r="H963">
        <v>30.63</v>
      </c>
      <c r="I963">
        <v>1.0699999999999999E-2</v>
      </c>
      <c r="J963">
        <v>33.97</v>
      </c>
      <c r="K963">
        <v>0</v>
      </c>
      <c r="L963">
        <v>3.0499999999999999E-2</v>
      </c>
      <c r="M963">
        <v>0.1019</v>
      </c>
      <c r="N963">
        <v>99.594399999999993</v>
      </c>
      <c r="O963" t="s">
        <v>283</v>
      </c>
      <c r="P963" t="s">
        <v>112</v>
      </c>
      <c r="Q963">
        <f>I963-(K963*Standards!$I$15)</f>
        <v>1.0699999999999999E-2</v>
      </c>
    </row>
    <row r="964" spans="1:17">
      <c r="A964">
        <v>43</v>
      </c>
      <c r="B964">
        <v>2.7000000000000001E-3</v>
      </c>
      <c r="C964">
        <v>0</v>
      </c>
      <c r="D964">
        <v>35.24</v>
      </c>
      <c r="E964">
        <v>0</v>
      </c>
      <c r="F964">
        <v>0</v>
      </c>
      <c r="G964">
        <v>0</v>
      </c>
      <c r="H964">
        <v>29.8</v>
      </c>
      <c r="I964">
        <v>9.1000000000000004E-3</v>
      </c>
      <c r="J964">
        <v>34.049999999999997</v>
      </c>
      <c r="K964">
        <v>0</v>
      </c>
      <c r="L964">
        <v>4.2099999999999999E-2</v>
      </c>
      <c r="M964">
        <v>0.15959999999999999</v>
      </c>
      <c r="N964">
        <v>99.303600000000003</v>
      </c>
      <c r="O964" t="s">
        <v>284</v>
      </c>
      <c r="P964" t="s">
        <v>33</v>
      </c>
      <c r="Q964">
        <f>I964-(K964*Standards!$I$15)</f>
        <v>9.1000000000000004E-3</v>
      </c>
    </row>
    <row r="965" spans="1:17">
      <c r="A965">
        <v>42</v>
      </c>
      <c r="B965">
        <v>4.4999999999999997E-3</v>
      </c>
      <c r="C965">
        <v>0</v>
      </c>
      <c r="D965">
        <v>35.08</v>
      </c>
      <c r="E965">
        <v>5.4000000000000003E-3</v>
      </c>
      <c r="F965">
        <v>0</v>
      </c>
      <c r="G965">
        <v>0</v>
      </c>
      <c r="H965">
        <v>29.06</v>
      </c>
      <c r="I965">
        <v>2.3999999999999998E-3</v>
      </c>
      <c r="J965">
        <v>34.21</v>
      </c>
      <c r="K965">
        <v>0</v>
      </c>
      <c r="L965">
        <v>3.2599999999999997E-2</v>
      </c>
      <c r="M965">
        <v>0.15629999999999999</v>
      </c>
      <c r="N965">
        <v>98.551299999999998</v>
      </c>
      <c r="O965" t="s">
        <v>285</v>
      </c>
      <c r="P965" t="s">
        <v>33</v>
      </c>
      <c r="Q965">
        <f>I965-(K965*Standards!$I$15)</f>
        <v>2.3999999999999998E-3</v>
      </c>
    </row>
    <row r="966" spans="1:17">
      <c r="A966">
        <v>15</v>
      </c>
      <c r="B966">
        <v>0</v>
      </c>
      <c r="C966">
        <v>0</v>
      </c>
      <c r="D966">
        <v>35.76</v>
      </c>
      <c r="E966">
        <v>7.3000000000000001E-3</v>
      </c>
      <c r="F966">
        <v>0</v>
      </c>
      <c r="G966">
        <v>0</v>
      </c>
      <c r="H966">
        <v>29.62</v>
      </c>
      <c r="I966">
        <v>2.6200000000000001E-2</v>
      </c>
      <c r="J966">
        <v>33.74</v>
      </c>
      <c r="K966">
        <v>0</v>
      </c>
      <c r="L966">
        <v>0.40989999999999999</v>
      </c>
      <c r="M966">
        <v>0.13669999999999999</v>
      </c>
      <c r="N966">
        <v>99.700199999999995</v>
      </c>
      <c r="O966" t="s">
        <v>286</v>
      </c>
      <c r="P966" t="s">
        <v>60</v>
      </c>
      <c r="Q966">
        <f>I966-(K966*Standards!$I$15)</f>
        <v>2.6200000000000001E-2</v>
      </c>
    </row>
    <row r="967" spans="1:17">
      <c r="A967">
        <v>19</v>
      </c>
      <c r="B967">
        <v>0</v>
      </c>
      <c r="C967">
        <v>0</v>
      </c>
      <c r="D967">
        <v>35.72</v>
      </c>
      <c r="E967">
        <v>1E-4</v>
      </c>
      <c r="F967">
        <v>0</v>
      </c>
      <c r="G967">
        <v>1.8E-3</v>
      </c>
      <c r="H967">
        <v>30.03</v>
      </c>
      <c r="I967">
        <v>1.6199999999999999E-2</v>
      </c>
      <c r="J967">
        <v>34.15</v>
      </c>
      <c r="K967">
        <v>0</v>
      </c>
      <c r="L967">
        <v>8.0799999999999997E-2</v>
      </c>
      <c r="M967">
        <v>0.13089999999999999</v>
      </c>
      <c r="N967">
        <v>100.1297</v>
      </c>
      <c r="O967" t="s">
        <v>286</v>
      </c>
      <c r="P967" t="s">
        <v>60</v>
      </c>
      <c r="Q967">
        <f>I967-(K967*Standards!$I$15)</f>
        <v>1.6199999999999999E-2</v>
      </c>
    </row>
    <row r="968" spans="1:17">
      <c r="A968">
        <v>17</v>
      </c>
      <c r="B968">
        <v>0</v>
      </c>
      <c r="C968">
        <v>0</v>
      </c>
      <c r="D968">
        <v>35.909999999999997</v>
      </c>
      <c r="E968">
        <v>0</v>
      </c>
      <c r="F968">
        <v>0</v>
      </c>
      <c r="G968">
        <v>0</v>
      </c>
      <c r="H968">
        <v>30.02</v>
      </c>
      <c r="I968">
        <v>1.4800000000000001E-2</v>
      </c>
      <c r="J968">
        <v>34.159999999999997</v>
      </c>
      <c r="K968">
        <v>0</v>
      </c>
      <c r="L968">
        <v>5.5500000000000001E-2</v>
      </c>
      <c r="M968">
        <v>0.15989999999999999</v>
      </c>
      <c r="N968">
        <v>100.3201</v>
      </c>
      <c r="O968" t="s">
        <v>286</v>
      </c>
      <c r="P968" t="s">
        <v>60</v>
      </c>
      <c r="Q968">
        <f>I968-(K968*Standards!$I$15)</f>
        <v>1.4800000000000001E-2</v>
      </c>
    </row>
    <row r="969" spans="1:17">
      <c r="A969">
        <v>16</v>
      </c>
      <c r="B969">
        <v>0</v>
      </c>
      <c r="C969">
        <v>0</v>
      </c>
      <c r="D969">
        <v>35.659999999999997</v>
      </c>
      <c r="E969">
        <v>0</v>
      </c>
      <c r="F969">
        <v>0</v>
      </c>
      <c r="G969">
        <v>0</v>
      </c>
      <c r="H969">
        <v>29.64</v>
      </c>
      <c r="I969">
        <v>1.61E-2</v>
      </c>
      <c r="J969">
        <v>34.25</v>
      </c>
      <c r="K969">
        <v>0</v>
      </c>
      <c r="L969">
        <v>0.27789999999999998</v>
      </c>
      <c r="M969">
        <v>0.15679999999999999</v>
      </c>
      <c r="N969">
        <v>100.00069999999999</v>
      </c>
      <c r="O969" t="s">
        <v>286</v>
      </c>
      <c r="P969" t="s">
        <v>60</v>
      </c>
      <c r="Q969">
        <f>I969-(K969*Standards!$I$15)</f>
        <v>1.61E-2</v>
      </c>
    </row>
    <row r="970" spans="1:17">
      <c r="A970">
        <v>20</v>
      </c>
      <c r="B970">
        <v>7.1999999999999998E-3</v>
      </c>
      <c r="C970">
        <v>0</v>
      </c>
      <c r="D970">
        <v>35.64</v>
      </c>
      <c r="E970">
        <v>1.4E-3</v>
      </c>
      <c r="F970">
        <v>0</v>
      </c>
      <c r="G970">
        <v>0</v>
      </c>
      <c r="H970">
        <v>29.88</v>
      </c>
      <c r="I970">
        <v>1.46E-2</v>
      </c>
      <c r="J970">
        <v>34.33</v>
      </c>
      <c r="K970">
        <v>0</v>
      </c>
      <c r="L970">
        <v>0.1216</v>
      </c>
      <c r="M970">
        <v>0.14710000000000001</v>
      </c>
      <c r="N970">
        <v>100.1418</v>
      </c>
      <c r="O970" t="s">
        <v>286</v>
      </c>
      <c r="P970" t="s">
        <v>60</v>
      </c>
      <c r="Q970">
        <f>I970-(K970*Standards!$I$15)</f>
        <v>1.46E-2</v>
      </c>
    </row>
    <row r="971" spans="1:17">
      <c r="A971">
        <v>14</v>
      </c>
      <c r="B971">
        <v>0</v>
      </c>
      <c r="C971">
        <v>0</v>
      </c>
      <c r="D971">
        <v>35.78</v>
      </c>
      <c r="E971">
        <v>7.1000000000000004E-3</v>
      </c>
      <c r="F971">
        <v>0</v>
      </c>
      <c r="G971">
        <v>0</v>
      </c>
      <c r="H971">
        <v>30.01</v>
      </c>
      <c r="I971">
        <v>1.4500000000000001E-2</v>
      </c>
      <c r="J971">
        <v>34.4</v>
      </c>
      <c r="K971">
        <v>0</v>
      </c>
      <c r="L971">
        <v>0.18310000000000001</v>
      </c>
      <c r="M971">
        <v>0.1371</v>
      </c>
      <c r="N971">
        <v>100.5317</v>
      </c>
      <c r="O971" t="s">
        <v>286</v>
      </c>
      <c r="P971" t="s">
        <v>60</v>
      </c>
      <c r="Q971">
        <f>I971-(K971*Standards!$I$15)</f>
        <v>1.4500000000000001E-2</v>
      </c>
    </row>
    <row r="972" spans="1:17">
      <c r="A972">
        <v>21</v>
      </c>
      <c r="B972">
        <v>0</v>
      </c>
      <c r="C972">
        <v>0</v>
      </c>
      <c r="D972">
        <v>35.54</v>
      </c>
      <c r="E972">
        <v>2.12E-2</v>
      </c>
      <c r="F972">
        <v>0</v>
      </c>
      <c r="G972">
        <v>0</v>
      </c>
      <c r="H972">
        <v>29.99</v>
      </c>
      <c r="I972">
        <v>1.38E-2</v>
      </c>
      <c r="J972">
        <v>34.409999999999997</v>
      </c>
      <c r="K972">
        <v>0</v>
      </c>
      <c r="L972">
        <v>0.1797</v>
      </c>
      <c r="M972">
        <v>0.1578</v>
      </c>
      <c r="N972">
        <v>100.3125</v>
      </c>
      <c r="O972" t="s">
        <v>286</v>
      </c>
      <c r="P972" t="s">
        <v>60</v>
      </c>
      <c r="Q972">
        <f>I972-(K972*Standards!$I$15)</f>
        <v>1.38E-2</v>
      </c>
    </row>
    <row r="973" spans="1:17">
      <c r="A973">
        <v>18</v>
      </c>
      <c r="B973">
        <v>0</v>
      </c>
      <c r="C973">
        <v>0</v>
      </c>
      <c r="D973">
        <v>35.630000000000003</v>
      </c>
      <c r="E973">
        <v>7.7999999999999996E-3</v>
      </c>
      <c r="F973">
        <v>0</v>
      </c>
      <c r="G973">
        <v>0</v>
      </c>
      <c r="H973">
        <v>30.05</v>
      </c>
      <c r="I973">
        <v>1.4999999999999999E-2</v>
      </c>
      <c r="J973">
        <v>34.44</v>
      </c>
      <c r="K973">
        <v>0</v>
      </c>
      <c r="L973">
        <v>0.1464</v>
      </c>
      <c r="M973">
        <v>0.15790000000000001</v>
      </c>
      <c r="N973">
        <v>100.44710000000001</v>
      </c>
      <c r="O973" t="s">
        <v>286</v>
      </c>
      <c r="P973" t="s">
        <v>60</v>
      </c>
      <c r="Q973">
        <f>I973-(K973*Standards!$I$15)</f>
        <v>1.4999999999999999E-2</v>
      </c>
    </row>
    <row r="974" spans="1:17">
      <c r="A974">
        <v>29</v>
      </c>
      <c r="B974">
        <v>0</v>
      </c>
      <c r="C974">
        <v>0</v>
      </c>
      <c r="D974">
        <v>36</v>
      </c>
      <c r="E974">
        <v>7.0000000000000001E-3</v>
      </c>
      <c r="F974">
        <v>0</v>
      </c>
      <c r="G974">
        <v>0</v>
      </c>
      <c r="H974">
        <v>29.56</v>
      </c>
      <c r="I974">
        <v>2.2800000000000001E-2</v>
      </c>
      <c r="J974">
        <v>33.86</v>
      </c>
      <c r="K974">
        <v>0</v>
      </c>
      <c r="L974">
        <v>0.86119999999999997</v>
      </c>
      <c r="M974">
        <v>0.1547</v>
      </c>
      <c r="N974">
        <v>100.46559999999999</v>
      </c>
      <c r="O974" t="s">
        <v>287</v>
      </c>
      <c r="P974" t="s">
        <v>60</v>
      </c>
      <c r="Q974">
        <f>I974-(K974*Standards!$I$15)</f>
        <v>2.2800000000000001E-2</v>
      </c>
    </row>
    <row r="975" spans="1:17">
      <c r="A975">
        <v>30</v>
      </c>
      <c r="B975">
        <v>5.0000000000000001E-4</v>
      </c>
      <c r="C975">
        <v>0</v>
      </c>
      <c r="D975">
        <v>35.369999999999997</v>
      </c>
      <c r="E975">
        <v>0</v>
      </c>
      <c r="F975">
        <v>0</v>
      </c>
      <c r="G975">
        <v>0</v>
      </c>
      <c r="H975">
        <v>29.93</v>
      </c>
      <c r="I975">
        <v>3.2500000000000001E-2</v>
      </c>
      <c r="J975">
        <v>34.270000000000003</v>
      </c>
      <c r="K975">
        <v>0</v>
      </c>
      <c r="L975">
        <v>0.2198</v>
      </c>
      <c r="M975">
        <v>0.1497</v>
      </c>
      <c r="N975">
        <v>99.972499999999997</v>
      </c>
      <c r="O975" t="s">
        <v>287</v>
      </c>
      <c r="P975" t="s">
        <v>60</v>
      </c>
      <c r="Q975">
        <f>I975-(K975*Standards!$I$15)</f>
        <v>3.2500000000000001E-2</v>
      </c>
    </row>
    <row r="976" spans="1:17">
      <c r="A976">
        <v>33</v>
      </c>
      <c r="B976">
        <v>0</v>
      </c>
      <c r="C976">
        <v>0</v>
      </c>
      <c r="D976">
        <v>35.47</v>
      </c>
      <c r="E976">
        <v>0</v>
      </c>
      <c r="F976">
        <v>0</v>
      </c>
      <c r="G976">
        <v>0</v>
      </c>
      <c r="H976">
        <v>29.72</v>
      </c>
      <c r="I976">
        <v>4.4299999999999999E-2</v>
      </c>
      <c r="J976">
        <v>34.06</v>
      </c>
      <c r="K976">
        <v>0.21840000000000001</v>
      </c>
      <c r="L976">
        <v>0.25390000000000001</v>
      </c>
      <c r="M976">
        <v>0.14130000000000001</v>
      </c>
      <c r="N976">
        <v>99.907899999999998</v>
      </c>
      <c r="O976" t="s">
        <v>288</v>
      </c>
      <c r="P976" t="s">
        <v>60</v>
      </c>
      <c r="Q976">
        <f>I976-(K976*Standards!$I$15)</f>
        <v>4.3816790000000001E-2</v>
      </c>
    </row>
    <row r="977" spans="1:23">
      <c r="A977">
        <v>43</v>
      </c>
      <c r="B977">
        <v>1.6999999999999999E-3</v>
      </c>
      <c r="C977">
        <v>0</v>
      </c>
      <c r="D977">
        <v>35.340000000000003</v>
      </c>
      <c r="E977">
        <v>0</v>
      </c>
      <c r="F977">
        <v>0</v>
      </c>
      <c r="G977">
        <v>0</v>
      </c>
      <c r="H977">
        <v>27.99</v>
      </c>
      <c r="I977">
        <v>0</v>
      </c>
      <c r="J977">
        <v>34.07</v>
      </c>
      <c r="K977">
        <v>0</v>
      </c>
      <c r="L977">
        <v>6.4399999999999999E-2</v>
      </c>
      <c r="M977">
        <v>0.14599999999999999</v>
      </c>
      <c r="N977">
        <v>97.612200000000001</v>
      </c>
      <c r="O977" t="s">
        <v>289</v>
      </c>
      <c r="P977" t="s">
        <v>290</v>
      </c>
      <c r="Q977">
        <f>I977-(K977*Standards!$I$15)</f>
        <v>0</v>
      </c>
      <c r="R977" t="s">
        <v>290</v>
      </c>
      <c r="S977">
        <f>COUNT(Q977,Q1053:Q1057)</f>
        <v>6</v>
      </c>
      <c r="T977">
        <f>MAX(L977,L1053:L1057)</f>
        <v>0.11360000000000001</v>
      </c>
      <c r="U977">
        <f>AVERAGE(L977,L1053:L1057)</f>
        <v>6.2933333333333327E-2</v>
      </c>
      <c r="V977">
        <f>10000*MAX(Q977,Q1053:Q1057)</f>
        <v>73</v>
      </c>
      <c r="W977">
        <f>10000*AVERAGE((Q977,Q1053:Q1057))</f>
        <v>29.833333333333332</v>
      </c>
    </row>
    <row r="978" spans="1:23">
      <c r="A978">
        <v>99</v>
      </c>
      <c r="B978">
        <v>5.2400000000000002E-2</v>
      </c>
      <c r="C978">
        <v>0</v>
      </c>
      <c r="D978">
        <v>35.33</v>
      </c>
      <c r="E978">
        <v>0.13270000000000001</v>
      </c>
      <c r="F978">
        <v>0</v>
      </c>
      <c r="G978">
        <v>0</v>
      </c>
      <c r="H978">
        <v>29.47</v>
      </c>
      <c r="I978">
        <v>5.4999999999999997E-3</v>
      </c>
      <c r="J978">
        <v>34.69</v>
      </c>
      <c r="K978">
        <v>0.18279999999999999</v>
      </c>
      <c r="L978">
        <v>2.9399999999999999E-2</v>
      </c>
      <c r="M978">
        <v>0.112</v>
      </c>
      <c r="N978">
        <v>100.0048</v>
      </c>
      <c r="O978" t="s">
        <v>291</v>
      </c>
      <c r="P978" t="s">
        <v>292</v>
      </c>
      <c r="Q978">
        <f>I978-(K978*Standards!$I$15)</f>
        <v>5.0955549999999999E-3</v>
      </c>
      <c r="R978" t="s">
        <v>292</v>
      </c>
      <c r="S978">
        <f>COUNT(Q978:Q994,Q1077:Q1112)</f>
        <v>53</v>
      </c>
      <c r="T978">
        <f>MAX(L978:L994,L1077:L1112)</f>
        <v>0.2135</v>
      </c>
      <c r="U978">
        <f>AVERAGE(L978:L994,L1077:L1112)</f>
        <v>3.2692452830188672E-2</v>
      </c>
      <c r="V978">
        <f>10000*MAX(Q978:Q994,Q1077:Q1112)</f>
        <v>285.48876249999995</v>
      </c>
      <c r="W978">
        <f>10000*AVERAGE(Q978:Q994,Q1077:Q1112)</f>
        <v>93.384347877358508</v>
      </c>
    </row>
    <row r="979" spans="1:23">
      <c r="A979">
        <v>95</v>
      </c>
      <c r="B979">
        <v>0</v>
      </c>
      <c r="C979">
        <v>0</v>
      </c>
      <c r="D979">
        <v>35.28</v>
      </c>
      <c r="E979">
        <v>0</v>
      </c>
      <c r="F979">
        <v>0</v>
      </c>
      <c r="G979">
        <v>0</v>
      </c>
      <c r="H979">
        <v>29.01</v>
      </c>
      <c r="I979">
        <v>1.3899999999999999E-2</v>
      </c>
      <c r="J979">
        <v>34.51</v>
      </c>
      <c r="K979">
        <v>0.17860000000000001</v>
      </c>
      <c r="L979">
        <v>2.3E-2</v>
      </c>
      <c r="M979">
        <v>0.1087</v>
      </c>
      <c r="N979">
        <v>99.124300000000005</v>
      </c>
      <c r="O979" t="s">
        <v>291</v>
      </c>
      <c r="P979" t="s">
        <v>292</v>
      </c>
      <c r="Q979">
        <f>I979-(K979*Standards!$I$15)</f>
        <v>1.3504847499999998E-2</v>
      </c>
    </row>
    <row r="980" spans="1:23">
      <c r="A980">
        <v>94</v>
      </c>
      <c r="B980">
        <v>1.5100000000000001E-2</v>
      </c>
      <c r="C980">
        <v>0</v>
      </c>
      <c r="D980">
        <v>35.380000000000003</v>
      </c>
      <c r="E980">
        <v>2.3E-2</v>
      </c>
      <c r="F980">
        <v>0</v>
      </c>
      <c r="G980">
        <v>0</v>
      </c>
      <c r="H980">
        <v>29.14</v>
      </c>
      <c r="I980">
        <v>1.03E-2</v>
      </c>
      <c r="J980">
        <v>34.44</v>
      </c>
      <c r="K980">
        <v>0.20549999999999999</v>
      </c>
      <c r="L980">
        <v>2.2499999999999999E-2</v>
      </c>
      <c r="M980">
        <v>0.16619999999999999</v>
      </c>
      <c r="N980">
        <v>99.402600000000007</v>
      </c>
      <c r="O980" t="s">
        <v>291</v>
      </c>
      <c r="P980" t="s">
        <v>292</v>
      </c>
      <c r="Q980">
        <f>I980-(K980*Standards!$I$15)</f>
        <v>9.8453312500000004E-3</v>
      </c>
    </row>
    <row r="981" spans="1:23">
      <c r="A981">
        <v>98</v>
      </c>
      <c r="B981">
        <v>8.0000000000000004E-4</v>
      </c>
      <c r="C981">
        <v>0</v>
      </c>
      <c r="D981">
        <v>35.5</v>
      </c>
      <c r="E981">
        <v>2.8E-3</v>
      </c>
      <c r="F981">
        <v>9.1000000000000004E-3</v>
      </c>
      <c r="G981">
        <v>0</v>
      </c>
      <c r="H981">
        <v>29.28</v>
      </c>
      <c r="I981">
        <v>9.7000000000000003E-3</v>
      </c>
      <c r="J981">
        <v>34.36</v>
      </c>
      <c r="K981">
        <v>0.18529999999999999</v>
      </c>
      <c r="L981">
        <v>3.9199999999999999E-2</v>
      </c>
      <c r="M981">
        <v>0.15240000000000001</v>
      </c>
      <c r="N981">
        <v>99.539400000000001</v>
      </c>
      <c r="O981" t="s">
        <v>291</v>
      </c>
      <c r="P981" t="s">
        <v>292</v>
      </c>
      <c r="Q981">
        <f>I981-(K981*Standards!$I$15)</f>
        <v>9.290023750000001E-3</v>
      </c>
    </row>
    <row r="982" spans="1:23">
      <c r="A982">
        <v>96</v>
      </c>
      <c r="B982">
        <v>1.8800000000000001E-2</v>
      </c>
      <c r="C982">
        <v>0</v>
      </c>
      <c r="D982">
        <v>35.19</v>
      </c>
      <c r="E982">
        <v>9.4000000000000004E-3</v>
      </c>
      <c r="F982">
        <v>0</v>
      </c>
      <c r="G982">
        <v>0</v>
      </c>
      <c r="H982">
        <v>28.85</v>
      </c>
      <c r="I982">
        <v>1.9199999999999998E-2</v>
      </c>
      <c r="J982">
        <v>34.33</v>
      </c>
      <c r="K982">
        <v>0.17180000000000001</v>
      </c>
      <c r="L982">
        <v>1.8800000000000001E-2</v>
      </c>
      <c r="M982">
        <v>0.1288</v>
      </c>
      <c r="N982">
        <v>98.736900000000006</v>
      </c>
      <c r="O982" t="s">
        <v>291</v>
      </c>
      <c r="P982" t="s">
        <v>292</v>
      </c>
      <c r="Q982">
        <f>I982-(K982*Standards!$I$15)</f>
        <v>1.8819892499999998E-2</v>
      </c>
    </row>
    <row r="983" spans="1:23">
      <c r="A983">
        <v>90</v>
      </c>
      <c r="B983">
        <v>1.9099999999999999E-2</v>
      </c>
      <c r="C983">
        <v>0</v>
      </c>
      <c r="D983">
        <v>35.35</v>
      </c>
      <c r="E983">
        <v>1.54E-2</v>
      </c>
      <c r="F983">
        <v>0</v>
      </c>
      <c r="G983">
        <v>0</v>
      </c>
      <c r="H983">
        <v>28.78</v>
      </c>
      <c r="I983">
        <v>2.8899999999999999E-2</v>
      </c>
      <c r="J983">
        <v>34.31</v>
      </c>
      <c r="K983">
        <v>0.15870000000000001</v>
      </c>
      <c r="L983">
        <v>3.7699999999999997E-2</v>
      </c>
      <c r="M983">
        <v>0.12959999999999999</v>
      </c>
      <c r="N983">
        <v>98.829499999999996</v>
      </c>
      <c r="O983" t="s">
        <v>291</v>
      </c>
      <c r="P983" t="s">
        <v>292</v>
      </c>
      <c r="Q983">
        <f>I983-(K983*Standards!$I$15)</f>
        <v>2.8548876249999997E-2</v>
      </c>
    </row>
    <row r="984" spans="1:23">
      <c r="A984">
        <v>91</v>
      </c>
      <c r="B984">
        <v>0</v>
      </c>
      <c r="C984">
        <v>0</v>
      </c>
      <c r="D984">
        <v>35.33</v>
      </c>
      <c r="E984">
        <v>1.2999999999999999E-3</v>
      </c>
      <c r="F984">
        <v>0</v>
      </c>
      <c r="G984">
        <v>0</v>
      </c>
      <c r="H984">
        <v>28.64</v>
      </c>
      <c r="I984">
        <v>1.14E-2</v>
      </c>
      <c r="J984">
        <v>34.18</v>
      </c>
      <c r="K984">
        <v>0.17499999999999999</v>
      </c>
      <c r="L984">
        <v>9.2999999999999992E-3</v>
      </c>
      <c r="M984">
        <v>0.1191</v>
      </c>
      <c r="N984">
        <v>98.466200000000001</v>
      </c>
      <c r="O984" t="s">
        <v>291</v>
      </c>
      <c r="P984" t="s">
        <v>292</v>
      </c>
      <c r="Q984">
        <f>I984-(K984*Standards!$I$15)</f>
        <v>1.10128125E-2</v>
      </c>
    </row>
    <row r="985" spans="1:23">
      <c r="A985">
        <v>89</v>
      </c>
      <c r="B985">
        <v>0</v>
      </c>
      <c r="C985">
        <v>0</v>
      </c>
      <c r="D985">
        <v>35.229999999999997</v>
      </c>
      <c r="E985">
        <v>8.2000000000000007E-3</v>
      </c>
      <c r="F985">
        <v>0</v>
      </c>
      <c r="G985">
        <v>0</v>
      </c>
      <c r="H985">
        <v>28.74</v>
      </c>
      <c r="I985">
        <v>8.8000000000000005E-3</v>
      </c>
      <c r="J985">
        <v>33.93</v>
      </c>
      <c r="K985">
        <v>0.19869999999999999</v>
      </c>
      <c r="L985">
        <v>4.6800000000000001E-2</v>
      </c>
      <c r="M985">
        <v>0.1193</v>
      </c>
      <c r="N985">
        <v>98.281899999999993</v>
      </c>
      <c r="O985" t="s">
        <v>291</v>
      </c>
      <c r="P985" t="s">
        <v>292</v>
      </c>
      <c r="Q985">
        <f>I985-(K985*Standards!$I$15)</f>
        <v>8.3603762500000008E-3</v>
      </c>
    </row>
    <row r="986" spans="1:23">
      <c r="A986">
        <v>88</v>
      </c>
      <c r="B986">
        <v>8.1600000000000006E-2</v>
      </c>
      <c r="C986">
        <v>8.8099999999999998E-2</v>
      </c>
      <c r="D986">
        <v>34.68</v>
      </c>
      <c r="E986">
        <v>0.23300000000000001</v>
      </c>
      <c r="F986">
        <v>0</v>
      </c>
      <c r="G986">
        <v>0</v>
      </c>
      <c r="H986">
        <v>29.07</v>
      </c>
      <c r="I986">
        <v>2.5399999999999999E-2</v>
      </c>
      <c r="J986">
        <v>33.69</v>
      </c>
      <c r="K986">
        <v>0.15509999999999999</v>
      </c>
      <c r="L986">
        <v>2.8000000000000001E-2</v>
      </c>
      <c r="M986">
        <v>0.15670000000000001</v>
      </c>
      <c r="N986">
        <v>98.207999999999998</v>
      </c>
      <c r="O986" t="s">
        <v>291</v>
      </c>
      <c r="P986" t="s">
        <v>292</v>
      </c>
      <c r="Q986">
        <f>I986-(K986*Standards!$I$15)</f>
        <v>2.505684125E-2</v>
      </c>
    </row>
    <row r="987" spans="1:23">
      <c r="A987">
        <v>92</v>
      </c>
      <c r="B987">
        <v>6.13E-2</v>
      </c>
      <c r="C987">
        <v>7.4000000000000003E-3</v>
      </c>
      <c r="D987">
        <v>35.01</v>
      </c>
      <c r="E987">
        <v>0.1983</v>
      </c>
      <c r="F987">
        <v>0</v>
      </c>
      <c r="G987">
        <v>0</v>
      </c>
      <c r="H987">
        <v>28.34</v>
      </c>
      <c r="I987">
        <v>5.1999999999999998E-3</v>
      </c>
      <c r="J987">
        <v>33.380000000000003</v>
      </c>
      <c r="K987">
        <v>0.19620000000000001</v>
      </c>
      <c r="L987">
        <v>1.5599999999999999E-2</v>
      </c>
      <c r="M987">
        <v>0.1363</v>
      </c>
      <c r="N987">
        <v>97.350300000000004</v>
      </c>
      <c r="O987" t="s">
        <v>291</v>
      </c>
      <c r="P987" t="s">
        <v>292</v>
      </c>
      <c r="Q987">
        <f>I987-(K987*Standards!$I$15)</f>
        <v>4.7659074999999995E-3</v>
      </c>
    </row>
    <row r="988" spans="1:23">
      <c r="A988">
        <v>103</v>
      </c>
      <c r="B988">
        <v>7.4999999999999997E-3</v>
      </c>
      <c r="C988">
        <v>0</v>
      </c>
      <c r="D988">
        <v>35.630000000000003</v>
      </c>
      <c r="E988">
        <v>3.8100000000000002E-2</v>
      </c>
      <c r="F988">
        <v>0</v>
      </c>
      <c r="G988">
        <v>0</v>
      </c>
      <c r="H988">
        <v>29.09</v>
      </c>
      <c r="I988">
        <v>6.1999999999999998E-3</v>
      </c>
      <c r="J988">
        <v>34.92</v>
      </c>
      <c r="K988">
        <v>0.1216</v>
      </c>
      <c r="L988">
        <v>4.3499999999999997E-2</v>
      </c>
      <c r="M988">
        <v>0.14360000000000001</v>
      </c>
      <c r="N988">
        <v>100.0005</v>
      </c>
      <c r="O988" t="s">
        <v>293</v>
      </c>
      <c r="P988" t="s">
        <v>292</v>
      </c>
      <c r="Q988">
        <f>I988-(K988*Standards!$I$15)</f>
        <v>5.9309599999999999E-3</v>
      </c>
    </row>
    <row r="989" spans="1:23">
      <c r="A989">
        <v>101</v>
      </c>
      <c r="B989">
        <v>7.4000000000000003E-3</v>
      </c>
      <c r="C989">
        <v>0</v>
      </c>
      <c r="D989">
        <v>35.44</v>
      </c>
      <c r="E989">
        <v>7.7999999999999996E-3</v>
      </c>
      <c r="F989">
        <v>0</v>
      </c>
      <c r="G989">
        <v>0</v>
      </c>
      <c r="H989">
        <v>29.53</v>
      </c>
      <c r="I989">
        <v>3.5000000000000001E-3</v>
      </c>
      <c r="J989">
        <v>34.659999999999997</v>
      </c>
      <c r="K989">
        <v>0.15129999999999999</v>
      </c>
      <c r="L989">
        <v>3.7100000000000001E-2</v>
      </c>
      <c r="M989">
        <v>0.1237</v>
      </c>
      <c r="N989">
        <v>99.960899999999995</v>
      </c>
      <c r="O989" t="s">
        <v>293</v>
      </c>
      <c r="P989" t="s">
        <v>292</v>
      </c>
      <c r="Q989">
        <f>I989-(K989*Standards!$I$15)</f>
        <v>3.1652487500000003E-3</v>
      </c>
    </row>
    <row r="990" spans="1:23">
      <c r="A990">
        <v>105</v>
      </c>
      <c r="B990">
        <v>1.2E-2</v>
      </c>
      <c r="C990">
        <v>0</v>
      </c>
      <c r="D990">
        <v>35.97</v>
      </c>
      <c r="E990">
        <v>5.1299999999999998E-2</v>
      </c>
      <c r="F990">
        <v>0</v>
      </c>
      <c r="G990">
        <v>0</v>
      </c>
      <c r="H990">
        <v>28.84</v>
      </c>
      <c r="I990">
        <v>6.1999999999999998E-3</v>
      </c>
      <c r="J990">
        <v>34.64</v>
      </c>
      <c r="K990">
        <v>0.10929999999999999</v>
      </c>
      <c r="L990">
        <v>2.23E-2</v>
      </c>
      <c r="M990">
        <v>0.18540000000000001</v>
      </c>
      <c r="N990">
        <v>99.836600000000004</v>
      </c>
      <c r="O990" t="s">
        <v>293</v>
      </c>
      <c r="P990" t="s">
        <v>292</v>
      </c>
      <c r="Q990">
        <f>I990-(K990*Standards!$I$15)</f>
        <v>5.9581737499999994E-3</v>
      </c>
    </row>
    <row r="991" spans="1:23">
      <c r="A991">
        <v>104</v>
      </c>
      <c r="B991">
        <v>5.0000000000000001E-4</v>
      </c>
      <c r="C991">
        <v>0</v>
      </c>
      <c r="D991">
        <v>35.590000000000003</v>
      </c>
      <c r="E991">
        <v>1.3599999999999999E-2</v>
      </c>
      <c r="F991">
        <v>0</v>
      </c>
      <c r="G991">
        <v>0</v>
      </c>
      <c r="H991">
        <v>28.71</v>
      </c>
      <c r="I991">
        <v>1.1599999999999999E-2</v>
      </c>
      <c r="J991">
        <v>34.61</v>
      </c>
      <c r="K991">
        <v>0</v>
      </c>
      <c r="L991">
        <v>6.7000000000000004E-2</v>
      </c>
      <c r="M991">
        <v>0.1492</v>
      </c>
      <c r="N991">
        <v>99.152000000000001</v>
      </c>
      <c r="O991" t="s">
        <v>293</v>
      </c>
      <c r="P991" t="s">
        <v>292</v>
      </c>
      <c r="Q991">
        <f>I991-(K991*Standards!$I$15)</f>
        <v>1.1599999999999999E-2</v>
      </c>
    </row>
    <row r="992" spans="1:23">
      <c r="A992">
        <v>116</v>
      </c>
      <c r="B992">
        <v>1.4E-3</v>
      </c>
      <c r="C992">
        <v>0</v>
      </c>
      <c r="D992">
        <v>35.56</v>
      </c>
      <c r="E992">
        <v>1.7399999999999999E-2</v>
      </c>
      <c r="F992">
        <v>0</v>
      </c>
      <c r="G992">
        <v>0</v>
      </c>
      <c r="H992">
        <v>28.7</v>
      </c>
      <c r="I992">
        <v>1.67E-2</v>
      </c>
      <c r="J992">
        <v>34.5</v>
      </c>
      <c r="K992">
        <v>0.1095</v>
      </c>
      <c r="L992">
        <v>3.5999999999999997E-2</v>
      </c>
      <c r="M992">
        <v>0.13789999999999999</v>
      </c>
      <c r="N992">
        <v>99.078999999999994</v>
      </c>
      <c r="O992" t="s">
        <v>293</v>
      </c>
      <c r="P992" t="s">
        <v>292</v>
      </c>
      <c r="Q992">
        <f>I992-(K992*Standards!$I$15)</f>
        <v>1.645773125E-2</v>
      </c>
    </row>
    <row r="993" spans="1:17">
      <c r="A993">
        <v>102</v>
      </c>
      <c r="B993">
        <v>8.3999999999999995E-3</v>
      </c>
      <c r="C993">
        <v>0</v>
      </c>
      <c r="D993">
        <v>35.28</v>
      </c>
      <c r="E993">
        <v>1.32E-2</v>
      </c>
      <c r="F993">
        <v>0</v>
      </c>
      <c r="G993">
        <v>0</v>
      </c>
      <c r="H993">
        <v>29.28</v>
      </c>
      <c r="I993">
        <v>3.2000000000000002E-3</v>
      </c>
      <c r="J993">
        <v>34.47</v>
      </c>
      <c r="K993">
        <v>0.1358</v>
      </c>
      <c r="L993">
        <v>3.73E-2</v>
      </c>
      <c r="M993">
        <v>0.13500000000000001</v>
      </c>
      <c r="N993">
        <v>99.363</v>
      </c>
      <c r="O993" t="s">
        <v>293</v>
      </c>
      <c r="P993" t="s">
        <v>292</v>
      </c>
      <c r="Q993">
        <f>I993-(K993*Standards!$I$15)</f>
        <v>2.8995425000000003E-3</v>
      </c>
    </row>
    <row r="994" spans="1:17">
      <c r="A994">
        <v>117</v>
      </c>
      <c r="B994">
        <v>0.3387</v>
      </c>
      <c r="C994">
        <v>0</v>
      </c>
      <c r="D994">
        <v>35.29</v>
      </c>
      <c r="E994">
        <v>9.64E-2</v>
      </c>
      <c r="F994">
        <v>0</v>
      </c>
      <c r="G994">
        <v>0</v>
      </c>
      <c r="H994">
        <v>28.6</v>
      </c>
      <c r="I994">
        <v>2.2000000000000001E-3</v>
      </c>
      <c r="J994">
        <v>34.119999999999997</v>
      </c>
      <c r="K994">
        <v>1.9300000000000001E-2</v>
      </c>
      <c r="L994">
        <v>3.7699999999999997E-2</v>
      </c>
      <c r="M994">
        <v>0.19589999999999999</v>
      </c>
      <c r="N994">
        <v>98.700199999999995</v>
      </c>
      <c r="O994" t="s">
        <v>293</v>
      </c>
      <c r="P994" t="s">
        <v>292</v>
      </c>
      <c r="Q994">
        <f>I994-(K994*Standards!$I$15)</f>
        <v>2.1572987500000002E-3</v>
      </c>
    </row>
    <row r="995" spans="1:17">
      <c r="A995">
        <v>135</v>
      </c>
      <c r="B995">
        <v>0</v>
      </c>
      <c r="C995">
        <v>0</v>
      </c>
      <c r="D995">
        <v>35.07</v>
      </c>
      <c r="E995">
        <v>6.9999999999999999E-4</v>
      </c>
      <c r="F995">
        <v>0</v>
      </c>
      <c r="G995">
        <v>0</v>
      </c>
      <c r="H995">
        <v>30.43</v>
      </c>
      <c r="I995">
        <v>0</v>
      </c>
      <c r="J995">
        <v>33.89</v>
      </c>
      <c r="K995">
        <v>0</v>
      </c>
      <c r="L995">
        <v>0.1206</v>
      </c>
      <c r="M995">
        <v>0.13039999999999999</v>
      </c>
      <c r="N995">
        <v>99.641800000000003</v>
      </c>
      <c r="O995" t="s">
        <v>294</v>
      </c>
      <c r="P995" t="s">
        <v>292</v>
      </c>
      <c r="Q995">
        <f>I995-(K995*Standards!$I$15)</f>
        <v>0</v>
      </c>
    </row>
    <row r="996" spans="1:17">
      <c r="A996">
        <v>141</v>
      </c>
      <c r="B996">
        <v>0</v>
      </c>
      <c r="C996">
        <v>0</v>
      </c>
      <c r="D996">
        <v>35.21</v>
      </c>
      <c r="E996">
        <v>0</v>
      </c>
      <c r="F996">
        <v>0</v>
      </c>
      <c r="G996">
        <v>0</v>
      </c>
      <c r="H996">
        <v>30.16</v>
      </c>
      <c r="I996">
        <v>0</v>
      </c>
      <c r="J996">
        <v>32.92</v>
      </c>
      <c r="K996">
        <v>0</v>
      </c>
      <c r="L996">
        <v>0.8266</v>
      </c>
      <c r="M996">
        <v>0.1182</v>
      </c>
      <c r="N996">
        <v>99.234800000000007</v>
      </c>
      <c r="O996" t="s">
        <v>294</v>
      </c>
      <c r="P996" t="s">
        <v>292</v>
      </c>
      <c r="Q996">
        <f>I996-(K996*Standards!$I$15)</f>
        <v>0</v>
      </c>
    </row>
    <row r="997" spans="1:17">
      <c r="A997">
        <v>119</v>
      </c>
      <c r="B997">
        <v>6.9999999999999999E-4</v>
      </c>
      <c r="C997">
        <v>0</v>
      </c>
      <c r="D997">
        <v>35.31</v>
      </c>
      <c r="E997">
        <v>7.9799999999999996E-2</v>
      </c>
      <c r="F997">
        <v>0</v>
      </c>
      <c r="G997">
        <v>0</v>
      </c>
      <c r="H997">
        <v>30.29</v>
      </c>
      <c r="I997">
        <v>0</v>
      </c>
      <c r="J997">
        <v>34.6</v>
      </c>
      <c r="K997">
        <v>0</v>
      </c>
      <c r="L997">
        <v>3.4500000000000003E-2</v>
      </c>
      <c r="M997">
        <v>0.12139999999999999</v>
      </c>
      <c r="N997">
        <v>100.4363</v>
      </c>
      <c r="O997" t="s">
        <v>295</v>
      </c>
      <c r="P997" t="s">
        <v>292</v>
      </c>
      <c r="Q997">
        <f>I997-(K997*Standards!$I$15)</f>
        <v>0</v>
      </c>
    </row>
    <row r="998" spans="1:17">
      <c r="A998">
        <v>110</v>
      </c>
      <c r="B998">
        <v>6.9999999999999999E-4</v>
      </c>
      <c r="C998">
        <v>0</v>
      </c>
      <c r="D998">
        <v>35.44</v>
      </c>
      <c r="E998">
        <v>0</v>
      </c>
      <c r="F998">
        <v>0</v>
      </c>
      <c r="G998">
        <v>0</v>
      </c>
      <c r="H998">
        <v>30.51</v>
      </c>
      <c r="I998">
        <v>1.2999999999999999E-3</v>
      </c>
      <c r="J998">
        <v>34.6</v>
      </c>
      <c r="K998">
        <v>0</v>
      </c>
      <c r="L998">
        <v>1.9099999999999999E-2</v>
      </c>
      <c r="M998">
        <v>0.14729999999999999</v>
      </c>
      <c r="N998">
        <v>100.7183</v>
      </c>
      <c r="O998" t="s">
        <v>295</v>
      </c>
      <c r="P998" t="s">
        <v>292</v>
      </c>
      <c r="Q998">
        <f>I998-(K998*Standards!$I$15)</f>
        <v>1.2999999999999999E-3</v>
      </c>
    </row>
    <row r="999" spans="1:17">
      <c r="A999">
        <v>109</v>
      </c>
      <c r="B999">
        <v>0</v>
      </c>
      <c r="C999">
        <v>0</v>
      </c>
      <c r="D999">
        <v>35.4</v>
      </c>
      <c r="E999">
        <v>6.7999999999999996E-3</v>
      </c>
      <c r="F999">
        <v>0</v>
      </c>
      <c r="G999">
        <v>0</v>
      </c>
      <c r="H999">
        <v>30.35</v>
      </c>
      <c r="I999">
        <v>0</v>
      </c>
      <c r="J999">
        <v>34.590000000000003</v>
      </c>
      <c r="K999">
        <v>0</v>
      </c>
      <c r="L999">
        <v>2.3E-2</v>
      </c>
      <c r="M999">
        <v>0.1487</v>
      </c>
      <c r="N999">
        <v>100.5184</v>
      </c>
      <c r="O999" t="s">
        <v>295</v>
      </c>
      <c r="P999" t="s">
        <v>292</v>
      </c>
      <c r="Q999">
        <f>I999-(K999*Standards!$I$15)</f>
        <v>0</v>
      </c>
    </row>
    <row r="1000" spans="1:17">
      <c r="A1000">
        <v>116</v>
      </c>
      <c r="B1000">
        <v>0</v>
      </c>
      <c r="C1000">
        <v>0</v>
      </c>
      <c r="D1000">
        <v>35.479999999999997</v>
      </c>
      <c r="E1000">
        <v>1.12E-2</v>
      </c>
      <c r="F1000">
        <v>0</v>
      </c>
      <c r="G1000">
        <v>0</v>
      </c>
      <c r="H1000">
        <v>30.38</v>
      </c>
      <c r="I1000">
        <v>0</v>
      </c>
      <c r="J1000">
        <v>34.54</v>
      </c>
      <c r="K1000">
        <v>0</v>
      </c>
      <c r="L1000">
        <v>9.4999999999999998E-3</v>
      </c>
      <c r="M1000">
        <v>0.12509999999999999</v>
      </c>
      <c r="N1000">
        <v>100.5457</v>
      </c>
      <c r="O1000" t="s">
        <v>295</v>
      </c>
      <c r="P1000" t="s">
        <v>292</v>
      </c>
      <c r="Q1000">
        <f>I1000-(K1000*Standards!$I$15)</f>
        <v>0</v>
      </c>
    </row>
    <row r="1001" spans="1:17">
      <c r="A1001">
        <v>107</v>
      </c>
      <c r="B1001">
        <v>3.0999999999999999E-3</v>
      </c>
      <c r="C1001">
        <v>0</v>
      </c>
      <c r="D1001">
        <v>35.51</v>
      </c>
      <c r="E1001">
        <v>9.4999999999999998E-3</v>
      </c>
      <c r="F1001">
        <v>0</v>
      </c>
      <c r="G1001">
        <v>0</v>
      </c>
      <c r="H1001">
        <v>30.79</v>
      </c>
      <c r="I1001">
        <v>1.9E-3</v>
      </c>
      <c r="J1001">
        <v>34.53</v>
      </c>
      <c r="K1001">
        <v>0</v>
      </c>
      <c r="L1001">
        <v>3.4500000000000003E-2</v>
      </c>
      <c r="M1001">
        <v>0.12379999999999999</v>
      </c>
      <c r="N1001">
        <v>101.0027</v>
      </c>
      <c r="O1001" t="s">
        <v>295</v>
      </c>
      <c r="P1001" t="s">
        <v>292</v>
      </c>
      <c r="Q1001">
        <f>I1001-(K1001*Standards!$I$15)</f>
        <v>1.9E-3</v>
      </c>
    </row>
    <row r="1002" spans="1:17">
      <c r="A1002">
        <v>108</v>
      </c>
      <c r="B1002">
        <v>0</v>
      </c>
      <c r="C1002">
        <v>0</v>
      </c>
      <c r="D1002">
        <v>35.4</v>
      </c>
      <c r="E1002">
        <v>6.7000000000000002E-3</v>
      </c>
      <c r="F1002">
        <v>0</v>
      </c>
      <c r="G1002">
        <v>0</v>
      </c>
      <c r="H1002">
        <v>30.46</v>
      </c>
      <c r="I1002">
        <v>4.0000000000000002E-4</v>
      </c>
      <c r="J1002">
        <v>34.520000000000003</v>
      </c>
      <c r="K1002">
        <v>0</v>
      </c>
      <c r="L1002">
        <v>4.1399999999999999E-2</v>
      </c>
      <c r="M1002">
        <v>0.1179</v>
      </c>
      <c r="N1002">
        <v>100.5463</v>
      </c>
      <c r="O1002" t="s">
        <v>295</v>
      </c>
      <c r="P1002" t="s">
        <v>292</v>
      </c>
      <c r="Q1002">
        <f>I1002-(K1002*Standards!$I$15)</f>
        <v>4.0000000000000002E-4</v>
      </c>
    </row>
    <row r="1003" spans="1:17">
      <c r="A1003">
        <v>111</v>
      </c>
      <c r="B1003">
        <v>0</v>
      </c>
      <c r="C1003">
        <v>0</v>
      </c>
      <c r="D1003">
        <v>35.409999999999997</v>
      </c>
      <c r="E1003">
        <v>0</v>
      </c>
      <c r="F1003">
        <v>0</v>
      </c>
      <c r="G1003">
        <v>0</v>
      </c>
      <c r="H1003">
        <v>30.5</v>
      </c>
      <c r="I1003">
        <v>0</v>
      </c>
      <c r="J1003">
        <v>34.520000000000003</v>
      </c>
      <c r="K1003">
        <v>0</v>
      </c>
      <c r="L1003">
        <v>1.8800000000000001E-2</v>
      </c>
      <c r="M1003">
        <v>0.15090000000000001</v>
      </c>
      <c r="N1003">
        <v>100.5997</v>
      </c>
      <c r="O1003" t="s">
        <v>295</v>
      </c>
      <c r="P1003" t="s">
        <v>292</v>
      </c>
      <c r="Q1003">
        <f>I1003-(K1003*Standards!$I$15)</f>
        <v>0</v>
      </c>
    </row>
    <row r="1004" spans="1:17">
      <c r="A1004">
        <v>118</v>
      </c>
      <c r="B1004">
        <v>3.0000000000000001E-3</v>
      </c>
      <c r="C1004">
        <v>0</v>
      </c>
      <c r="D1004">
        <v>35.6</v>
      </c>
      <c r="E1004">
        <v>1.66E-2</v>
      </c>
      <c r="F1004">
        <v>0</v>
      </c>
      <c r="G1004">
        <v>0</v>
      </c>
      <c r="H1004">
        <v>30.39</v>
      </c>
      <c r="I1004">
        <v>0</v>
      </c>
      <c r="J1004">
        <v>34.49</v>
      </c>
      <c r="K1004">
        <v>0</v>
      </c>
      <c r="L1004">
        <v>1.8499999999999999E-2</v>
      </c>
      <c r="M1004">
        <v>0.12509999999999999</v>
      </c>
      <c r="N1004">
        <v>100.64319999999999</v>
      </c>
      <c r="O1004" t="s">
        <v>295</v>
      </c>
      <c r="P1004" t="s">
        <v>292</v>
      </c>
      <c r="Q1004">
        <f>I1004-(K1004*Standards!$I$15)</f>
        <v>0</v>
      </c>
    </row>
    <row r="1005" spans="1:17">
      <c r="A1005">
        <v>117</v>
      </c>
      <c r="B1005">
        <v>0</v>
      </c>
      <c r="C1005">
        <v>0</v>
      </c>
      <c r="D1005">
        <v>35.36</v>
      </c>
      <c r="E1005">
        <v>4.1999999999999997E-3</v>
      </c>
      <c r="F1005">
        <v>2.3E-3</v>
      </c>
      <c r="G1005">
        <v>0</v>
      </c>
      <c r="H1005">
        <v>30.59</v>
      </c>
      <c r="I1005">
        <v>0</v>
      </c>
      <c r="J1005">
        <v>34.47</v>
      </c>
      <c r="K1005">
        <v>0</v>
      </c>
      <c r="L1005">
        <v>1.7100000000000001E-2</v>
      </c>
      <c r="M1005">
        <v>0.10920000000000001</v>
      </c>
      <c r="N1005">
        <v>100.5527</v>
      </c>
      <c r="O1005" t="s">
        <v>295</v>
      </c>
      <c r="P1005" t="s">
        <v>292</v>
      </c>
      <c r="Q1005">
        <f>I1005-(K1005*Standards!$I$15)</f>
        <v>0</v>
      </c>
    </row>
    <row r="1006" spans="1:17">
      <c r="A1006">
        <v>103</v>
      </c>
      <c r="B1006">
        <v>0</v>
      </c>
      <c r="C1006">
        <v>0</v>
      </c>
      <c r="D1006">
        <v>35.36</v>
      </c>
      <c r="E1006">
        <v>0</v>
      </c>
      <c r="F1006">
        <v>0</v>
      </c>
      <c r="G1006">
        <v>0</v>
      </c>
      <c r="H1006">
        <v>30.36</v>
      </c>
      <c r="I1006">
        <v>0</v>
      </c>
      <c r="J1006">
        <v>34.43</v>
      </c>
      <c r="K1006">
        <v>0</v>
      </c>
      <c r="L1006">
        <v>3.6799999999999999E-2</v>
      </c>
      <c r="M1006">
        <v>0.1343</v>
      </c>
      <c r="N1006">
        <v>100.321</v>
      </c>
      <c r="O1006" t="s">
        <v>295</v>
      </c>
      <c r="P1006" t="s">
        <v>292</v>
      </c>
      <c r="Q1006">
        <f>I1006-(K1006*Standards!$I$15)</f>
        <v>0</v>
      </c>
    </row>
    <row r="1007" spans="1:17">
      <c r="A1007">
        <v>101</v>
      </c>
      <c r="B1007">
        <v>0</v>
      </c>
      <c r="C1007">
        <v>0</v>
      </c>
      <c r="D1007">
        <v>35.270000000000003</v>
      </c>
      <c r="E1007">
        <v>0</v>
      </c>
      <c r="F1007">
        <v>0</v>
      </c>
      <c r="G1007">
        <v>0</v>
      </c>
      <c r="H1007">
        <v>30.39</v>
      </c>
      <c r="I1007">
        <v>0</v>
      </c>
      <c r="J1007">
        <v>34.42</v>
      </c>
      <c r="K1007">
        <v>0</v>
      </c>
      <c r="L1007">
        <v>2.4899999999999999E-2</v>
      </c>
      <c r="M1007">
        <v>0.13880000000000001</v>
      </c>
      <c r="N1007">
        <v>100.2437</v>
      </c>
      <c r="O1007" t="s">
        <v>295</v>
      </c>
      <c r="P1007" t="s">
        <v>292</v>
      </c>
      <c r="Q1007">
        <f>I1007-(K1007*Standards!$I$15)</f>
        <v>0</v>
      </c>
    </row>
    <row r="1008" spans="1:17">
      <c r="A1008">
        <v>102</v>
      </c>
      <c r="B1008">
        <v>7.9000000000000008E-3</v>
      </c>
      <c r="C1008">
        <v>0</v>
      </c>
      <c r="D1008">
        <v>35.409999999999997</v>
      </c>
      <c r="E1008">
        <v>6.4000000000000003E-3</v>
      </c>
      <c r="F1008">
        <v>0</v>
      </c>
      <c r="G1008">
        <v>0</v>
      </c>
      <c r="H1008">
        <v>30.41</v>
      </c>
      <c r="I1008">
        <v>0</v>
      </c>
      <c r="J1008">
        <v>34.4</v>
      </c>
      <c r="K1008">
        <v>0</v>
      </c>
      <c r="L1008">
        <v>4.0899999999999999E-2</v>
      </c>
      <c r="M1008">
        <v>0.1305</v>
      </c>
      <c r="N1008">
        <v>100.4057</v>
      </c>
      <c r="O1008" t="s">
        <v>295</v>
      </c>
      <c r="P1008" t="s">
        <v>292</v>
      </c>
      <c r="Q1008">
        <f>I1008-(K1008*Standards!$I$15)</f>
        <v>0</v>
      </c>
    </row>
    <row r="1009" spans="1:23">
      <c r="A1009">
        <v>120</v>
      </c>
      <c r="B1009">
        <v>0</v>
      </c>
      <c r="C1009">
        <v>0</v>
      </c>
      <c r="D1009">
        <v>35.47</v>
      </c>
      <c r="E1009">
        <v>0</v>
      </c>
      <c r="F1009">
        <v>0</v>
      </c>
      <c r="G1009">
        <v>0</v>
      </c>
      <c r="H1009">
        <v>30.36</v>
      </c>
      <c r="I1009">
        <v>0</v>
      </c>
      <c r="J1009">
        <v>34.4</v>
      </c>
      <c r="K1009">
        <v>0</v>
      </c>
      <c r="L1009">
        <v>1.7100000000000001E-2</v>
      </c>
      <c r="M1009">
        <v>0.11840000000000001</v>
      </c>
      <c r="N1009">
        <v>100.36539999999999</v>
      </c>
      <c r="O1009" t="s">
        <v>295</v>
      </c>
      <c r="P1009" t="s">
        <v>292</v>
      </c>
      <c r="Q1009">
        <f>I1009-(K1009*Standards!$I$15)</f>
        <v>0</v>
      </c>
    </row>
    <row r="1010" spans="1:23">
      <c r="A1010">
        <v>121</v>
      </c>
      <c r="B1010">
        <v>0</v>
      </c>
      <c r="C1010">
        <v>0</v>
      </c>
      <c r="D1010">
        <v>35.299999999999997</v>
      </c>
      <c r="E1010">
        <v>8.2000000000000007E-3</v>
      </c>
      <c r="F1010">
        <v>0</v>
      </c>
      <c r="G1010">
        <v>0</v>
      </c>
      <c r="H1010">
        <v>30.31</v>
      </c>
      <c r="I1010">
        <v>0</v>
      </c>
      <c r="J1010">
        <v>34.39</v>
      </c>
      <c r="K1010">
        <v>0</v>
      </c>
      <c r="L1010">
        <v>3.9300000000000002E-2</v>
      </c>
      <c r="M1010">
        <v>0.11550000000000001</v>
      </c>
      <c r="N1010">
        <v>100.16289999999999</v>
      </c>
      <c r="O1010" t="s">
        <v>295</v>
      </c>
      <c r="P1010" t="s">
        <v>292</v>
      </c>
      <c r="Q1010">
        <f>I1010-(K1010*Standards!$I$15)</f>
        <v>0</v>
      </c>
    </row>
    <row r="1011" spans="1:23">
      <c r="A1011">
        <v>115</v>
      </c>
      <c r="B1011">
        <v>0</v>
      </c>
      <c r="C1011">
        <v>0</v>
      </c>
      <c r="D1011">
        <v>35.42</v>
      </c>
      <c r="E1011">
        <v>8.6E-3</v>
      </c>
      <c r="F1011">
        <v>0</v>
      </c>
      <c r="G1011">
        <v>0</v>
      </c>
      <c r="H1011">
        <v>30.55</v>
      </c>
      <c r="I1011">
        <v>0</v>
      </c>
      <c r="J1011">
        <v>34.32</v>
      </c>
      <c r="K1011">
        <v>0</v>
      </c>
      <c r="L1011">
        <v>7.0400000000000004E-2</v>
      </c>
      <c r="M1011">
        <v>0.1318</v>
      </c>
      <c r="N1011">
        <v>100.50069999999999</v>
      </c>
      <c r="O1011" t="s">
        <v>295</v>
      </c>
      <c r="P1011" t="s">
        <v>292</v>
      </c>
      <c r="Q1011">
        <f>I1011-(K1011*Standards!$I$15)</f>
        <v>0</v>
      </c>
    </row>
    <row r="1012" spans="1:23">
      <c r="A1012">
        <v>125</v>
      </c>
      <c r="B1012">
        <v>2.9999999999999997E-4</v>
      </c>
      <c r="C1012">
        <v>0</v>
      </c>
      <c r="D1012">
        <v>35.200000000000003</v>
      </c>
      <c r="E1012">
        <v>0</v>
      </c>
      <c r="F1012">
        <v>0</v>
      </c>
      <c r="G1012">
        <v>0</v>
      </c>
      <c r="H1012">
        <v>30.56</v>
      </c>
      <c r="I1012">
        <v>0</v>
      </c>
      <c r="J1012">
        <v>34.299999999999997</v>
      </c>
      <c r="K1012">
        <v>0</v>
      </c>
      <c r="L1012">
        <v>6.0900000000000003E-2</v>
      </c>
      <c r="M1012">
        <v>0.1047</v>
      </c>
      <c r="N1012">
        <v>100.22580000000001</v>
      </c>
      <c r="O1012" t="s">
        <v>295</v>
      </c>
      <c r="P1012" t="s">
        <v>292</v>
      </c>
      <c r="Q1012">
        <f>I1012-(K1012*Standards!$I$15)</f>
        <v>0</v>
      </c>
    </row>
    <row r="1013" spans="1:23">
      <c r="A1013">
        <v>83</v>
      </c>
      <c r="B1013">
        <v>0</v>
      </c>
      <c r="C1013">
        <v>0</v>
      </c>
      <c r="D1013">
        <v>35.51</v>
      </c>
      <c r="E1013">
        <v>1.1000000000000001E-3</v>
      </c>
      <c r="F1013">
        <v>0</v>
      </c>
      <c r="G1013">
        <v>0</v>
      </c>
      <c r="H1013">
        <v>28.97</v>
      </c>
      <c r="I1013">
        <v>6.1000000000000004E-3</v>
      </c>
      <c r="J1013">
        <v>34.659999999999997</v>
      </c>
      <c r="K1013">
        <v>0</v>
      </c>
      <c r="L1013">
        <v>5.2200000000000003E-2</v>
      </c>
      <c r="M1013">
        <v>0.1148</v>
      </c>
      <c r="N1013">
        <v>99.314300000000003</v>
      </c>
      <c r="O1013" t="s">
        <v>296</v>
      </c>
      <c r="P1013" t="s">
        <v>297</v>
      </c>
      <c r="Q1013">
        <f>I1013-(K1013*Standards!$I$15)</f>
        <v>6.1000000000000004E-3</v>
      </c>
      <c r="R1013" t="s">
        <v>297</v>
      </c>
      <c r="S1013">
        <v>1</v>
      </c>
      <c r="T1013">
        <f>L1013</f>
        <v>5.2200000000000003E-2</v>
      </c>
      <c r="U1013">
        <f>L1013</f>
        <v>5.2200000000000003E-2</v>
      </c>
      <c r="V1013">
        <v>61</v>
      </c>
      <c r="W1013">
        <v>61</v>
      </c>
    </row>
    <row r="1014" spans="1:23">
      <c r="A1014">
        <v>4</v>
      </c>
      <c r="B1014">
        <v>3.0999999999999999E-3</v>
      </c>
      <c r="C1014">
        <v>0</v>
      </c>
      <c r="D1014">
        <v>35.42</v>
      </c>
      <c r="E1014">
        <v>0</v>
      </c>
      <c r="F1014">
        <v>0</v>
      </c>
      <c r="G1014">
        <v>0</v>
      </c>
      <c r="H1014">
        <v>29.16</v>
      </c>
      <c r="I1014">
        <v>2.8799999999999999E-2</v>
      </c>
      <c r="J1014">
        <v>34.799999999999997</v>
      </c>
      <c r="K1014">
        <v>0</v>
      </c>
      <c r="L1014">
        <v>3.0599999999999999E-2</v>
      </c>
      <c r="M1014">
        <v>0.14360000000000001</v>
      </c>
      <c r="N1014">
        <v>99.586200000000005</v>
      </c>
      <c r="O1014" t="s">
        <v>298</v>
      </c>
      <c r="P1014" t="s">
        <v>299</v>
      </c>
      <c r="Q1014">
        <f>I1014-(K1014*Standards!$I$15)</f>
        <v>2.8799999999999999E-2</v>
      </c>
      <c r="R1014" t="s">
        <v>299</v>
      </c>
      <c r="S1014">
        <f>COUNT(Q1014:Q1052)</f>
        <v>39</v>
      </c>
      <c r="T1014">
        <f>MAX(L1014:L1052)</f>
        <v>0.23</v>
      </c>
      <c r="U1014">
        <f>AVERAGE(L1014:L1052)</f>
        <v>3.9482051282051282E-2</v>
      </c>
      <c r="V1014">
        <f>10000*MAX(Q1014:Q1052)</f>
        <v>1040</v>
      </c>
      <c r="W1014">
        <f>10000*AVERAGE(Q1014:Q1052)</f>
        <v>443.64102564102581</v>
      </c>
    </row>
    <row r="1015" spans="1:23">
      <c r="A1015">
        <v>3</v>
      </c>
      <c r="B1015">
        <v>0</v>
      </c>
      <c r="C1015">
        <v>0</v>
      </c>
      <c r="D1015">
        <v>35.5</v>
      </c>
      <c r="E1015">
        <v>0</v>
      </c>
      <c r="F1015">
        <v>0</v>
      </c>
      <c r="G1015">
        <v>0</v>
      </c>
      <c r="H1015">
        <v>29.25</v>
      </c>
      <c r="I1015">
        <v>3.7699999999999997E-2</v>
      </c>
      <c r="J1015">
        <v>34.770000000000003</v>
      </c>
      <c r="K1015">
        <v>0</v>
      </c>
      <c r="L1015">
        <v>3.3000000000000002E-2</v>
      </c>
      <c r="M1015">
        <v>0.15079999999999999</v>
      </c>
      <c r="N1015">
        <v>99.741500000000002</v>
      </c>
      <c r="O1015" t="s">
        <v>298</v>
      </c>
      <c r="P1015" t="s">
        <v>299</v>
      </c>
      <c r="Q1015">
        <f>I1015-(K1015*Standards!$I$15)</f>
        <v>3.7699999999999997E-2</v>
      </c>
    </row>
    <row r="1016" spans="1:23">
      <c r="A1016">
        <v>29</v>
      </c>
      <c r="B1016">
        <v>0</v>
      </c>
      <c r="C1016">
        <v>0</v>
      </c>
      <c r="D1016">
        <v>35.51</v>
      </c>
      <c r="E1016">
        <v>8.9999999999999998E-4</v>
      </c>
      <c r="F1016">
        <v>0</v>
      </c>
      <c r="G1016">
        <v>0</v>
      </c>
      <c r="H1016">
        <v>28.58</v>
      </c>
      <c r="I1016">
        <v>2.8899999999999999E-2</v>
      </c>
      <c r="J1016">
        <v>34.76</v>
      </c>
      <c r="K1016">
        <v>0</v>
      </c>
      <c r="L1016">
        <v>3.9300000000000002E-2</v>
      </c>
      <c r="M1016">
        <v>0.15110000000000001</v>
      </c>
      <c r="N1016">
        <v>99.0702</v>
      </c>
      <c r="O1016" t="s">
        <v>298</v>
      </c>
      <c r="P1016" t="s">
        <v>299</v>
      </c>
      <c r="Q1016">
        <f>I1016-(K1016*Standards!$I$15)</f>
        <v>2.8899999999999999E-2</v>
      </c>
    </row>
    <row r="1017" spans="1:23">
      <c r="A1017">
        <v>26</v>
      </c>
      <c r="B1017">
        <v>3.5999999999999999E-3</v>
      </c>
      <c r="C1017">
        <v>0</v>
      </c>
      <c r="D1017">
        <v>35.64</v>
      </c>
      <c r="E1017">
        <v>0</v>
      </c>
      <c r="F1017">
        <v>0</v>
      </c>
      <c r="G1017">
        <v>0</v>
      </c>
      <c r="H1017">
        <v>28.88</v>
      </c>
      <c r="I1017">
        <v>3.1099999999999999E-2</v>
      </c>
      <c r="J1017">
        <v>34.74</v>
      </c>
      <c r="K1017">
        <v>0</v>
      </c>
      <c r="L1017">
        <v>4.0599999999999997E-2</v>
      </c>
      <c r="M1017">
        <v>0.128</v>
      </c>
      <c r="N1017">
        <v>99.463300000000004</v>
      </c>
      <c r="O1017" t="s">
        <v>298</v>
      </c>
      <c r="P1017" t="s">
        <v>299</v>
      </c>
      <c r="Q1017">
        <f>I1017-(K1017*Standards!$I$15)</f>
        <v>3.1099999999999999E-2</v>
      </c>
    </row>
    <row r="1018" spans="1:23">
      <c r="A1018">
        <v>5</v>
      </c>
      <c r="B1018">
        <v>6.9999999999999999E-4</v>
      </c>
      <c r="C1018">
        <v>0</v>
      </c>
      <c r="D1018">
        <v>35.5</v>
      </c>
      <c r="E1018">
        <v>3.5999999999999999E-3</v>
      </c>
      <c r="F1018">
        <v>0</v>
      </c>
      <c r="G1018">
        <v>0</v>
      </c>
      <c r="H1018">
        <v>28.94</v>
      </c>
      <c r="I1018">
        <v>3.1600000000000003E-2</v>
      </c>
      <c r="J1018">
        <v>34.72</v>
      </c>
      <c r="K1018">
        <v>0</v>
      </c>
      <c r="L1018">
        <v>4.7199999999999999E-2</v>
      </c>
      <c r="M1018">
        <v>0.1283</v>
      </c>
      <c r="N1018">
        <v>99.371499999999997</v>
      </c>
      <c r="O1018" t="s">
        <v>298</v>
      </c>
      <c r="P1018" t="s">
        <v>299</v>
      </c>
      <c r="Q1018">
        <f>I1018-(K1018*Standards!$I$15)</f>
        <v>3.1600000000000003E-2</v>
      </c>
    </row>
    <row r="1019" spans="1:23">
      <c r="A1019">
        <v>17</v>
      </c>
      <c r="B1019">
        <v>0</v>
      </c>
      <c r="C1019">
        <v>0</v>
      </c>
      <c r="D1019">
        <v>35.4</v>
      </c>
      <c r="E1019">
        <v>3.0000000000000001E-3</v>
      </c>
      <c r="F1019">
        <v>0</v>
      </c>
      <c r="G1019">
        <v>2.9999999999999997E-4</v>
      </c>
      <c r="H1019">
        <v>28.68</v>
      </c>
      <c r="I1019">
        <v>4.0000000000000001E-3</v>
      </c>
      <c r="J1019">
        <v>34.659999999999997</v>
      </c>
      <c r="K1019">
        <v>0</v>
      </c>
      <c r="L1019">
        <v>5.0200000000000002E-2</v>
      </c>
      <c r="M1019">
        <v>0.1149</v>
      </c>
      <c r="N1019">
        <v>98.912499999999994</v>
      </c>
      <c r="O1019" t="s">
        <v>298</v>
      </c>
      <c r="P1019" t="s">
        <v>299</v>
      </c>
      <c r="Q1019">
        <f>I1019-(K1019*Standards!$I$15)</f>
        <v>4.0000000000000001E-3</v>
      </c>
    </row>
    <row r="1020" spans="1:23">
      <c r="A1020">
        <v>2</v>
      </c>
      <c r="B1020">
        <v>0</v>
      </c>
      <c r="C1020">
        <v>0</v>
      </c>
      <c r="D1020">
        <v>35.51</v>
      </c>
      <c r="E1020">
        <v>0</v>
      </c>
      <c r="F1020">
        <v>0</v>
      </c>
      <c r="G1020">
        <v>0</v>
      </c>
      <c r="H1020">
        <v>29.25</v>
      </c>
      <c r="I1020">
        <v>3.6900000000000002E-2</v>
      </c>
      <c r="J1020">
        <v>34.64</v>
      </c>
      <c r="K1020">
        <v>0</v>
      </c>
      <c r="L1020">
        <v>3.32E-2</v>
      </c>
      <c r="M1020">
        <v>0.153</v>
      </c>
      <c r="N1020">
        <v>99.623199999999997</v>
      </c>
      <c r="O1020" t="s">
        <v>298</v>
      </c>
      <c r="P1020" t="s">
        <v>299</v>
      </c>
      <c r="Q1020">
        <f>I1020-(K1020*Standards!$I$15)</f>
        <v>3.6900000000000002E-2</v>
      </c>
    </row>
    <row r="1021" spans="1:23">
      <c r="A1021">
        <v>28</v>
      </c>
      <c r="B1021">
        <v>1.4E-3</v>
      </c>
      <c r="C1021">
        <v>0</v>
      </c>
      <c r="D1021">
        <v>35.409999999999997</v>
      </c>
      <c r="E1021">
        <v>0</v>
      </c>
      <c r="F1021">
        <v>0</v>
      </c>
      <c r="G1021">
        <v>0</v>
      </c>
      <c r="H1021">
        <v>28.77</v>
      </c>
      <c r="I1021">
        <v>3.27E-2</v>
      </c>
      <c r="J1021">
        <v>34.630000000000003</v>
      </c>
      <c r="K1021">
        <v>0</v>
      </c>
      <c r="L1021">
        <v>3.9300000000000002E-2</v>
      </c>
      <c r="M1021">
        <v>0.12970000000000001</v>
      </c>
      <c r="N1021">
        <v>99.013199999999998</v>
      </c>
      <c r="O1021" t="s">
        <v>298</v>
      </c>
      <c r="P1021" t="s">
        <v>299</v>
      </c>
      <c r="Q1021">
        <f>I1021-(K1021*Standards!$I$15)</f>
        <v>3.27E-2</v>
      </c>
    </row>
    <row r="1022" spans="1:23">
      <c r="A1022">
        <v>18</v>
      </c>
      <c r="B1022">
        <v>0</v>
      </c>
      <c r="C1022">
        <v>0</v>
      </c>
      <c r="D1022">
        <v>35.42</v>
      </c>
      <c r="E1022">
        <v>1.7899999999999999E-2</v>
      </c>
      <c r="F1022">
        <v>0</v>
      </c>
      <c r="G1022">
        <v>0</v>
      </c>
      <c r="H1022">
        <v>28.77</v>
      </c>
      <c r="I1022">
        <v>5.16E-2</v>
      </c>
      <c r="J1022">
        <v>34.590000000000003</v>
      </c>
      <c r="K1022">
        <v>0</v>
      </c>
      <c r="L1022">
        <v>2.2200000000000001E-2</v>
      </c>
      <c r="M1022">
        <v>0.13270000000000001</v>
      </c>
      <c r="N1022">
        <v>99.004499999999993</v>
      </c>
      <c r="O1022" t="s">
        <v>298</v>
      </c>
      <c r="P1022" t="s">
        <v>299</v>
      </c>
      <c r="Q1022">
        <f>I1022-(K1022*Standards!$I$15)</f>
        <v>5.16E-2</v>
      </c>
    </row>
    <row r="1023" spans="1:23">
      <c r="A1023">
        <v>22</v>
      </c>
      <c r="B1023">
        <v>0</v>
      </c>
      <c r="C1023">
        <v>0</v>
      </c>
      <c r="D1023">
        <v>35.409999999999997</v>
      </c>
      <c r="E1023">
        <v>2.35E-2</v>
      </c>
      <c r="F1023">
        <v>0</v>
      </c>
      <c r="G1023">
        <v>0</v>
      </c>
      <c r="H1023">
        <v>28.85</v>
      </c>
      <c r="I1023">
        <v>2.9700000000000001E-2</v>
      </c>
      <c r="J1023">
        <v>34.58</v>
      </c>
      <c r="K1023">
        <v>0</v>
      </c>
      <c r="L1023">
        <v>4.2799999999999998E-2</v>
      </c>
      <c r="M1023">
        <v>0.13650000000000001</v>
      </c>
      <c r="N1023">
        <v>99.072599999999994</v>
      </c>
      <c r="O1023" t="s">
        <v>298</v>
      </c>
      <c r="P1023" t="s">
        <v>299</v>
      </c>
      <c r="Q1023">
        <f>I1023-(K1023*Standards!$I$15)</f>
        <v>2.9700000000000001E-2</v>
      </c>
    </row>
    <row r="1024" spans="1:23">
      <c r="A1024">
        <v>20</v>
      </c>
      <c r="B1024">
        <v>0</v>
      </c>
      <c r="C1024">
        <v>0</v>
      </c>
      <c r="D1024">
        <v>35.43</v>
      </c>
      <c r="E1024">
        <v>0</v>
      </c>
      <c r="F1024">
        <v>0</v>
      </c>
      <c r="G1024">
        <v>0</v>
      </c>
      <c r="H1024">
        <v>28.84</v>
      </c>
      <c r="I1024">
        <v>3.1600000000000003E-2</v>
      </c>
      <c r="J1024">
        <v>34.53</v>
      </c>
      <c r="K1024">
        <v>0</v>
      </c>
      <c r="L1024">
        <v>8.0100000000000005E-2</v>
      </c>
      <c r="M1024">
        <v>0.14180000000000001</v>
      </c>
      <c r="N1024">
        <v>99.053600000000003</v>
      </c>
      <c r="O1024" t="s">
        <v>298</v>
      </c>
      <c r="P1024" t="s">
        <v>299</v>
      </c>
      <c r="Q1024">
        <f>I1024-(K1024*Standards!$I$15)</f>
        <v>3.1600000000000003E-2</v>
      </c>
    </row>
    <row r="1025" spans="1:17">
      <c r="A1025">
        <v>30</v>
      </c>
      <c r="B1025">
        <v>0</v>
      </c>
      <c r="C1025">
        <v>0</v>
      </c>
      <c r="D1025">
        <v>35.549999999999997</v>
      </c>
      <c r="E1025">
        <v>4.1000000000000003E-3</v>
      </c>
      <c r="F1025">
        <v>0</v>
      </c>
      <c r="G1025">
        <v>0</v>
      </c>
      <c r="H1025">
        <v>28.73</v>
      </c>
      <c r="I1025">
        <v>2.8000000000000001E-2</v>
      </c>
      <c r="J1025">
        <v>34.47</v>
      </c>
      <c r="K1025">
        <v>0</v>
      </c>
      <c r="L1025">
        <v>1.5299999999999999E-2</v>
      </c>
      <c r="M1025">
        <v>0.1366</v>
      </c>
      <c r="N1025">
        <v>98.934100000000001</v>
      </c>
      <c r="O1025" t="s">
        <v>298</v>
      </c>
      <c r="P1025" t="s">
        <v>299</v>
      </c>
      <c r="Q1025">
        <f>I1025-(K1025*Standards!$I$15)</f>
        <v>2.8000000000000001E-2</v>
      </c>
    </row>
    <row r="1026" spans="1:17">
      <c r="A1026">
        <v>21</v>
      </c>
      <c r="B1026">
        <v>0</v>
      </c>
      <c r="C1026">
        <v>0</v>
      </c>
      <c r="D1026">
        <v>35.49</v>
      </c>
      <c r="E1026">
        <v>0</v>
      </c>
      <c r="F1026">
        <v>0</v>
      </c>
      <c r="G1026">
        <v>0</v>
      </c>
      <c r="H1026">
        <v>28.87</v>
      </c>
      <c r="I1026">
        <v>2.58E-2</v>
      </c>
      <c r="J1026">
        <v>34.450000000000003</v>
      </c>
      <c r="K1026">
        <v>0</v>
      </c>
      <c r="L1026">
        <v>3.3399999999999999E-2</v>
      </c>
      <c r="M1026">
        <v>0.1338</v>
      </c>
      <c r="N1026">
        <v>99.003100000000003</v>
      </c>
      <c r="O1026" t="s">
        <v>298</v>
      </c>
      <c r="P1026" t="s">
        <v>299</v>
      </c>
      <c r="Q1026">
        <f>I1026-(K1026*Standards!$I$15)</f>
        <v>2.58E-2</v>
      </c>
    </row>
    <row r="1027" spans="1:17">
      <c r="A1027">
        <v>27</v>
      </c>
      <c r="B1027">
        <v>0</v>
      </c>
      <c r="C1027">
        <v>0</v>
      </c>
      <c r="D1027">
        <v>35.409999999999997</v>
      </c>
      <c r="E1027">
        <v>4.1999999999999997E-3</v>
      </c>
      <c r="F1027">
        <v>0</v>
      </c>
      <c r="G1027">
        <v>0</v>
      </c>
      <c r="H1027">
        <v>28.83</v>
      </c>
      <c r="I1027">
        <v>2.6700000000000002E-2</v>
      </c>
      <c r="J1027">
        <v>34.409999999999997</v>
      </c>
      <c r="K1027">
        <v>0</v>
      </c>
      <c r="L1027">
        <v>1.9199999999999998E-2</v>
      </c>
      <c r="M1027">
        <v>0.13159999999999999</v>
      </c>
      <c r="N1027">
        <v>98.831800000000001</v>
      </c>
      <c r="O1027" t="s">
        <v>298</v>
      </c>
      <c r="P1027" t="s">
        <v>299</v>
      </c>
      <c r="Q1027">
        <f>I1027-(K1027*Standards!$I$15)</f>
        <v>2.6700000000000002E-2</v>
      </c>
    </row>
    <row r="1028" spans="1:17">
      <c r="A1028">
        <v>19</v>
      </c>
      <c r="B1028">
        <v>2E-3</v>
      </c>
      <c r="C1028">
        <v>0</v>
      </c>
      <c r="D1028">
        <v>35.380000000000003</v>
      </c>
      <c r="E1028">
        <v>0</v>
      </c>
      <c r="F1028">
        <v>0</v>
      </c>
      <c r="G1028">
        <v>0</v>
      </c>
      <c r="H1028">
        <v>28.71</v>
      </c>
      <c r="I1028">
        <v>3.1800000000000002E-2</v>
      </c>
      <c r="J1028">
        <v>34.35</v>
      </c>
      <c r="K1028">
        <v>0</v>
      </c>
      <c r="L1028">
        <v>6.1999999999999998E-3</v>
      </c>
      <c r="M1028">
        <v>0.1192</v>
      </c>
      <c r="N1028">
        <v>98.599299999999999</v>
      </c>
      <c r="O1028" t="s">
        <v>298</v>
      </c>
      <c r="P1028" t="s">
        <v>299</v>
      </c>
      <c r="Q1028">
        <f>I1028-(K1028*Standards!$I$15)</f>
        <v>3.1800000000000002E-2</v>
      </c>
    </row>
    <row r="1029" spans="1:17">
      <c r="A1029">
        <v>1</v>
      </c>
      <c r="B1029">
        <v>2.8E-3</v>
      </c>
      <c r="C1029">
        <v>0</v>
      </c>
      <c r="D1029">
        <v>35.409999999999997</v>
      </c>
      <c r="E1029">
        <v>0</v>
      </c>
      <c r="F1029">
        <v>0</v>
      </c>
      <c r="G1029">
        <v>0</v>
      </c>
      <c r="H1029">
        <v>29.03</v>
      </c>
      <c r="I1029">
        <v>3.2800000000000003E-2</v>
      </c>
      <c r="J1029">
        <v>34.29</v>
      </c>
      <c r="K1029">
        <v>0</v>
      </c>
      <c r="L1029">
        <v>4.2799999999999998E-2</v>
      </c>
      <c r="M1029">
        <v>0.13800000000000001</v>
      </c>
      <c r="N1029">
        <v>98.9465</v>
      </c>
      <c r="O1029" t="s">
        <v>298</v>
      </c>
      <c r="P1029" t="s">
        <v>299</v>
      </c>
      <c r="Q1029">
        <f>I1029-(K1029*Standards!$I$15)</f>
        <v>3.2800000000000003E-2</v>
      </c>
    </row>
    <row r="1030" spans="1:17">
      <c r="A1030">
        <v>100</v>
      </c>
      <c r="B1030">
        <v>2.0999999999999999E-3</v>
      </c>
      <c r="C1030">
        <v>0</v>
      </c>
      <c r="D1030">
        <v>35.4</v>
      </c>
      <c r="E1030">
        <v>1.2999999999999999E-3</v>
      </c>
      <c r="F1030">
        <v>0</v>
      </c>
      <c r="G1030">
        <v>0</v>
      </c>
      <c r="H1030">
        <v>28.85</v>
      </c>
      <c r="I1030">
        <v>4.9700000000000001E-2</v>
      </c>
      <c r="J1030">
        <v>34.85</v>
      </c>
      <c r="K1030">
        <v>0</v>
      </c>
      <c r="L1030">
        <v>3.4500000000000003E-2</v>
      </c>
      <c r="M1030">
        <v>0.12039999999999999</v>
      </c>
      <c r="N1030">
        <v>99.308099999999996</v>
      </c>
      <c r="O1030" t="s">
        <v>300</v>
      </c>
      <c r="P1030" t="s">
        <v>299</v>
      </c>
      <c r="Q1030">
        <f>I1030-(K1030*Standards!$I$15)</f>
        <v>4.9700000000000001E-2</v>
      </c>
    </row>
    <row r="1031" spans="1:17">
      <c r="A1031">
        <v>105</v>
      </c>
      <c r="B1031">
        <v>0</v>
      </c>
      <c r="C1031">
        <v>0</v>
      </c>
      <c r="D1031">
        <v>35.270000000000003</v>
      </c>
      <c r="E1031">
        <v>0</v>
      </c>
      <c r="F1031">
        <v>0</v>
      </c>
      <c r="G1031">
        <v>0</v>
      </c>
      <c r="H1031">
        <v>28.69</v>
      </c>
      <c r="I1031">
        <v>3.44E-2</v>
      </c>
      <c r="J1031">
        <v>34.76</v>
      </c>
      <c r="K1031">
        <v>0</v>
      </c>
      <c r="L1031">
        <v>5.1200000000000002E-2</v>
      </c>
      <c r="M1031">
        <v>0.1132</v>
      </c>
      <c r="N1031">
        <v>98.918800000000005</v>
      </c>
      <c r="O1031" t="s">
        <v>300</v>
      </c>
      <c r="P1031" t="s">
        <v>299</v>
      </c>
      <c r="Q1031">
        <f>I1031-(K1031*Standards!$I$15)</f>
        <v>3.44E-2</v>
      </c>
    </row>
    <row r="1032" spans="1:17">
      <c r="A1032">
        <v>111</v>
      </c>
      <c r="B1032">
        <v>0</v>
      </c>
      <c r="C1032">
        <v>0</v>
      </c>
      <c r="D1032">
        <v>35.51</v>
      </c>
      <c r="E1032">
        <v>0</v>
      </c>
      <c r="F1032">
        <v>0</v>
      </c>
      <c r="G1032">
        <v>4.1999999999999997E-3</v>
      </c>
      <c r="H1032">
        <v>29.01</v>
      </c>
      <c r="I1032">
        <v>5.2900000000000003E-2</v>
      </c>
      <c r="J1032">
        <v>34.76</v>
      </c>
      <c r="K1032">
        <v>0</v>
      </c>
      <c r="L1032">
        <v>2.3800000000000002E-2</v>
      </c>
      <c r="M1032">
        <v>0.113</v>
      </c>
      <c r="N1032">
        <v>99.474000000000004</v>
      </c>
      <c r="O1032" t="s">
        <v>300</v>
      </c>
      <c r="P1032" t="s">
        <v>299</v>
      </c>
      <c r="Q1032">
        <f>I1032-(K1032*Standards!$I$15)</f>
        <v>5.2900000000000003E-2</v>
      </c>
    </row>
    <row r="1033" spans="1:17">
      <c r="A1033">
        <v>89</v>
      </c>
      <c r="B1033">
        <v>1.7299999999999999E-2</v>
      </c>
      <c r="C1033">
        <v>0</v>
      </c>
      <c r="D1033">
        <v>35.21</v>
      </c>
      <c r="E1033">
        <v>0</v>
      </c>
      <c r="F1033">
        <v>0</v>
      </c>
      <c r="G1033">
        <v>0</v>
      </c>
      <c r="H1033">
        <v>28.49</v>
      </c>
      <c r="I1033">
        <v>3.8800000000000001E-2</v>
      </c>
      <c r="J1033">
        <v>34.75</v>
      </c>
      <c r="K1033">
        <v>0</v>
      </c>
      <c r="L1033">
        <v>3.6999999999999998E-2</v>
      </c>
      <c r="M1033">
        <v>0.1191</v>
      </c>
      <c r="N1033">
        <v>98.662300000000002</v>
      </c>
      <c r="O1033" t="s">
        <v>300</v>
      </c>
      <c r="P1033" t="s">
        <v>299</v>
      </c>
      <c r="Q1033">
        <f>I1033-(K1033*Standards!$I$15)</f>
        <v>3.8800000000000001E-2</v>
      </c>
    </row>
    <row r="1034" spans="1:17">
      <c r="A1034">
        <v>109</v>
      </c>
      <c r="B1034">
        <v>3.5000000000000001E-3</v>
      </c>
      <c r="C1034">
        <v>0</v>
      </c>
      <c r="D1034">
        <v>35.4</v>
      </c>
      <c r="E1034">
        <v>0</v>
      </c>
      <c r="F1034">
        <v>0</v>
      </c>
      <c r="G1034">
        <v>0</v>
      </c>
      <c r="H1034">
        <v>29.1</v>
      </c>
      <c r="I1034">
        <v>5.8299999999999998E-2</v>
      </c>
      <c r="J1034">
        <v>34.74</v>
      </c>
      <c r="K1034">
        <v>0</v>
      </c>
      <c r="L1034">
        <v>3.0700000000000002E-2</v>
      </c>
      <c r="M1034">
        <v>0.1043</v>
      </c>
      <c r="N1034">
        <v>99.436899999999994</v>
      </c>
      <c r="O1034" t="s">
        <v>300</v>
      </c>
      <c r="P1034" t="s">
        <v>299</v>
      </c>
      <c r="Q1034">
        <f>I1034-(K1034*Standards!$I$15)</f>
        <v>5.8299999999999998E-2</v>
      </c>
    </row>
    <row r="1035" spans="1:17">
      <c r="A1035">
        <v>98</v>
      </c>
      <c r="B1035">
        <v>8.0000000000000002E-3</v>
      </c>
      <c r="C1035">
        <v>0</v>
      </c>
      <c r="D1035">
        <v>35.4</v>
      </c>
      <c r="E1035">
        <v>3.3E-3</v>
      </c>
      <c r="F1035">
        <v>0</v>
      </c>
      <c r="G1035">
        <v>0</v>
      </c>
      <c r="H1035">
        <v>28.84</v>
      </c>
      <c r="I1035">
        <v>5.04E-2</v>
      </c>
      <c r="J1035">
        <v>34.72</v>
      </c>
      <c r="K1035">
        <v>0</v>
      </c>
      <c r="L1035">
        <v>4.2799999999999998E-2</v>
      </c>
      <c r="M1035">
        <v>0.126</v>
      </c>
      <c r="N1035">
        <v>99.190600000000003</v>
      </c>
      <c r="O1035" t="s">
        <v>300</v>
      </c>
      <c r="P1035" t="s">
        <v>299</v>
      </c>
      <c r="Q1035">
        <f>I1035-(K1035*Standards!$I$15)</f>
        <v>5.04E-2</v>
      </c>
    </row>
    <row r="1036" spans="1:17">
      <c r="A1036">
        <v>101</v>
      </c>
      <c r="B1036">
        <v>5.7999999999999996E-3</v>
      </c>
      <c r="C1036">
        <v>0</v>
      </c>
      <c r="D1036">
        <v>35.17</v>
      </c>
      <c r="E1036">
        <v>4.0000000000000002E-4</v>
      </c>
      <c r="F1036">
        <v>0</v>
      </c>
      <c r="G1036">
        <v>0</v>
      </c>
      <c r="H1036">
        <v>28.78</v>
      </c>
      <c r="I1036">
        <v>4.9099999999999998E-2</v>
      </c>
      <c r="J1036">
        <v>34.71</v>
      </c>
      <c r="K1036">
        <v>0</v>
      </c>
      <c r="L1036">
        <v>4.4699999999999997E-2</v>
      </c>
      <c r="M1036">
        <v>0.11990000000000001</v>
      </c>
      <c r="N1036">
        <v>98.88</v>
      </c>
      <c r="O1036" t="s">
        <v>300</v>
      </c>
      <c r="P1036" t="s">
        <v>299</v>
      </c>
      <c r="Q1036">
        <f>I1036-(K1036*Standards!$I$15)</f>
        <v>4.9099999999999998E-2</v>
      </c>
    </row>
    <row r="1037" spans="1:17">
      <c r="A1037">
        <v>86</v>
      </c>
      <c r="B1037">
        <v>7.4999999999999997E-3</v>
      </c>
      <c r="C1037">
        <v>0</v>
      </c>
      <c r="D1037">
        <v>35.29</v>
      </c>
      <c r="E1037">
        <v>0</v>
      </c>
      <c r="F1037">
        <v>0</v>
      </c>
      <c r="G1037">
        <v>0</v>
      </c>
      <c r="H1037">
        <v>28.75</v>
      </c>
      <c r="I1037">
        <v>0.05</v>
      </c>
      <c r="J1037">
        <v>34.71</v>
      </c>
      <c r="K1037">
        <v>0</v>
      </c>
      <c r="L1037">
        <v>3.4200000000000001E-2</v>
      </c>
      <c r="M1037">
        <v>0.15790000000000001</v>
      </c>
      <c r="N1037">
        <v>98.999700000000004</v>
      </c>
      <c r="O1037" t="s">
        <v>300</v>
      </c>
      <c r="P1037" t="s">
        <v>299</v>
      </c>
      <c r="Q1037">
        <f>I1037-(K1037*Standards!$I$15)</f>
        <v>0.05</v>
      </c>
    </row>
    <row r="1038" spans="1:17">
      <c r="A1038">
        <v>95</v>
      </c>
      <c r="B1038">
        <v>1.7399999999999999E-2</v>
      </c>
      <c r="C1038">
        <v>0</v>
      </c>
      <c r="D1038">
        <v>35.36</v>
      </c>
      <c r="E1038">
        <v>0</v>
      </c>
      <c r="F1038">
        <v>0</v>
      </c>
      <c r="G1038">
        <v>0</v>
      </c>
      <c r="H1038">
        <v>28.93</v>
      </c>
      <c r="I1038">
        <v>6.3500000000000001E-2</v>
      </c>
      <c r="J1038">
        <v>34.67</v>
      </c>
      <c r="K1038">
        <v>0</v>
      </c>
      <c r="L1038">
        <v>3.6900000000000002E-2</v>
      </c>
      <c r="M1038">
        <v>0.1497</v>
      </c>
      <c r="N1038">
        <v>99.227599999999995</v>
      </c>
      <c r="O1038" t="s">
        <v>300</v>
      </c>
      <c r="P1038" t="s">
        <v>299</v>
      </c>
      <c r="Q1038">
        <f>I1038-(K1038*Standards!$I$15)</f>
        <v>6.3500000000000001E-2</v>
      </c>
    </row>
    <row r="1039" spans="1:17">
      <c r="A1039">
        <v>106</v>
      </c>
      <c r="B1039">
        <v>9.9000000000000008E-3</v>
      </c>
      <c r="C1039">
        <v>0</v>
      </c>
      <c r="D1039">
        <v>35.549999999999997</v>
      </c>
      <c r="E1039">
        <v>0</v>
      </c>
      <c r="F1039">
        <v>0</v>
      </c>
      <c r="G1039">
        <v>0</v>
      </c>
      <c r="H1039">
        <v>28.89</v>
      </c>
      <c r="I1039">
        <v>4.1000000000000002E-2</v>
      </c>
      <c r="J1039">
        <v>34.65</v>
      </c>
      <c r="K1039">
        <v>0</v>
      </c>
      <c r="L1039">
        <v>0.23</v>
      </c>
      <c r="M1039">
        <v>0.111</v>
      </c>
      <c r="N1039">
        <v>99.481999999999999</v>
      </c>
      <c r="O1039" t="s">
        <v>300</v>
      </c>
      <c r="P1039" t="s">
        <v>299</v>
      </c>
      <c r="Q1039">
        <f>I1039-(K1039*Standards!$I$15)</f>
        <v>4.1000000000000002E-2</v>
      </c>
    </row>
    <row r="1040" spans="1:17">
      <c r="A1040">
        <v>85</v>
      </c>
      <c r="B1040">
        <v>1E-4</v>
      </c>
      <c r="C1040">
        <v>0</v>
      </c>
      <c r="D1040">
        <v>35.29</v>
      </c>
      <c r="E1040">
        <v>2.8999999999999998E-3</v>
      </c>
      <c r="F1040">
        <v>0</v>
      </c>
      <c r="G1040">
        <v>0</v>
      </c>
      <c r="H1040">
        <v>28.45</v>
      </c>
      <c r="I1040">
        <v>4.7300000000000002E-2</v>
      </c>
      <c r="J1040">
        <v>34.65</v>
      </c>
      <c r="K1040">
        <v>0</v>
      </c>
      <c r="L1040">
        <v>2.7300000000000001E-2</v>
      </c>
      <c r="M1040">
        <v>0.12590000000000001</v>
      </c>
      <c r="N1040">
        <v>98.593599999999995</v>
      </c>
      <c r="O1040" t="s">
        <v>300</v>
      </c>
      <c r="P1040" t="s">
        <v>299</v>
      </c>
      <c r="Q1040">
        <f>I1040-(K1040*Standards!$I$15)</f>
        <v>4.7300000000000002E-2</v>
      </c>
    </row>
    <row r="1041" spans="1:23">
      <c r="A1041">
        <v>108</v>
      </c>
      <c r="B1041">
        <v>6.7999999999999996E-3</v>
      </c>
      <c r="C1041">
        <v>0</v>
      </c>
      <c r="D1041">
        <v>35.28</v>
      </c>
      <c r="E1041">
        <v>0</v>
      </c>
      <c r="F1041">
        <v>0</v>
      </c>
      <c r="G1041">
        <v>0</v>
      </c>
      <c r="H1041">
        <v>28.79</v>
      </c>
      <c r="I1041">
        <v>8.77E-2</v>
      </c>
      <c r="J1041">
        <v>34.630000000000003</v>
      </c>
      <c r="K1041">
        <v>0</v>
      </c>
      <c r="L1041">
        <v>2.6800000000000001E-2</v>
      </c>
      <c r="M1041">
        <v>0.10780000000000001</v>
      </c>
      <c r="N1041">
        <v>98.929199999999994</v>
      </c>
      <c r="O1041" t="s">
        <v>300</v>
      </c>
      <c r="P1041" t="s">
        <v>299</v>
      </c>
      <c r="Q1041">
        <f>I1041-(K1041*Standards!$I$15)</f>
        <v>8.77E-2</v>
      </c>
    </row>
    <row r="1042" spans="1:23">
      <c r="A1042">
        <v>113</v>
      </c>
      <c r="B1042">
        <v>1.37E-2</v>
      </c>
      <c r="C1042">
        <v>0</v>
      </c>
      <c r="D1042">
        <v>35.229999999999997</v>
      </c>
      <c r="E1042">
        <v>1.8E-3</v>
      </c>
      <c r="F1042">
        <v>0</v>
      </c>
      <c r="G1042">
        <v>0</v>
      </c>
      <c r="H1042">
        <v>28.74</v>
      </c>
      <c r="I1042">
        <v>4.2000000000000003E-2</v>
      </c>
      <c r="J1042">
        <v>34.6</v>
      </c>
      <c r="K1042">
        <v>0</v>
      </c>
      <c r="L1042">
        <v>4.2299999999999997E-2</v>
      </c>
      <c r="M1042">
        <v>0.1217</v>
      </c>
      <c r="N1042">
        <v>98.791499999999999</v>
      </c>
      <c r="O1042" t="s">
        <v>300</v>
      </c>
      <c r="P1042" t="s">
        <v>299</v>
      </c>
      <c r="Q1042">
        <f>I1042-(K1042*Standards!$I$15)</f>
        <v>4.2000000000000003E-2</v>
      </c>
    </row>
    <row r="1043" spans="1:23">
      <c r="A1043">
        <v>112</v>
      </c>
      <c r="B1043">
        <v>0</v>
      </c>
      <c r="C1043">
        <v>0</v>
      </c>
      <c r="D1043">
        <v>35.32</v>
      </c>
      <c r="E1043">
        <v>0</v>
      </c>
      <c r="F1043">
        <v>0</v>
      </c>
      <c r="G1043">
        <v>0</v>
      </c>
      <c r="H1043">
        <v>28.8</v>
      </c>
      <c r="I1043">
        <v>5.7799999999999997E-2</v>
      </c>
      <c r="J1043">
        <v>34.6</v>
      </c>
      <c r="K1043">
        <v>0</v>
      </c>
      <c r="L1043">
        <v>3.0099999999999998E-2</v>
      </c>
      <c r="M1043">
        <v>0.14249999999999999</v>
      </c>
      <c r="N1043">
        <v>98.950400000000002</v>
      </c>
      <c r="O1043" t="s">
        <v>300</v>
      </c>
      <c r="P1043" t="s">
        <v>299</v>
      </c>
      <c r="Q1043">
        <f>I1043-(K1043*Standards!$I$15)</f>
        <v>5.7799999999999997E-2</v>
      </c>
    </row>
    <row r="1044" spans="1:23">
      <c r="A1044">
        <v>110</v>
      </c>
      <c r="B1044">
        <v>1.6999999999999999E-3</v>
      </c>
      <c r="C1044">
        <v>0</v>
      </c>
      <c r="D1044">
        <v>35.24</v>
      </c>
      <c r="E1044">
        <v>0</v>
      </c>
      <c r="F1044">
        <v>0</v>
      </c>
      <c r="G1044">
        <v>0</v>
      </c>
      <c r="H1044">
        <v>28.84</v>
      </c>
      <c r="I1044">
        <v>6.6000000000000003E-2</v>
      </c>
      <c r="J1044">
        <v>34.57</v>
      </c>
      <c r="K1044">
        <v>0</v>
      </c>
      <c r="L1044">
        <v>3.6400000000000002E-2</v>
      </c>
      <c r="M1044">
        <v>0.1162</v>
      </c>
      <c r="N1044">
        <v>98.870400000000004</v>
      </c>
      <c r="O1044" t="s">
        <v>300</v>
      </c>
      <c r="P1044" t="s">
        <v>299</v>
      </c>
      <c r="Q1044">
        <f>I1044-(K1044*Standards!$I$15)</f>
        <v>6.6000000000000003E-2</v>
      </c>
    </row>
    <row r="1045" spans="1:23">
      <c r="A1045">
        <v>120</v>
      </c>
      <c r="B1045">
        <v>4.1000000000000003E-3</v>
      </c>
      <c r="C1045">
        <v>0</v>
      </c>
      <c r="D1045">
        <v>35.1</v>
      </c>
      <c r="E1045">
        <v>0</v>
      </c>
      <c r="F1045">
        <v>0</v>
      </c>
      <c r="G1045">
        <v>0</v>
      </c>
      <c r="H1045">
        <v>28.55</v>
      </c>
      <c r="I1045">
        <v>0.104</v>
      </c>
      <c r="J1045">
        <v>34.51</v>
      </c>
      <c r="K1045">
        <v>0</v>
      </c>
      <c r="L1045">
        <v>0</v>
      </c>
      <c r="M1045">
        <v>0.1293</v>
      </c>
      <c r="N1045">
        <v>98.397499999999994</v>
      </c>
      <c r="O1045" t="s">
        <v>300</v>
      </c>
      <c r="P1045" t="s">
        <v>299</v>
      </c>
      <c r="Q1045">
        <f>I1045-(K1045*Standards!$I$15)</f>
        <v>0.104</v>
      </c>
    </row>
    <row r="1046" spans="1:23">
      <c r="A1046">
        <v>107</v>
      </c>
      <c r="B1046">
        <v>0</v>
      </c>
      <c r="C1046">
        <v>0</v>
      </c>
      <c r="D1046">
        <v>35.43</v>
      </c>
      <c r="E1046">
        <v>1.4E-3</v>
      </c>
      <c r="F1046">
        <v>0</v>
      </c>
      <c r="G1046">
        <v>0</v>
      </c>
      <c r="H1046">
        <v>28.97</v>
      </c>
      <c r="I1046">
        <v>4.0099999999999997E-2</v>
      </c>
      <c r="J1046">
        <v>34.49</v>
      </c>
      <c r="K1046">
        <v>0</v>
      </c>
      <c r="L1046">
        <v>5.6099999999999997E-2</v>
      </c>
      <c r="M1046">
        <v>0.11310000000000001</v>
      </c>
      <c r="N1046">
        <v>99.100800000000007</v>
      </c>
      <c r="O1046" t="s">
        <v>300</v>
      </c>
      <c r="P1046" t="s">
        <v>299</v>
      </c>
      <c r="Q1046">
        <f>I1046-(K1046*Standards!$I$15)</f>
        <v>4.0099999999999997E-2</v>
      </c>
    </row>
    <row r="1047" spans="1:23">
      <c r="A1047">
        <v>96</v>
      </c>
      <c r="B1047">
        <v>1.6899999999999998E-2</v>
      </c>
      <c r="C1047">
        <v>0</v>
      </c>
      <c r="D1047">
        <v>35.619999999999997</v>
      </c>
      <c r="E1047">
        <v>2.8999999999999998E-3</v>
      </c>
      <c r="F1047">
        <v>0</v>
      </c>
      <c r="G1047">
        <v>0</v>
      </c>
      <c r="H1047">
        <v>28.42</v>
      </c>
      <c r="I1047">
        <v>5.96E-2</v>
      </c>
      <c r="J1047">
        <v>34.49</v>
      </c>
      <c r="K1047">
        <v>0</v>
      </c>
      <c r="L1047">
        <v>2.75E-2</v>
      </c>
      <c r="M1047">
        <v>0.13220000000000001</v>
      </c>
      <c r="N1047">
        <v>98.769199999999998</v>
      </c>
      <c r="O1047" t="s">
        <v>300</v>
      </c>
      <c r="P1047" t="s">
        <v>299</v>
      </c>
      <c r="Q1047">
        <f>I1047-(K1047*Standards!$I$15)</f>
        <v>5.96E-2</v>
      </c>
    </row>
    <row r="1048" spans="1:23">
      <c r="A1048">
        <v>97</v>
      </c>
      <c r="B1048">
        <v>2.4E-2</v>
      </c>
      <c r="C1048">
        <v>0</v>
      </c>
      <c r="D1048">
        <v>35.17</v>
      </c>
      <c r="E1048">
        <v>0</v>
      </c>
      <c r="F1048">
        <v>0</v>
      </c>
      <c r="G1048">
        <v>0</v>
      </c>
      <c r="H1048">
        <v>29.1</v>
      </c>
      <c r="I1048">
        <v>4.7600000000000003E-2</v>
      </c>
      <c r="J1048">
        <v>34.47</v>
      </c>
      <c r="K1048">
        <v>0</v>
      </c>
      <c r="L1048">
        <v>6.3500000000000001E-2</v>
      </c>
      <c r="M1048">
        <v>0.1051</v>
      </c>
      <c r="N1048">
        <v>98.9803</v>
      </c>
      <c r="O1048" t="s">
        <v>300</v>
      </c>
      <c r="P1048" t="s">
        <v>299</v>
      </c>
      <c r="Q1048">
        <f>I1048-(K1048*Standards!$I$15)</f>
        <v>4.7600000000000003E-2</v>
      </c>
    </row>
    <row r="1049" spans="1:23">
      <c r="A1049">
        <v>104</v>
      </c>
      <c r="B1049">
        <v>0</v>
      </c>
      <c r="C1049">
        <v>0</v>
      </c>
      <c r="D1049">
        <v>35.380000000000003</v>
      </c>
      <c r="E1049">
        <v>0</v>
      </c>
      <c r="F1049">
        <v>0</v>
      </c>
      <c r="G1049">
        <v>0</v>
      </c>
      <c r="H1049">
        <v>28.67</v>
      </c>
      <c r="I1049">
        <v>4.3499999999999997E-2</v>
      </c>
      <c r="J1049">
        <v>34.46</v>
      </c>
      <c r="K1049">
        <v>0</v>
      </c>
      <c r="L1049">
        <v>3.1899999999999998E-2</v>
      </c>
      <c r="M1049">
        <v>0.107</v>
      </c>
      <c r="N1049">
        <v>98.692499999999995</v>
      </c>
      <c r="O1049" t="s">
        <v>300</v>
      </c>
      <c r="P1049" t="s">
        <v>299</v>
      </c>
      <c r="Q1049">
        <f>I1049-(K1049*Standards!$I$15)</f>
        <v>4.3499999999999997E-2</v>
      </c>
    </row>
    <row r="1050" spans="1:23">
      <c r="A1050">
        <v>87</v>
      </c>
      <c r="B1050">
        <v>2.3E-3</v>
      </c>
      <c r="C1050">
        <v>0</v>
      </c>
      <c r="D1050">
        <v>35.409999999999997</v>
      </c>
      <c r="E1050">
        <v>0</v>
      </c>
      <c r="F1050">
        <v>0</v>
      </c>
      <c r="G1050">
        <v>0</v>
      </c>
      <c r="H1050">
        <v>28.7</v>
      </c>
      <c r="I1050">
        <v>5.4399999999999997E-2</v>
      </c>
      <c r="J1050">
        <v>34.33</v>
      </c>
      <c r="K1050">
        <v>0</v>
      </c>
      <c r="L1050">
        <v>0</v>
      </c>
      <c r="M1050">
        <v>0.12139999999999999</v>
      </c>
      <c r="N1050">
        <v>98.618200000000002</v>
      </c>
      <c r="O1050" t="s">
        <v>300</v>
      </c>
      <c r="P1050" t="s">
        <v>299</v>
      </c>
      <c r="Q1050">
        <f>I1050-(K1050*Standards!$I$15)</f>
        <v>5.4399999999999997E-2</v>
      </c>
    </row>
    <row r="1051" spans="1:23">
      <c r="A1051">
        <v>90</v>
      </c>
      <c r="B1051">
        <v>4.5999999999999999E-3</v>
      </c>
      <c r="C1051">
        <v>0</v>
      </c>
      <c r="D1051">
        <v>35.25</v>
      </c>
      <c r="E1051">
        <v>0</v>
      </c>
      <c r="F1051">
        <v>0</v>
      </c>
      <c r="G1051">
        <v>0</v>
      </c>
      <c r="H1051">
        <v>28.85</v>
      </c>
      <c r="I1051">
        <v>4.48E-2</v>
      </c>
      <c r="J1051">
        <v>34.270000000000003</v>
      </c>
      <c r="K1051">
        <v>0</v>
      </c>
      <c r="L1051">
        <v>5.4000000000000003E-3</v>
      </c>
      <c r="M1051">
        <v>0.11550000000000001</v>
      </c>
      <c r="N1051">
        <v>98.540400000000005</v>
      </c>
      <c r="O1051" t="s">
        <v>300</v>
      </c>
      <c r="P1051" t="s">
        <v>299</v>
      </c>
      <c r="Q1051">
        <f>I1051-(K1051*Standards!$I$15)</f>
        <v>4.48E-2</v>
      </c>
    </row>
    <row r="1052" spans="1:23">
      <c r="A1052">
        <v>99</v>
      </c>
      <c r="B1052">
        <v>2.5000000000000001E-3</v>
      </c>
      <c r="C1052">
        <v>0</v>
      </c>
      <c r="D1052">
        <v>35.35</v>
      </c>
      <c r="E1052">
        <v>0</v>
      </c>
      <c r="F1052">
        <v>0</v>
      </c>
      <c r="G1052">
        <v>0</v>
      </c>
      <c r="H1052">
        <v>28.99</v>
      </c>
      <c r="I1052">
        <v>5.7599999999999998E-2</v>
      </c>
      <c r="J1052">
        <v>34.22</v>
      </c>
      <c r="K1052">
        <v>0</v>
      </c>
      <c r="L1052">
        <v>5.1299999999999998E-2</v>
      </c>
      <c r="M1052">
        <v>0.13170000000000001</v>
      </c>
      <c r="N1052">
        <v>98.803200000000004</v>
      </c>
      <c r="O1052" t="s">
        <v>300</v>
      </c>
      <c r="P1052" t="s">
        <v>299</v>
      </c>
      <c r="Q1052">
        <f>I1052-(K1052*Standards!$I$15)</f>
        <v>5.7599999999999998E-2</v>
      </c>
    </row>
    <row r="1053" spans="1:23">
      <c r="A1053">
        <v>166</v>
      </c>
      <c r="B1053">
        <v>6.3E-3</v>
      </c>
      <c r="C1053">
        <v>0</v>
      </c>
      <c r="D1053">
        <v>35.200000000000003</v>
      </c>
      <c r="E1053">
        <v>1.78E-2</v>
      </c>
      <c r="F1053">
        <v>0</v>
      </c>
      <c r="G1053">
        <v>0</v>
      </c>
      <c r="H1053">
        <v>30.8</v>
      </c>
      <c r="I1053">
        <v>8.0000000000000004E-4</v>
      </c>
      <c r="J1053">
        <v>33.659999999999997</v>
      </c>
      <c r="K1053">
        <v>0</v>
      </c>
      <c r="L1053">
        <v>3.2099999999999997E-2</v>
      </c>
      <c r="M1053">
        <v>0.11940000000000001</v>
      </c>
      <c r="N1053">
        <v>99.836500000000001</v>
      </c>
      <c r="O1053" t="s">
        <v>301</v>
      </c>
      <c r="P1053" t="s">
        <v>290</v>
      </c>
      <c r="Q1053">
        <f>I1053-(K1053*Standards!$I$15)</f>
        <v>8.0000000000000004E-4</v>
      </c>
      <c r="R1053" t="s">
        <v>302</v>
      </c>
      <c r="S1053">
        <f>COUNT(Q1058:Q1076,Q1113:Q1128)</f>
        <v>35</v>
      </c>
      <c r="T1053">
        <f>MAX(L1058:L1076,L1113:L1128)</f>
        <v>0.31590000000000001</v>
      </c>
      <c r="U1053">
        <f>AVERAGE(L1058:L1076,L1113:L1128)</f>
        <v>6.0394285714285713E-2</v>
      </c>
      <c r="V1053">
        <f>10000*MAX(Q1058:Q1076,Q1113:Q1128)</f>
        <v>744.12807499999997</v>
      </c>
      <c r="W1053">
        <f>10000*AVERAGE(Q1058:Q1076,Q1113:Q1128)</f>
        <v>179.203585</v>
      </c>
    </row>
    <row r="1054" spans="1:23">
      <c r="A1054">
        <v>167</v>
      </c>
      <c r="B1054">
        <v>1.1000000000000001E-3</v>
      </c>
      <c r="C1054">
        <v>0</v>
      </c>
      <c r="D1054">
        <v>35.18</v>
      </c>
      <c r="E1054">
        <v>3.2000000000000002E-3</v>
      </c>
      <c r="F1054">
        <v>0</v>
      </c>
      <c r="G1054">
        <v>0</v>
      </c>
      <c r="H1054">
        <v>30.78</v>
      </c>
      <c r="I1054">
        <v>8.9999999999999998E-4</v>
      </c>
      <c r="J1054">
        <v>33.5</v>
      </c>
      <c r="K1054">
        <v>0</v>
      </c>
      <c r="L1054">
        <v>3.9E-2</v>
      </c>
      <c r="M1054">
        <v>0.1016</v>
      </c>
      <c r="N1054">
        <v>99.605900000000005</v>
      </c>
      <c r="O1054" t="s">
        <v>301</v>
      </c>
      <c r="P1054" t="s">
        <v>290</v>
      </c>
      <c r="Q1054">
        <f>I1054-(K1054*Standards!$I$15)</f>
        <v>8.9999999999999998E-4</v>
      </c>
    </row>
    <row r="1055" spans="1:23">
      <c r="A1055">
        <v>161</v>
      </c>
      <c r="B1055">
        <v>0</v>
      </c>
      <c r="C1055">
        <v>0</v>
      </c>
      <c r="D1055">
        <v>35.020000000000003</v>
      </c>
      <c r="E1055">
        <v>4.8999999999999998E-3</v>
      </c>
      <c r="F1055">
        <v>0</v>
      </c>
      <c r="G1055">
        <v>0</v>
      </c>
      <c r="H1055">
        <v>30.67</v>
      </c>
      <c r="I1055">
        <v>1.6999999999999999E-3</v>
      </c>
      <c r="J1055">
        <v>33.22</v>
      </c>
      <c r="K1055">
        <v>0</v>
      </c>
      <c r="L1055">
        <v>0.1016</v>
      </c>
      <c r="M1055">
        <v>0.10970000000000001</v>
      </c>
      <c r="N1055">
        <v>99.128</v>
      </c>
      <c r="O1055" t="s">
        <v>301</v>
      </c>
      <c r="P1055" t="s">
        <v>290</v>
      </c>
      <c r="Q1055">
        <f>I1055-(K1055*Standards!$I$15)</f>
        <v>1.6999999999999999E-3</v>
      </c>
    </row>
    <row r="1056" spans="1:23">
      <c r="A1056">
        <v>162</v>
      </c>
      <c r="B1056">
        <v>7.1000000000000004E-3</v>
      </c>
      <c r="C1056">
        <v>0</v>
      </c>
      <c r="D1056">
        <v>35.1</v>
      </c>
      <c r="E1056">
        <v>0</v>
      </c>
      <c r="F1056">
        <v>0</v>
      </c>
      <c r="G1056">
        <v>0</v>
      </c>
      <c r="H1056">
        <v>30.58</v>
      </c>
      <c r="I1056">
        <v>7.3000000000000001E-3</v>
      </c>
      <c r="J1056">
        <v>33.1</v>
      </c>
      <c r="K1056">
        <v>0</v>
      </c>
      <c r="L1056">
        <v>0.11360000000000001</v>
      </c>
      <c r="M1056">
        <v>0.1144</v>
      </c>
      <c r="N1056">
        <v>99.022499999999994</v>
      </c>
      <c r="O1056" t="s">
        <v>301</v>
      </c>
      <c r="P1056" t="s">
        <v>290</v>
      </c>
      <c r="Q1056">
        <f>I1056-(K1056*Standards!$I$15)</f>
        <v>7.3000000000000001E-3</v>
      </c>
    </row>
    <row r="1057" spans="1:17">
      <c r="A1057">
        <v>165</v>
      </c>
      <c r="B1057">
        <v>0</v>
      </c>
      <c r="C1057">
        <v>0</v>
      </c>
      <c r="D1057">
        <v>35.299999999999997</v>
      </c>
      <c r="E1057">
        <v>5.0000000000000001E-3</v>
      </c>
      <c r="F1057">
        <v>3.8999999999999998E-3</v>
      </c>
      <c r="G1057">
        <v>0</v>
      </c>
      <c r="H1057">
        <v>30.79</v>
      </c>
      <c r="I1057">
        <v>7.1999999999999998E-3</v>
      </c>
      <c r="J1057">
        <v>33.01</v>
      </c>
      <c r="K1057">
        <v>0</v>
      </c>
      <c r="L1057">
        <v>2.69E-2</v>
      </c>
      <c r="M1057">
        <v>0.1221</v>
      </c>
      <c r="N1057">
        <v>99.265199999999993</v>
      </c>
      <c r="O1057" t="s">
        <v>301</v>
      </c>
      <c r="P1057" t="s">
        <v>290</v>
      </c>
      <c r="Q1057">
        <f>I1057-(K1057*Standards!$I$15)</f>
        <v>7.1999999999999998E-3</v>
      </c>
    </row>
    <row r="1058" spans="1:17">
      <c r="A1058">
        <v>67</v>
      </c>
      <c r="B1058">
        <v>0</v>
      </c>
      <c r="C1058">
        <v>0</v>
      </c>
      <c r="D1058">
        <v>35.409999999999997</v>
      </c>
      <c r="E1058">
        <v>3.3300000000000003E-2</v>
      </c>
      <c r="F1058">
        <v>0</v>
      </c>
      <c r="G1058">
        <v>0</v>
      </c>
      <c r="H1058">
        <v>30.05</v>
      </c>
      <c r="I1058">
        <v>0</v>
      </c>
      <c r="J1058">
        <v>35.090000000000003</v>
      </c>
      <c r="K1058">
        <v>0.23469999999999999</v>
      </c>
      <c r="L1058">
        <v>6.5699999999999995E-2</v>
      </c>
      <c r="M1058">
        <v>0.1366</v>
      </c>
      <c r="N1058">
        <v>101.0202</v>
      </c>
      <c r="O1058" t="s">
        <v>303</v>
      </c>
      <c r="P1058" t="s">
        <v>302</v>
      </c>
      <c r="Q1058">
        <f>I1058-(K1058*Standards!$I$15)</f>
        <v>-5.1927375000000004E-4</v>
      </c>
    </row>
    <row r="1059" spans="1:17">
      <c r="A1059">
        <v>77</v>
      </c>
      <c r="B1059">
        <v>0</v>
      </c>
      <c r="C1059">
        <v>0</v>
      </c>
      <c r="D1059">
        <v>35.44</v>
      </c>
      <c r="E1059">
        <v>1.84E-2</v>
      </c>
      <c r="F1059">
        <v>0</v>
      </c>
      <c r="G1059">
        <v>0</v>
      </c>
      <c r="H1059">
        <v>30.17</v>
      </c>
      <c r="I1059">
        <v>1.6999999999999999E-3</v>
      </c>
      <c r="J1059">
        <v>35.01</v>
      </c>
      <c r="K1059">
        <v>0.2298</v>
      </c>
      <c r="L1059">
        <v>5.2200000000000003E-2</v>
      </c>
      <c r="M1059">
        <v>0.114</v>
      </c>
      <c r="N1059">
        <v>101.036</v>
      </c>
      <c r="O1059" t="s">
        <v>303</v>
      </c>
      <c r="P1059" t="s">
        <v>302</v>
      </c>
      <c r="Q1059">
        <f>I1059-(K1059*Standards!$I$15)</f>
        <v>1.1915674999999999E-3</v>
      </c>
    </row>
    <row r="1060" spans="1:17">
      <c r="A1060">
        <v>40</v>
      </c>
      <c r="B1060">
        <v>0</v>
      </c>
      <c r="C1060">
        <v>0</v>
      </c>
      <c r="D1060">
        <v>35.58</v>
      </c>
      <c r="E1060">
        <v>5.4000000000000003E-3</v>
      </c>
      <c r="F1060">
        <v>5.0000000000000001E-3</v>
      </c>
      <c r="G1060">
        <v>0</v>
      </c>
      <c r="H1060">
        <v>29.79</v>
      </c>
      <c r="I1060">
        <v>0</v>
      </c>
      <c r="J1060">
        <v>35</v>
      </c>
      <c r="K1060">
        <v>2.0999999999999999E-3</v>
      </c>
      <c r="L1060">
        <v>2.3099999999999999E-2</v>
      </c>
      <c r="M1060">
        <v>0.12989999999999999</v>
      </c>
      <c r="N1060">
        <v>100.5354</v>
      </c>
      <c r="O1060" t="s">
        <v>303</v>
      </c>
      <c r="P1060" t="s">
        <v>302</v>
      </c>
      <c r="Q1060">
        <f>I1060-(K1060*Standards!$I$15)</f>
        <v>-4.6462499999999998E-6</v>
      </c>
    </row>
    <row r="1061" spans="1:17">
      <c r="A1061">
        <v>59</v>
      </c>
      <c r="B1061">
        <v>0</v>
      </c>
      <c r="C1061">
        <v>0</v>
      </c>
      <c r="D1061">
        <v>35.590000000000003</v>
      </c>
      <c r="E1061">
        <v>4.3E-3</v>
      </c>
      <c r="F1061">
        <v>1.4800000000000001E-2</v>
      </c>
      <c r="G1061">
        <v>0</v>
      </c>
      <c r="H1061">
        <v>30.06</v>
      </c>
      <c r="I1061">
        <v>0</v>
      </c>
      <c r="J1061">
        <v>34.97</v>
      </c>
      <c r="K1061">
        <v>0.2407</v>
      </c>
      <c r="L1061">
        <v>2.76E-2</v>
      </c>
      <c r="M1061">
        <v>0.12559999999999999</v>
      </c>
      <c r="N1061">
        <v>101.033</v>
      </c>
      <c r="O1061" t="s">
        <v>303</v>
      </c>
      <c r="P1061" t="s">
        <v>302</v>
      </c>
      <c r="Q1061">
        <f>I1061-(K1061*Standards!$I$15)</f>
        <v>-5.3254875000000002E-4</v>
      </c>
    </row>
    <row r="1062" spans="1:17">
      <c r="A1062">
        <v>41</v>
      </c>
      <c r="B1062">
        <v>0</v>
      </c>
      <c r="C1062">
        <v>0</v>
      </c>
      <c r="D1062">
        <v>35.6</v>
      </c>
      <c r="E1062">
        <v>2.4400000000000002E-2</v>
      </c>
      <c r="F1062">
        <v>9.4999999999999998E-3</v>
      </c>
      <c r="G1062">
        <v>0</v>
      </c>
      <c r="H1062">
        <v>29.61</v>
      </c>
      <c r="I1062">
        <v>0</v>
      </c>
      <c r="J1062">
        <v>34.96</v>
      </c>
      <c r="K1062">
        <v>0</v>
      </c>
      <c r="L1062">
        <v>8.9599999999999999E-2</v>
      </c>
      <c r="M1062">
        <v>0.15609999999999999</v>
      </c>
      <c r="N1062">
        <v>100.4495</v>
      </c>
      <c r="O1062" t="s">
        <v>303</v>
      </c>
      <c r="P1062" t="s">
        <v>302</v>
      </c>
      <c r="Q1062">
        <f>I1062-(K1062*Standards!$I$15)</f>
        <v>0</v>
      </c>
    </row>
    <row r="1063" spans="1:17">
      <c r="A1063">
        <v>26</v>
      </c>
      <c r="B1063">
        <v>2.7000000000000001E-3</v>
      </c>
      <c r="C1063">
        <v>0</v>
      </c>
      <c r="D1063">
        <v>35.590000000000003</v>
      </c>
      <c r="E1063">
        <v>2.1499999999999998E-2</v>
      </c>
      <c r="F1063">
        <v>0</v>
      </c>
      <c r="G1063">
        <v>0</v>
      </c>
      <c r="H1063">
        <v>29.69</v>
      </c>
      <c r="I1063">
        <v>1.09E-2</v>
      </c>
      <c r="J1063">
        <v>34.93</v>
      </c>
      <c r="K1063">
        <v>0</v>
      </c>
      <c r="L1063">
        <v>3.61E-2</v>
      </c>
      <c r="M1063">
        <v>0.1384</v>
      </c>
      <c r="N1063">
        <v>100.4195</v>
      </c>
      <c r="O1063" t="s">
        <v>303</v>
      </c>
      <c r="P1063" t="s">
        <v>302</v>
      </c>
      <c r="Q1063">
        <f>I1063-(K1063*Standards!$I$15)</f>
        <v>1.09E-2</v>
      </c>
    </row>
    <row r="1064" spans="1:17">
      <c r="A1064">
        <v>65</v>
      </c>
      <c r="B1064">
        <v>0</v>
      </c>
      <c r="C1064">
        <v>0</v>
      </c>
      <c r="D1064">
        <v>35.53</v>
      </c>
      <c r="E1064">
        <v>3.7600000000000001E-2</v>
      </c>
      <c r="F1064">
        <v>1.38E-2</v>
      </c>
      <c r="G1064">
        <v>0</v>
      </c>
      <c r="H1064">
        <v>29.92</v>
      </c>
      <c r="I1064">
        <v>1.2699999999999999E-2</v>
      </c>
      <c r="J1064">
        <v>34.92</v>
      </c>
      <c r="K1064">
        <v>0.23519999999999999</v>
      </c>
      <c r="L1064">
        <v>3.5999999999999997E-2</v>
      </c>
      <c r="M1064">
        <v>0.1084</v>
      </c>
      <c r="N1064">
        <v>100.8137</v>
      </c>
      <c r="O1064" t="s">
        <v>303</v>
      </c>
      <c r="P1064" t="s">
        <v>302</v>
      </c>
      <c r="Q1064">
        <f>I1064-(K1064*Standards!$I$15)</f>
        <v>1.2179619999999999E-2</v>
      </c>
    </row>
    <row r="1065" spans="1:17">
      <c r="A1065">
        <v>66</v>
      </c>
      <c r="B1065">
        <v>0</v>
      </c>
      <c r="C1065">
        <v>0</v>
      </c>
      <c r="D1065">
        <v>35.65</v>
      </c>
      <c r="E1065">
        <v>2.53E-2</v>
      </c>
      <c r="F1065">
        <v>0</v>
      </c>
      <c r="G1065">
        <v>0</v>
      </c>
      <c r="H1065">
        <v>29.86</v>
      </c>
      <c r="I1065">
        <v>7.4899999999999994E-2</v>
      </c>
      <c r="J1065">
        <v>34.909999999999997</v>
      </c>
      <c r="K1065">
        <v>0.22020000000000001</v>
      </c>
      <c r="L1065">
        <v>2.29E-2</v>
      </c>
      <c r="M1065">
        <v>0.1258</v>
      </c>
      <c r="N1065">
        <v>100.8891</v>
      </c>
      <c r="O1065" t="s">
        <v>303</v>
      </c>
      <c r="P1065" t="s">
        <v>302</v>
      </c>
      <c r="Q1065">
        <f>I1065-(K1065*Standards!$I$15)</f>
        <v>7.4412807499999997E-2</v>
      </c>
    </row>
    <row r="1066" spans="1:17">
      <c r="A1066">
        <v>60</v>
      </c>
      <c r="B1066">
        <v>7.0000000000000001E-3</v>
      </c>
      <c r="C1066">
        <v>0</v>
      </c>
      <c r="D1066">
        <v>35.5</v>
      </c>
      <c r="E1066">
        <v>6.1800000000000001E-2</v>
      </c>
      <c r="F1066">
        <v>0.13070000000000001</v>
      </c>
      <c r="G1066">
        <v>0</v>
      </c>
      <c r="H1066">
        <v>29.95</v>
      </c>
      <c r="I1066">
        <v>0</v>
      </c>
      <c r="J1066">
        <v>34.9</v>
      </c>
      <c r="K1066">
        <v>0.23330000000000001</v>
      </c>
      <c r="L1066">
        <v>6.3799999999999996E-2</v>
      </c>
      <c r="M1066">
        <v>0.12230000000000001</v>
      </c>
      <c r="N1066">
        <v>100.9688</v>
      </c>
      <c r="O1066" t="s">
        <v>303</v>
      </c>
      <c r="P1066" t="s">
        <v>302</v>
      </c>
      <c r="Q1066">
        <f>I1066-(K1066*Standards!$I$15)</f>
        <v>-5.1617625E-4</v>
      </c>
    </row>
    <row r="1067" spans="1:17">
      <c r="A1067">
        <v>37</v>
      </c>
      <c r="B1067">
        <v>0</v>
      </c>
      <c r="C1067">
        <v>0</v>
      </c>
      <c r="D1067">
        <v>35.369999999999997</v>
      </c>
      <c r="E1067">
        <v>2.24E-2</v>
      </c>
      <c r="F1067">
        <v>1.2200000000000001E-2</v>
      </c>
      <c r="G1067">
        <v>0</v>
      </c>
      <c r="H1067">
        <v>29.5</v>
      </c>
      <c r="I1067">
        <v>7.7999999999999996E-3</v>
      </c>
      <c r="J1067">
        <v>34.880000000000003</v>
      </c>
      <c r="K1067">
        <v>0</v>
      </c>
      <c r="L1067">
        <v>8.7400000000000005E-2</v>
      </c>
      <c r="M1067">
        <v>0.12039999999999999</v>
      </c>
      <c r="N1067">
        <v>100.00020000000001</v>
      </c>
      <c r="O1067" t="s">
        <v>303</v>
      </c>
      <c r="P1067" t="s">
        <v>302</v>
      </c>
      <c r="Q1067">
        <f>I1067-(K1067*Standards!$I$15)</f>
        <v>7.7999999999999996E-3</v>
      </c>
    </row>
    <row r="1068" spans="1:17">
      <c r="A1068">
        <v>68</v>
      </c>
      <c r="B1068">
        <v>0</v>
      </c>
      <c r="C1068">
        <v>0</v>
      </c>
      <c r="D1068">
        <v>35.5</v>
      </c>
      <c r="E1068">
        <v>2.12E-2</v>
      </c>
      <c r="F1068">
        <v>0</v>
      </c>
      <c r="G1068">
        <v>0</v>
      </c>
      <c r="H1068">
        <v>30.24</v>
      </c>
      <c r="I1068">
        <v>0</v>
      </c>
      <c r="J1068">
        <v>34.78</v>
      </c>
      <c r="K1068">
        <v>0.23669999999999999</v>
      </c>
      <c r="L1068">
        <v>4.02E-2</v>
      </c>
      <c r="M1068">
        <v>0.1192</v>
      </c>
      <c r="N1068">
        <v>100.9372</v>
      </c>
      <c r="O1068" t="s">
        <v>303</v>
      </c>
      <c r="P1068" t="s">
        <v>302</v>
      </c>
      <c r="Q1068">
        <f>I1068-(K1068*Standards!$I$15)</f>
        <v>-5.2369875E-4</v>
      </c>
    </row>
    <row r="1069" spans="1:17">
      <c r="A1069">
        <v>57</v>
      </c>
      <c r="B1069">
        <v>0</v>
      </c>
      <c r="C1069">
        <v>0</v>
      </c>
      <c r="D1069">
        <v>35.520000000000003</v>
      </c>
      <c r="E1069">
        <v>1.14E-2</v>
      </c>
      <c r="F1069">
        <v>1.7999999999999999E-2</v>
      </c>
      <c r="G1069">
        <v>0</v>
      </c>
      <c r="H1069">
        <v>29.85</v>
      </c>
      <c r="I1069">
        <v>6.0699999999999997E-2</v>
      </c>
      <c r="J1069">
        <v>34.770000000000003</v>
      </c>
      <c r="K1069">
        <v>0.22509999999999999</v>
      </c>
      <c r="L1069">
        <v>5.5500000000000001E-2</v>
      </c>
      <c r="M1069">
        <v>0.1157</v>
      </c>
      <c r="N1069">
        <v>100.6263</v>
      </c>
      <c r="O1069" t="s">
        <v>303</v>
      </c>
      <c r="P1069" t="s">
        <v>302</v>
      </c>
      <c r="Q1069">
        <f>I1069-(K1069*Standards!$I$15)</f>
        <v>6.0201966249999996E-2</v>
      </c>
    </row>
    <row r="1070" spans="1:17">
      <c r="A1070">
        <v>38</v>
      </c>
      <c r="B1070">
        <v>7.4999999999999997E-3</v>
      </c>
      <c r="C1070">
        <v>0</v>
      </c>
      <c r="D1070">
        <v>35.69</v>
      </c>
      <c r="E1070">
        <v>9.9000000000000008E-3</v>
      </c>
      <c r="F1070">
        <v>6.8699999999999997E-2</v>
      </c>
      <c r="G1070">
        <v>0</v>
      </c>
      <c r="H1070">
        <v>29.22</v>
      </c>
      <c r="I1070">
        <v>2.8999999999999998E-3</v>
      </c>
      <c r="J1070">
        <v>34.76</v>
      </c>
      <c r="K1070">
        <v>0</v>
      </c>
      <c r="L1070">
        <v>8.4400000000000003E-2</v>
      </c>
      <c r="M1070">
        <v>0.12180000000000001</v>
      </c>
      <c r="N1070">
        <v>99.965199999999996</v>
      </c>
      <c r="O1070" t="s">
        <v>303</v>
      </c>
      <c r="P1070" t="s">
        <v>302</v>
      </c>
      <c r="Q1070">
        <f>I1070-(K1070*Standards!$I$15)</f>
        <v>2.8999999999999998E-3</v>
      </c>
    </row>
    <row r="1071" spans="1:17">
      <c r="A1071">
        <v>28</v>
      </c>
      <c r="B1071">
        <v>0</v>
      </c>
      <c r="C1071">
        <v>0</v>
      </c>
      <c r="D1071">
        <v>35.35</v>
      </c>
      <c r="E1071">
        <v>8.3999999999999995E-3</v>
      </c>
      <c r="F1071">
        <v>0</v>
      </c>
      <c r="G1071">
        <v>0</v>
      </c>
      <c r="H1071">
        <v>29.57</v>
      </c>
      <c r="I1071">
        <v>9.1000000000000004E-3</v>
      </c>
      <c r="J1071">
        <v>34.65</v>
      </c>
      <c r="K1071">
        <v>0</v>
      </c>
      <c r="L1071">
        <v>6.4699999999999994E-2</v>
      </c>
      <c r="M1071">
        <v>0.13270000000000001</v>
      </c>
      <c r="N1071">
        <v>99.784999999999997</v>
      </c>
      <c r="O1071" t="s">
        <v>303</v>
      </c>
      <c r="P1071" t="s">
        <v>302</v>
      </c>
      <c r="Q1071">
        <f>I1071-(K1071*Standards!$I$15)</f>
        <v>9.1000000000000004E-3</v>
      </c>
    </row>
    <row r="1072" spans="1:17">
      <c r="A1072">
        <v>27</v>
      </c>
      <c r="B1072">
        <v>3.5999999999999999E-3</v>
      </c>
      <c r="C1072">
        <v>0</v>
      </c>
      <c r="D1072">
        <v>35.32</v>
      </c>
      <c r="E1072">
        <v>4.5999999999999999E-3</v>
      </c>
      <c r="F1072">
        <v>0</v>
      </c>
      <c r="G1072">
        <v>0</v>
      </c>
      <c r="H1072">
        <v>29.62</v>
      </c>
      <c r="I1072">
        <v>0</v>
      </c>
      <c r="J1072">
        <v>34.6</v>
      </c>
      <c r="K1072">
        <v>0</v>
      </c>
      <c r="L1072">
        <v>0.31590000000000001</v>
      </c>
      <c r="M1072">
        <v>0.1308</v>
      </c>
      <c r="N1072">
        <v>99.995000000000005</v>
      </c>
      <c r="O1072" t="s">
        <v>303</v>
      </c>
      <c r="P1072" t="s">
        <v>302</v>
      </c>
      <c r="Q1072">
        <f>I1072-(K1072*Standards!$I$15)</f>
        <v>0</v>
      </c>
    </row>
    <row r="1073" spans="1:17">
      <c r="A1073">
        <v>39</v>
      </c>
      <c r="B1073">
        <v>4.8999999999999998E-3</v>
      </c>
      <c r="C1073">
        <v>0</v>
      </c>
      <c r="D1073">
        <v>35.29</v>
      </c>
      <c r="E1073">
        <v>3.61E-2</v>
      </c>
      <c r="F1073">
        <v>0</v>
      </c>
      <c r="G1073">
        <v>0</v>
      </c>
      <c r="H1073">
        <v>29.47</v>
      </c>
      <c r="I1073">
        <v>0</v>
      </c>
      <c r="J1073">
        <v>34.590000000000003</v>
      </c>
      <c r="K1073">
        <v>0</v>
      </c>
      <c r="L1073">
        <v>8.5300000000000001E-2</v>
      </c>
      <c r="M1073">
        <v>0.1399</v>
      </c>
      <c r="N1073">
        <v>99.616299999999995</v>
      </c>
      <c r="O1073" t="s">
        <v>303</v>
      </c>
      <c r="P1073" t="s">
        <v>302</v>
      </c>
      <c r="Q1073">
        <f>I1073-(K1073*Standards!$I$15)</f>
        <v>0</v>
      </c>
    </row>
    <row r="1074" spans="1:17">
      <c r="A1074">
        <v>73</v>
      </c>
      <c r="B1074">
        <v>0</v>
      </c>
      <c r="C1074">
        <v>0</v>
      </c>
      <c r="D1074">
        <v>35.53</v>
      </c>
      <c r="E1074">
        <v>2.1399999999999999E-2</v>
      </c>
      <c r="F1074">
        <v>0</v>
      </c>
      <c r="G1074">
        <v>0</v>
      </c>
      <c r="H1074">
        <v>29.82</v>
      </c>
      <c r="I1074">
        <v>0</v>
      </c>
      <c r="J1074">
        <v>34.89</v>
      </c>
      <c r="K1074">
        <v>0.2404</v>
      </c>
      <c r="L1074">
        <v>3.6999999999999998E-2</v>
      </c>
      <c r="M1074">
        <v>0.1231</v>
      </c>
      <c r="N1074">
        <v>100.6618</v>
      </c>
      <c r="O1074" t="s">
        <v>304</v>
      </c>
      <c r="P1074" t="s">
        <v>302</v>
      </c>
      <c r="Q1074">
        <f>I1074-(K1074*Standards!$I$15)</f>
        <v>-5.3188500000000006E-4</v>
      </c>
    </row>
    <row r="1075" spans="1:17">
      <c r="A1075">
        <v>72</v>
      </c>
      <c r="B1075">
        <v>0</v>
      </c>
      <c r="C1075">
        <v>0</v>
      </c>
      <c r="D1075">
        <v>35.53</v>
      </c>
      <c r="E1075">
        <v>8.3999999999999995E-3</v>
      </c>
      <c r="F1075">
        <v>0</v>
      </c>
      <c r="G1075">
        <v>0</v>
      </c>
      <c r="H1075">
        <v>29.66</v>
      </c>
      <c r="I1075">
        <v>1.7299999999999999E-2</v>
      </c>
      <c r="J1075">
        <v>34.83</v>
      </c>
      <c r="K1075">
        <v>0.23599999999999999</v>
      </c>
      <c r="L1075">
        <v>0.2949</v>
      </c>
      <c r="M1075">
        <v>0.1221</v>
      </c>
      <c r="N1075">
        <v>100.6986</v>
      </c>
      <c r="O1075" t="s">
        <v>304</v>
      </c>
      <c r="P1075" t="s">
        <v>302</v>
      </c>
      <c r="Q1075">
        <f>I1075-(K1075*Standards!$I$15)</f>
        <v>1.677785E-2</v>
      </c>
    </row>
    <row r="1076" spans="1:17">
      <c r="A1076">
        <v>71</v>
      </c>
      <c r="B1076">
        <v>2E-3</v>
      </c>
      <c r="C1076">
        <v>0</v>
      </c>
      <c r="D1076">
        <v>35.74</v>
      </c>
      <c r="E1076">
        <v>1.2E-2</v>
      </c>
      <c r="F1076">
        <v>0</v>
      </c>
      <c r="G1076">
        <v>0</v>
      </c>
      <c r="H1076">
        <v>29.93</v>
      </c>
      <c r="I1076">
        <v>0</v>
      </c>
      <c r="J1076">
        <v>34.65</v>
      </c>
      <c r="K1076">
        <v>0.2364</v>
      </c>
      <c r="L1076">
        <v>6.3E-2</v>
      </c>
      <c r="M1076">
        <v>0.13869999999999999</v>
      </c>
      <c r="N1076">
        <v>100.77209999999999</v>
      </c>
      <c r="O1076" t="s">
        <v>304</v>
      </c>
      <c r="P1076" t="s">
        <v>302</v>
      </c>
      <c r="Q1076">
        <f>I1076-(K1076*Standards!$I$15)</f>
        <v>-5.2303500000000004E-4</v>
      </c>
    </row>
    <row r="1077" spans="1:17">
      <c r="A1077">
        <v>31</v>
      </c>
      <c r="B1077">
        <v>0</v>
      </c>
      <c r="C1077">
        <v>0</v>
      </c>
      <c r="D1077">
        <v>35.270000000000003</v>
      </c>
      <c r="E1077">
        <v>1.0699999999999999E-2</v>
      </c>
      <c r="F1077">
        <v>0</v>
      </c>
      <c r="G1077">
        <v>0</v>
      </c>
      <c r="H1077">
        <v>29.55</v>
      </c>
      <c r="I1077">
        <v>5.7000000000000002E-3</v>
      </c>
      <c r="J1077">
        <v>34.340000000000003</v>
      </c>
      <c r="K1077">
        <v>0</v>
      </c>
      <c r="L1077">
        <v>4.24E-2</v>
      </c>
      <c r="M1077">
        <v>0.12620000000000001</v>
      </c>
      <c r="N1077">
        <v>99.345100000000002</v>
      </c>
      <c r="O1077" t="s">
        <v>305</v>
      </c>
      <c r="P1077" t="s">
        <v>292</v>
      </c>
      <c r="Q1077">
        <f>I1077-(K1077*Standards!$I$15)</f>
        <v>5.7000000000000002E-3</v>
      </c>
    </row>
    <row r="1078" spans="1:17">
      <c r="A1078">
        <v>36</v>
      </c>
      <c r="B1078">
        <v>1.9199999999999998E-2</v>
      </c>
      <c r="C1078">
        <v>0</v>
      </c>
      <c r="D1078">
        <v>35.33</v>
      </c>
      <c r="E1078">
        <v>3.9E-2</v>
      </c>
      <c r="F1078">
        <v>3.6600000000000001E-2</v>
      </c>
      <c r="G1078">
        <v>0</v>
      </c>
      <c r="H1078">
        <v>30.14</v>
      </c>
      <c r="I1078">
        <v>1.4999999999999999E-2</v>
      </c>
      <c r="J1078">
        <v>34.14</v>
      </c>
      <c r="K1078">
        <v>0</v>
      </c>
      <c r="L1078">
        <v>2.5600000000000001E-2</v>
      </c>
      <c r="M1078">
        <v>0.16289999999999999</v>
      </c>
      <c r="N1078">
        <v>99.9084</v>
      </c>
      <c r="O1078" t="s">
        <v>305</v>
      </c>
      <c r="P1078" t="s">
        <v>292</v>
      </c>
      <c r="Q1078">
        <f>I1078-(K1078*Standards!$I$15)</f>
        <v>1.4999999999999999E-2</v>
      </c>
    </row>
    <row r="1079" spans="1:17">
      <c r="A1079">
        <v>25</v>
      </c>
      <c r="B1079">
        <v>0</v>
      </c>
      <c r="C1079">
        <v>0</v>
      </c>
      <c r="D1079">
        <v>35.11</v>
      </c>
      <c r="E1079">
        <v>1.4E-3</v>
      </c>
      <c r="F1079">
        <v>0</v>
      </c>
      <c r="G1079">
        <v>0</v>
      </c>
      <c r="H1079">
        <v>29.66</v>
      </c>
      <c r="I1079">
        <v>6.3E-3</v>
      </c>
      <c r="J1079">
        <v>34.08</v>
      </c>
      <c r="K1079">
        <v>0</v>
      </c>
      <c r="L1079">
        <v>1.7399999999999999E-2</v>
      </c>
      <c r="M1079">
        <v>0.1447</v>
      </c>
      <c r="N1079">
        <v>99.019900000000007</v>
      </c>
      <c r="O1079" t="s">
        <v>305</v>
      </c>
      <c r="P1079" t="s">
        <v>292</v>
      </c>
      <c r="Q1079">
        <f>I1079-(K1079*Standards!$I$15)</f>
        <v>6.3E-3</v>
      </c>
    </row>
    <row r="1080" spans="1:17">
      <c r="A1080">
        <v>22</v>
      </c>
      <c r="B1080">
        <v>0</v>
      </c>
      <c r="C1080">
        <v>0</v>
      </c>
      <c r="D1080">
        <v>35.18</v>
      </c>
      <c r="E1080">
        <v>8.9999999999999998E-4</v>
      </c>
      <c r="F1080">
        <v>0</v>
      </c>
      <c r="G1080">
        <v>0</v>
      </c>
      <c r="H1080">
        <v>29.85</v>
      </c>
      <c r="I1080">
        <v>2.7400000000000001E-2</v>
      </c>
      <c r="J1080">
        <v>34.049999999999997</v>
      </c>
      <c r="K1080">
        <v>0</v>
      </c>
      <c r="L1080">
        <v>3.8399999999999997E-2</v>
      </c>
      <c r="M1080">
        <v>0.1195</v>
      </c>
      <c r="N1080">
        <v>99.266199999999998</v>
      </c>
      <c r="O1080" t="s">
        <v>305</v>
      </c>
      <c r="P1080" t="s">
        <v>292</v>
      </c>
      <c r="Q1080">
        <f>I1080-(K1080*Standards!$I$15)</f>
        <v>2.7400000000000001E-2</v>
      </c>
    </row>
    <row r="1081" spans="1:17">
      <c r="A1081">
        <v>32</v>
      </c>
      <c r="B1081">
        <v>0</v>
      </c>
      <c r="C1081">
        <v>0</v>
      </c>
      <c r="D1081">
        <v>35.29</v>
      </c>
      <c r="E1081">
        <v>0</v>
      </c>
      <c r="F1081">
        <v>0</v>
      </c>
      <c r="G1081">
        <v>0</v>
      </c>
      <c r="H1081">
        <v>30.46</v>
      </c>
      <c r="I1081">
        <v>5.4000000000000003E-3</v>
      </c>
      <c r="J1081">
        <v>33.979999999999997</v>
      </c>
      <c r="K1081">
        <v>0</v>
      </c>
      <c r="L1081">
        <v>7.9799999999999996E-2</v>
      </c>
      <c r="M1081">
        <v>9.35E-2</v>
      </c>
      <c r="N1081">
        <v>99.908799999999999</v>
      </c>
      <c r="O1081" t="s">
        <v>305</v>
      </c>
      <c r="P1081" t="s">
        <v>292</v>
      </c>
      <c r="Q1081">
        <f>I1081-(K1081*Standards!$I$15)</f>
        <v>5.4000000000000003E-3</v>
      </c>
    </row>
    <row r="1082" spans="1:17">
      <c r="A1082">
        <v>26</v>
      </c>
      <c r="B1082">
        <v>0</v>
      </c>
      <c r="C1082">
        <v>0</v>
      </c>
      <c r="D1082">
        <v>35.090000000000003</v>
      </c>
      <c r="E1082">
        <v>6.7000000000000002E-3</v>
      </c>
      <c r="F1082">
        <v>1.0800000000000001E-2</v>
      </c>
      <c r="G1082">
        <v>0</v>
      </c>
      <c r="H1082">
        <v>29.62</v>
      </c>
      <c r="I1082">
        <v>3.5000000000000001E-3</v>
      </c>
      <c r="J1082">
        <v>33.93</v>
      </c>
      <c r="K1082">
        <v>0</v>
      </c>
      <c r="L1082">
        <v>1.9599999999999999E-2</v>
      </c>
      <c r="M1082">
        <v>0.1203</v>
      </c>
      <c r="N1082">
        <v>98.801000000000002</v>
      </c>
      <c r="O1082" t="s">
        <v>305</v>
      </c>
      <c r="P1082" t="s">
        <v>292</v>
      </c>
      <c r="Q1082">
        <f>I1082-(K1082*Standards!$I$15)</f>
        <v>3.5000000000000001E-3</v>
      </c>
    </row>
    <row r="1083" spans="1:17">
      <c r="A1083">
        <v>38</v>
      </c>
      <c r="B1083">
        <v>0</v>
      </c>
      <c r="C1083">
        <v>0</v>
      </c>
      <c r="D1083">
        <v>35.340000000000003</v>
      </c>
      <c r="E1083">
        <v>9.2999999999999992E-3</v>
      </c>
      <c r="F1083">
        <v>0</v>
      </c>
      <c r="G1083">
        <v>0</v>
      </c>
      <c r="H1083">
        <v>30.15</v>
      </c>
      <c r="I1083">
        <v>1.1299999999999999E-2</v>
      </c>
      <c r="J1083">
        <v>33.92</v>
      </c>
      <c r="K1083">
        <v>0</v>
      </c>
      <c r="L1083">
        <v>0</v>
      </c>
      <c r="M1083">
        <v>0.1479</v>
      </c>
      <c r="N1083">
        <v>99.578599999999994</v>
      </c>
      <c r="O1083" t="s">
        <v>305</v>
      </c>
      <c r="P1083" t="s">
        <v>292</v>
      </c>
      <c r="Q1083">
        <f>I1083-(K1083*Standards!$I$15)</f>
        <v>1.1299999999999999E-2</v>
      </c>
    </row>
    <row r="1084" spans="1:17">
      <c r="A1084">
        <v>48</v>
      </c>
      <c r="B1084">
        <v>9.7000000000000003E-3</v>
      </c>
      <c r="C1084">
        <v>0</v>
      </c>
      <c r="D1084">
        <v>35.229999999999997</v>
      </c>
      <c r="E1084">
        <v>1.5900000000000001E-2</v>
      </c>
      <c r="F1084">
        <v>1.1599999999999999E-2</v>
      </c>
      <c r="G1084">
        <v>0</v>
      </c>
      <c r="H1084">
        <v>29.71</v>
      </c>
      <c r="I1084">
        <v>1.6500000000000001E-2</v>
      </c>
      <c r="J1084">
        <v>33.9</v>
      </c>
      <c r="K1084">
        <v>0</v>
      </c>
      <c r="L1084">
        <v>1E-4</v>
      </c>
      <c r="M1084">
        <v>0.1152</v>
      </c>
      <c r="N1084">
        <v>99.009100000000004</v>
      </c>
      <c r="O1084" t="s">
        <v>305</v>
      </c>
      <c r="P1084" t="s">
        <v>292</v>
      </c>
      <c r="Q1084">
        <f>I1084-(K1084*Standards!$I$15)</f>
        <v>1.6500000000000001E-2</v>
      </c>
    </row>
    <row r="1085" spans="1:17">
      <c r="A1085">
        <v>33</v>
      </c>
      <c r="B1085">
        <v>1.7399999999999999E-2</v>
      </c>
      <c r="C1085">
        <v>0</v>
      </c>
      <c r="D1085">
        <v>35.270000000000003</v>
      </c>
      <c r="E1085">
        <v>1.4500000000000001E-2</v>
      </c>
      <c r="F1085">
        <v>0</v>
      </c>
      <c r="G1085">
        <v>0</v>
      </c>
      <c r="H1085">
        <v>30.19</v>
      </c>
      <c r="I1085">
        <v>8.3999999999999995E-3</v>
      </c>
      <c r="J1085">
        <v>33.869999999999997</v>
      </c>
      <c r="K1085">
        <v>0</v>
      </c>
      <c r="L1085">
        <v>4.0800000000000003E-2</v>
      </c>
      <c r="M1085">
        <v>0.16159999999999999</v>
      </c>
      <c r="N1085">
        <v>99.572800000000001</v>
      </c>
      <c r="O1085" t="s">
        <v>305</v>
      </c>
      <c r="P1085" t="s">
        <v>292</v>
      </c>
      <c r="Q1085">
        <f>I1085-(K1085*Standards!$I$15)</f>
        <v>8.3999999999999995E-3</v>
      </c>
    </row>
    <row r="1086" spans="1:17">
      <c r="A1086">
        <v>30</v>
      </c>
      <c r="B1086">
        <v>0</v>
      </c>
      <c r="C1086">
        <v>0</v>
      </c>
      <c r="D1086">
        <v>35.200000000000003</v>
      </c>
      <c r="E1086">
        <v>1.41E-2</v>
      </c>
      <c r="F1086">
        <v>0</v>
      </c>
      <c r="G1086">
        <v>0</v>
      </c>
      <c r="H1086">
        <v>29.78</v>
      </c>
      <c r="I1086">
        <v>9.4999999999999998E-3</v>
      </c>
      <c r="J1086">
        <v>33.869999999999997</v>
      </c>
      <c r="K1086">
        <v>0</v>
      </c>
      <c r="L1086">
        <v>3.3700000000000001E-2</v>
      </c>
      <c r="M1086">
        <v>0.1331</v>
      </c>
      <c r="N1086">
        <v>99.040499999999994</v>
      </c>
      <c r="O1086" t="s">
        <v>305</v>
      </c>
      <c r="P1086" t="s">
        <v>292</v>
      </c>
      <c r="Q1086">
        <f>I1086-(K1086*Standards!$I$15)</f>
        <v>9.4999999999999998E-3</v>
      </c>
    </row>
    <row r="1087" spans="1:17">
      <c r="A1087">
        <v>27</v>
      </c>
      <c r="B1087">
        <v>0</v>
      </c>
      <c r="C1087">
        <v>0</v>
      </c>
      <c r="D1087">
        <v>35.04</v>
      </c>
      <c r="E1087">
        <v>1.01E-2</v>
      </c>
      <c r="F1087">
        <v>0</v>
      </c>
      <c r="G1087">
        <v>0</v>
      </c>
      <c r="H1087">
        <v>29.69</v>
      </c>
      <c r="I1087">
        <v>1.18E-2</v>
      </c>
      <c r="J1087">
        <v>33.86</v>
      </c>
      <c r="K1087">
        <v>0</v>
      </c>
      <c r="L1087">
        <v>1.95E-2</v>
      </c>
      <c r="M1087">
        <v>0.13009999999999999</v>
      </c>
      <c r="N1087">
        <v>98.761600000000001</v>
      </c>
      <c r="O1087" t="s">
        <v>305</v>
      </c>
      <c r="P1087" t="s">
        <v>292</v>
      </c>
      <c r="Q1087">
        <f>I1087-(K1087*Standards!$I$15)</f>
        <v>1.18E-2</v>
      </c>
    </row>
    <row r="1088" spans="1:17">
      <c r="A1088">
        <v>35</v>
      </c>
      <c r="B1088">
        <v>6.1999999999999998E-3</v>
      </c>
      <c r="C1088">
        <v>0</v>
      </c>
      <c r="D1088">
        <v>35.700000000000003</v>
      </c>
      <c r="E1088">
        <v>0</v>
      </c>
      <c r="F1088">
        <v>0</v>
      </c>
      <c r="G1088">
        <v>0</v>
      </c>
      <c r="H1088">
        <v>30.35</v>
      </c>
      <c r="I1088">
        <v>8.2000000000000007E-3</v>
      </c>
      <c r="J1088">
        <v>33.85</v>
      </c>
      <c r="K1088">
        <v>0</v>
      </c>
      <c r="L1088">
        <v>1.4E-2</v>
      </c>
      <c r="M1088">
        <v>9.4E-2</v>
      </c>
      <c r="N1088">
        <v>100.0223</v>
      </c>
      <c r="O1088" t="s">
        <v>305</v>
      </c>
      <c r="P1088" t="s">
        <v>292</v>
      </c>
      <c r="Q1088">
        <f>I1088-(K1088*Standards!$I$15)</f>
        <v>8.2000000000000007E-3</v>
      </c>
    </row>
    <row r="1089" spans="1:17">
      <c r="A1089">
        <v>47</v>
      </c>
      <c r="B1089">
        <v>1.5299999999999999E-2</v>
      </c>
      <c r="C1089">
        <v>0</v>
      </c>
      <c r="D1089">
        <v>35.340000000000003</v>
      </c>
      <c r="E1089">
        <v>8.6E-3</v>
      </c>
      <c r="F1089">
        <v>0</v>
      </c>
      <c r="G1089">
        <v>0</v>
      </c>
      <c r="H1089">
        <v>29.59</v>
      </c>
      <c r="I1089">
        <v>2.1999999999999999E-2</v>
      </c>
      <c r="J1089">
        <v>33.770000000000003</v>
      </c>
      <c r="K1089">
        <v>0</v>
      </c>
      <c r="L1089">
        <v>3.8300000000000001E-2</v>
      </c>
      <c r="M1089">
        <v>0.13850000000000001</v>
      </c>
      <c r="N1089">
        <v>98.922799999999995</v>
      </c>
      <c r="O1089" t="s">
        <v>305</v>
      </c>
      <c r="P1089" t="s">
        <v>292</v>
      </c>
      <c r="Q1089">
        <f>I1089-(K1089*Standards!$I$15)</f>
        <v>2.1999999999999999E-2</v>
      </c>
    </row>
    <row r="1090" spans="1:17">
      <c r="A1090">
        <v>24</v>
      </c>
      <c r="B1090">
        <v>0</v>
      </c>
      <c r="C1090">
        <v>0</v>
      </c>
      <c r="D1090">
        <v>35.270000000000003</v>
      </c>
      <c r="E1090">
        <v>0</v>
      </c>
      <c r="F1090">
        <v>0</v>
      </c>
      <c r="G1090">
        <v>0</v>
      </c>
      <c r="H1090">
        <v>29.13</v>
      </c>
      <c r="I1090">
        <v>1.04E-2</v>
      </c>
      <c r="J1090">
        <v>33.76</v>
      </c>
      <c r="K1090">
        <v>0</v>
      </c>
      <c r="L1090">
        <v>2.5100000000000001E-2</v>
      </c>
      <c r="M1090">
        <v>0.12239999999999999</v>
      </c>
      <c r="N1090">
        <v>98.317899999999995</v>
      </c>
      <c r="O1090" t="s">
        <v>305</v>
      </c>
      <c r="P1090" t="s">
        <v>292</v>
      </c>
      <c r="Q1090">
        <f>I1090-(K1090*Standards!$I$15)</f>
        <v>1.04E-2</v>
      </c>
    </row>
    <row r="1091" spans="1:17">
      <c r="A1091">
        <v>34</v>
      </c>
      <c r="B1091">
        <v>3.8999999999999998E-3</v>
      </c>
      <c r="C1091">
        <v>0</v>
      </c>
      <c r="D1091">
        <v>35.21</v>
      </c>
      <c r="E1091">
        <v>1.24E-2</v>
      </c>
      <c r="F1091">
        <v>0</v>
      </c>
      <c r="G1091">
        <v>0</v>
      </c>
      <c r="H1091">
        <v>30.15</v>
      </c>
      <c r="I1091">
        <v>2.1700000000000001E-2</v>
      </c>
      <c r="J1091">
        <v>33.75</v>
      </c>
      <c r="K1091">
        <v>0</v>
      </c>
      <c r="L1091">
        <v>4.2999999999999997E-2</v>
      </c>
      <c r="M1091">
        <v>0.11840000000000001</v>
      </c>
      <c r="N1091">
        <v>99.309399999999997</v>
      </c>
      <c r="O1091" t="s">
        <v>305</v>
      </c>
      <c r="P1091" t="s">
        <v>292</v>
      </c>
      <c r="Q1091">
        <f>I1091-(K1091*Standards!$I$15)</f>
        <v>2.1700000000000001E-2</v>
      </c>
    </row>
    <row r="1092" spans="1:17">
      <c r="A1092">
        <v>23</v>
      </c>
      <c r="B1092">
        <v>0</v>
      </c>
      <c r="C1092">
        <v>0</v>
      </c>
      <c r="D1092">
        <v>35.44</v>
      </c>
      <c r="E1092">
        <v>6.8999999999999999E-3</v>
      </c>
      <c r="F1092">
        <v>0</v>
      </c>
      <c r="G1092">
        <v>0</v>
      </c>
      <c r="H1092">
        <v>29.47</v>
      </c>
      <c r="I1092">
        <v>1.1599999999999999E-2</v>
      </c>
      <c r="J1092">
        <v>33.590000000000003</v>
      </c>
      <c r="K1092">
        <v>0</v>
      </c>
      <c r="L1092">
        <v>1.7500000000000002E-2</v>
      </c>
      <c r="M1092">
        <v>9.4500000000000001E-2</v>
      </c>
      <c r="N1092">
        <v>98.630499999999998</v>
      </c>
      <c r="O1092" t="s">
        <v>305</v>
      </c>
      <c r="P1092" t="s">
        <v>292</v>
      </c>
      <c r="Q1092">
        <f>I1092-(K1092*Standards!$I$15)</f>
        <v>1.1599999999999999E-2</v>
      </c>
    </row>
    <row r="1093" spans="1:17">
      <c r="A1093">
        <v>37</v>
      </c>
      <c r="B1093">
        <v>1.52E-2</v>
      </c>
      <c r="C1093">
        <v>0</v>
      </c>
      <c r="D1093">
        <v>35.01</v>
      </c>
      <c r="E1093">
        <v>2.3999999999999998E-3</v>
      </c>
      <c r="F1093">
        <v>0</v>
      </c>
      <c r="G1093">
        <v>0</v>
      </c>
      <c r="H1093">
        <v>29.85</v>
      </c>
      <c r="I1093">
        <v>1.4E-2</v>
      </c>
      <c r="J1093">
        <v>33.53</v>
      </c>
      <c r="K1093">
        <v>0</v>
      </c>
      <c r="L1093">
        <v>3.0599999999999999E-2</v>
      </c>
      <c r="M1093">
        <v>0.1333</v>
      </c>
      <c r="N1093">
        <v>98.585599999999999</v>
      </c>
      <c r="O1093" t="s">
        <v>305</v>
      </c>
      <c r="P1093" t="s">
        <v>292</v>
      </c>
      <c r="Q1093">
        <f>I1093-(K1093*Standards!$I$15)</f>
        <v>1.4E-2</v>
      </c>
    </row>
    <row r="1094" spans="1:17">
      <c r="A1094">
        <v>28</v>
      </c>
      <c r="B1094">
        <v>0</v>
      </c>
      <c r="C1094">
        <v>0</v>
      </c>
      <c r="D1094">
        <v>35.090000000000003</v>
      </c>
      <c r="E1094">
        <v>6.4999999999999997E-3</v>
      </c>
      <c r="F1094">
        <v>0</v>
      </c>
      <c r="G1094">
        <v>0</v>
      </c>
      <c r="H1094">
        <v>29.35</v>
      </c>
      <c r="I1094">
        <v>1.0800000000000001E-2</v>
      </c>
      <c r="J1094">
        <v>33.49</v>
      </c>
      <c r="K1094">
        <v>0</v>
      </c>
      <c r="L1094">
        <v>3.0499999999999999E-2</v>
      </c>
      <c r="M1094">
        <v>0.1217</v>
      </c>
      <c r="N1094">
        <v>98.099599999999995</v>
      </c>
      <c r="O1094" t="s">
        <v>305</v>
      </c>
      <c r="P1094" t="s">
        <v>292</v>
      </c>
      <c r="Q1094">
        <f>I1094-(K1094*Standards!$I$15)</f>
        <v>1.0800000000000001E-2</v>
      </c>
    </row>
    <row r="1095" spans="1:17">
      <c r="A1095">
        <v>29</v>
      </c>
      <c r="B1095">
        <v>0</v>
      </c>
      <c r="C1095">
        <v>0</v>
      </c>
      <c r="D1095">
        <v>35.299999999999997</v>
      </c>
      <c r="E1095">
        <v>3.0000000000000001E-3</v>
      </c>
      <c r="F1095">
        <v>0</v>
      </c>
      <c r="G1095">
        <v>0</v>
      </c>
      <c r="H1095">
        <v>29.72</v>
      </c>
      <c r="I1095">
        <v>1.29E-2</v>
      </c>
      <c r="J1095">
        <v>33.46</v>
      </c>
      <c r="K1095">
        <v>0</v>
      </c>
      <c r="L1095">
        <v>2.1100000000000001E-2</v>
      </c>
      <c r="M1095">
        <v>0.13700000000000001</v>
      </c>
      <c r="N1095">
        <v>98.6541</v>
      </c>
      <c r="O1095" t="s">
        <v>305</v>
      </c>
      <c r="P1095" t="s">
        <v>292</v>
      </c>
      <c r="Q1095">
        <f>I1095-(K1095*Standards!$I$15)</f>
        <v>1.29E-2</v>
      </c>
    </row>
    <row r="1096" spans="1:17">
      <c r="A1096">
        <v>49</v>
      </c>
      <c r="B1096">
        <v>0</v>
      </c>
      <c r="C1096">
        <v>0</v>
      </c>
      <c r="D1096">
        <v>35.270000000000003</v>
      </c>
      <c r="E1096">
        <v>4.3E-3</v>
      </c>
      <c r="F1096">
        <v>0</v>
      </c>
      <c r="G1096">
        <v>0</v>
      </c>
      <c r="H1096">
        <v>30.04</v>
      </c>
      <c r="I1096">
        <v>9.4999999999999998E-3</v>
      </c>
      <c r="J1096">
        <v>33.31</v>
      </c>
      <c r="K1096">
        <v>0</v>
      </c>
      <c r="L1096">
        <v>0</v>
      </c>
      <c r="M1096">
        <v>0.12970000000000001</v>
      </c>
      <c r="N1096">
        <v>98.763599999999997</v>
      </c>
      <c r="O1096" t="s">
        <v>305</v>
      </c>
      <c r="P1096" t="s">
        <v>292</v>
      </c>
      <c r="Q1096">
        <f>I1096-(K1096*Standards!$I$15)</f>
        <v>9.4999999999999998E-3</v>
      </c>
    </row>
    <row r="1097" spans="1:17">
      <c r="A1097">
        <v>61</v>
      </c>
      <c r="B1097">
        <v>9.5999999999999992E-3</v>
      </c>
      <c r="C1097">
        <v>0</v>
      </c>
      <c r="D1097">
        <v>35.369999999999997</v>
      </c>
      <c r="E1097">
        <v>1.2800000000000001E-2</v>
      </c>
      <c r="F1097">
        <v>0</v>
      </c>
      <c r="G1097">
        <v>0</v>
      </c>
      <c r="H1097">
        <v>30.54</v>
      </c>
      <c r="I1097">
        <v>0</v>
      </c>
      <c r="J1097">
        <v>34.619999999999997</v>
      </c>
      <c r="K1097">
        <v>0</v>
      </c>
      <c r="L1097">
        <v>2.9499999999999998E-2</v>
      </c>
      <c r="M1097">
        <v>0.11269999999999999</v>
      </c>
      <c r="N1097">
        <v>100.69450000000001</v>
      </c>
      <c r="O1097" t="s">
        <v>306</v>
      </c>
      <c r="P1097" t="s">
        <v>292</v>
      </c>
      <c r="Q1097">
        <f>I1097-(K1097*Standards!$I$15)</f>
        <v>0</v>
      </c>
    </row>
    <row r="1098" spans="1:17">
      <c r="A1098">
        <v>62</v>
      </c>
      <c r="B1098">
        <v>5.7999999999999996E-3</v>
      </c>
      <c r="C1098">
        <v>0</v>
      </c>
      <c r="D1098">
        <v>35.06</v>
      </c>
      <c r="E1098">
        <v>1.9599999999999999E-2</v>
      </c>
      <c r="F1098">
        <v>0</v>
      </c>
      <c r="G1098">
        <v>0</v>
      </c>
      <c r="H1098">
        <v>30.08</v>
      </c>
      <c r="I1098">
        <v>5.7999999999999996E-3</v>
      </c>
      <c r="J1098">
        <v>34.53</v>
      </c>
      <c r="K1098">
        <v>0</v>
      </c>
      <c r="L1098">
        <v>0</v>
      </c>
      <c r="M1098">
        <v>0.1249</v>
      </c>
      <c r="N1098">
        <v>99.826099999999997</v>
      </c>
      <c r="O1098" t="s">
        <v>306</v>
      </c>
      <c r="P1098" t="s">
        <v>292</v>
      </c>
      <c r="Q1098">
        <f>I1098-(K1098*Standards!$I$15)</f>
        <v>5.7999999999999996E-3</v>
      </c>
    </row>
    <row r="1099" spans="1:17">
      <c r="A1099">
        <v>71</v>
      </c>
      <c r="B1099">
        <v>3.3000000000000002E-2</v>
      </c>
      <c r="C1099">
        <v>0</v>
      </c>
      <c r="D1099">
        <v>35.28</v>
      </c>
      <c r="E1099">
        <v>1.4500000000000001E-2</v>
      </c>
      <c r="F1099">
        <v>0</v>
      </c>
      <c r="G1099">
        <v>0</v>
      </c>
      <c r="H1099">
        <v>30.62</v>
      </c>
      <c r="I1099">
        <v>1.0699999999999999E-2</v>
      </c>
      <c r="J1099">
        <v>34.520000000000003</v>
      </c>
      <c r="K1099">
        <v>0</v>
      </c>
      <c r="L1099">
        <v>6.1000000000000004E-3</v>
      </c>
      <c r="M1099">
        <v>0.11600000000000001</v>
      </c>
      <c r="N1099">
        <v>100.6002</v>
      </c>
      <c r="O1099" t="s">
        <v>306</v>
      </c>
      <c r="P1099" t="s">
        <v>292</v>
      </c>
      <c r="Q1099">
        <f>I1099-(K1099*Standards!$I$15)</f>
        <v>1.0699999999999999E-2</v>
      </c>
    </row>
    <row r="1100" spans="1:17">
      <c r="A1100">
        <v>74</v>
      </c>
      <c r="B1100">
        <v>3.44E-2</v>
      </c>
      <c r="C1100">
        <v>0</v>
      </c>
      <c r="D1100">
        <v>35.17</v>
      </c>
      <c r="E1100">
        <v>1.11E-2</v>
      </c>
      <c r="F1100">
        <v>0</v>
      </c>
      <c r="G1100">
        <v>0</v>
      </c>
      <c r="H1100">
        <v>30.22</v>
      </c>
      <c r="I1100">
        <v>0</v>
      </c>
      <c r="J1100">
        <v>34.299999999999997</v>
      </c>
      <c r="K1100">
        <v>0.1166</v>
      </c>
      <c r="L1100">
        <v>6.7999999999999996E-3</v>
      </c>
      <c r="M1100">
        <v>0.1457</v>
      </c>
      <c r="N1100">
        <v>100.00449999999999</v>
      </c>
      <c r="O1100" t="s">
        <v>306</v>
      </c>
      <c r="P1100" t="s">
        <v>292</v>
      </c>
      <c r="Q1100">
        <f>I1100-(K1100*Standards!$I$15)</f>
        <v>-2.5797750000000001E-4</v>
      </c>
    </row>
    <row r="1101" spans="1:17">
      <c r="A1101">
        <v>68</v>
      </c>
      <c r="B1101">
        <v>2E-3</v>
      </c>
      <c r="C1101">
        <v>0</v>
      </c>
      <c r="D1101">
        <v>35.03</v>
      </c>
      <c r="E1101">
        <v>1.9599999999999999E-2</v>
      </c>
      <c r="F1101">
        <v>0</v>
      </c>
      <c r="G1101">
        <v>0</v>
      </c>
      <c r="H1101">
        <v>29.43</v>
      </c>
      <c r="I1101">
        <v>1.11E-2</v>
      </c>
      <c r="J1101">
        <v>34.270000000000003</v>
      </c>
      <c r="K1101">
        <v>0.86019999999999996</v>
      </c>
      <c r="L1101">
        <v>6.3299999999999995E-2</v>
      </c>
      <c r="M1101">
        <v>0.123</v>
      </c>
      <c r="N1101">
        <v>99.809200000000004</v>
      </c>
      <c r="O1101" t="s">
        <v>306</v>
      </c>
      <c r="P1101" t="s">
        <v>292</v>
      </c>
      <c r="Q1101">
        <f>I1101-(K1101*Standards!$I$15)</f>
        <v>9.196807500000001E-3</v>
      </c>
    </row>
    <row r="1102" spans="1:17">
      <c r="A1102">
        <v>69</v>
      </c>
      <c r="B1102">
        <v>1.9400000000000001E-2</v>
      </c>
      <c r="C1102">
        <v>0</v>
      </c>
      <c r="D1102">
        <v>35.369999999999997</v>
      </c>
      <c r="E1102">
        <v>5.9200000000000003E-2</v>
      </c>
      <c r="F1102">
        <v>0</v>
      </c>
      <c r="G1102">
        <v>0</v>
      </c>
      <c r="H1102">
        <v>30.42</v>
      </c>
      <c r="I1102">
        <v>0</v>
      </c>
      <c r="J1102">
        <v>34.26</v>
      </c>
      <c r="K1102">
        <v>0</v>
      </c>
      <c r="L1102">
        <v>2.7000000000000001E-3</v>
      </c>
      <c r="M1102">
        <v>0.16320000000000001</v>
      </c>
      <c r="N1102">
        <v>100.2944</v>
      </c>
      <c r="O1102" t="s">
        <v>306</v>
      </c>
      <c r="P1102" t="s">
        <v>292</v>
      </c>
      <c r="Q1102">
        <f>I1102-(K1102*Standards!$I$15)</f>
        <v>0</v>
      </c>
    </row>
    <row r="1103" spans="1:17">
      <c r="A1103">
        <v>70</v>
      </c>
      <c r="B1103">
        <v>0</v>
      </c>
      <c r="C1103">
        <v>0</v>
      </c>
      <c r="D1103">
        <v>35.020000000000003</v>
      </c>
      <c r="E1103">
        <v>2.0500000000000001E-2</v>
      </c>
      <c r="F1103">
        <v>0</v>
      </c>
      <c r="G1103">
        <v>0</v>
      </c>
      <c r="H1103">
        <v>29.64</v>
      </c>
      <c r="I1103">
        <v>1.1299999999999999E-2</v>
      </c>
      <c r="J1103">
        <v>34.25</v>
      </c>
      <c r="K1103">
        <v>1.19</v>
      </c>
      <c r="L1103">
        <v>6.59E-2</v>
      </c>
      <c r="M1103">
        <v>0.1177</v>
      </c>
      <c r="N1103">
        <v>100.31529999999999</v>
      </c>
      <c r="O1103" t="s">
        <v>306</v>
      </c>
      <c r="P1103" t="s">
        <v>292</v>
      </c>
      <c r="Q1103">
        <f>I1103-(K1103*Standards!$I$15)</f>
        <v>8.6671249999999995E-3</v>
      </c>
    </row>
    <row r="1104" spans="1:17">
      <c r="A1104">
        <v>84</v>
      </c>
      <c r="B1104">
        <v>6.1100000000000002E-2</v>
      </c>
      <c r="C1104">
        <v>0</v>
      </c>
      <c r="D1104">
        <v>35.33</v>
      </c>
      <c r="E1104">
        <v>0</v>
      </c>
      <c r="F1104">
        <v>0</v>
      </c>
      <c r="G1104">
        <v>0</v>
      </c>
      <c r="H1104">
        <v>29.62</v>
      </c>
      <c r="I1104">
        <v>0</v>
      </c>
      <c r="J1104">
        <v>34.22</v>
      </c>
      <c r="K1104">
        <v>0</v>
      </c>
      <c r="L1104">
        <v>0.2135</v>
      </c>
      <c r="M1104">
        <v>0.13639999999999999</v>
      </c>
      <c r="N1104">
        <v>99.581100000000006</v>
      </c>
      <c r="O1104" t="s">
        <v>306</v>
      </c>
      <c r="P1104" t="s">
        <v>292</v>
      </c>
      <c r="Q1104">
        <f>I1104-(K1104*Standards!$I$15)</f>
        <v>0</v>
      </c>
    </row>
    <row r="1105" spans="1:17">
      <c r="A1105">
        <v>63</v>
      </c>
      <c r="B1105">
        <v>4.7999999999999996E-3</v>
      </c>
      <c r="C1105">
        <v>0</v>
      </c>
      <c r="D1105">
        <v>35.090000000000003</v>
      </c>
      <c r="E1105">
        <v>1.24E-2</v>
      </c>
      <c r="F1105">
        <v>0</v>
      </c>
      <c r="G1105">
        <v>0</v>
      </c>
      <c r="H1105">
        <v>30.08</v>
      </c>
      <c r="I1105">
        <v>4.4999999999999997E-3</v>
      </c>
      <c r="J1105">
        <v>34.159999999999997</v>
      </c>
      <c r="K1105">
        <v>0.15559999999999999</v>
      </c>
      <c r="L1105">
        <v>3.0200000000000001E-2</v>
      </c>
      <c r="M1105">
        <v>0.1371</v>
      </c>
      <c r="N1105">
        <v>99.674700000000001</v>
      </c>
      <c r="O1105" t="s">
        <v>306</v>
      </c>
      <c r="P1105" t="s">
        <v>292</v>
      </c>
      <c r="Q1105">
        <f>I1105-(K1105*Standards!$I$15)</f>
        <v>4.1557349999999998E-3</v>
      </c>
    </row>
    <row r="1106" spans="1:17">
      <c r="A1106">
        <v>73</v>
      </c>
      <c r="B1106">
        <v>2.18E-2</v>
      </c>
      <c r="C1106">
        <v>0</v>
      </c>
      <c r="D1106">
        <v>35.31</v>
      </c>
      <c r="E1106">
        <v>1.8499999999999999E-2</v>
      </c>
      <c r="F1106">
        <v>0</v>
      </c>
      <c r="G1106">
        <v>0</v>
      </c>
      <c r="H1106">
        <v>30.07</v>
      </c>
      <c r="I1106">
        <v>9.1000000000000004E-3</v>
      </c>
      <c r="J1106">
        <v>34.130000000000003</v>
      </c>
      <c r="K1106">
        <v>0.2069</v>
      </c>
      <c r="L1106">
        <v>3.39E-2</v>
      </c>
      <c r="M1106">
        <v>0.14760000000000001</v>
      </c>
      <c r="N1106">
        <v>99.947900000000004</v>
      </c>
      <c r="O1106" t="s">
        <v>306</v>
      </c>
      <c r="P1106" t="s">
        <v>292</v>
      </c>
      <c r="Q1106">
        <f>I1106-(K1106*Standards!$I$15)</f>
        <v>8.6422337500000005E-3</v>
      </c>
    </row>
    <row r="1107" spans="1:17">
      <c r="A1107">
        <v>72</v>
      </c>
      <c r="B1107">
        <v>3.3500000000000002E-2</v>
      </c>
      <c r="C1107">
        <v>0</v>
      </c>
      <c r="D1107">
        <v>35.020000000000003</v>
      </c>
      <c r="E1107">
        <v>0.1381</v>
      </c>
      <c r="F1107">
        <v>0.18079999999999999</v>
      </c>
      <c r="G1107">
        <v>0</v>
      </c>
      <c r="H1107">
        <v>30.4</v>
      </c>
      <c r="I1107">
        <v>0</v>
      </c>
      <c r="J1107">
        <v>34.04</v>
      </c>
      <c r="K1107">
        <v>0</v>
      </c>
      <c r="L1107">
        <v>2.47E-2</v>
      </c>
      <c r="M1107">
        <v>0.32269999999999999</v>
      </c>
      <c r="N1107">
        <v>100.1597</v>
      </c>
      <c r="O1107" t="s">
        <v>306</v>
      </c>
      <c r="P1107" t="s">
        <v>292</v>
      </c>
      <c r="Q1107">
        <f>I1107-(K1107*Standards!$I$15)</f>
        <v>0</v>
      </c>
    </row>
    <row r="1108" spans="1:17">
      <c r="A1108">
        <v>59</v>
      </c>
      <c r="B1108">
        <v>0</v>
      </c>
      <c r="C1108">
        <v>0</v>
      </c>
      <c r="D1108">
        <v>35.18</v>
      </c>
      <c r="E1108">
        <v>5.8999999999999999E-3</v>
      </c>
      <c r="F1108">
        <v>0</v>
      </c>
      <c r="G1108">
        <v>0</v>
      </c>
      <c r="H1108">
        <v>30.09</v>
      </c>
      <c r="I1108">
        <v>1.04E-2</v>
      </c>
      <c r="J1108">
        <v>34.590000000000003</v>
      </c>
      <c r="K1108">
        <v>0.17519999999999999</v>
      </c>
      <c r="L1108">
        <v>8.3500000000000005E-2</v>
      </c>
      <c r="M1108">
        <v>0.11940000000000001</v>
      </c>
      <c r="N1108">
        <v>100.2543</v>
      </c>
      <c r="O1108" t="s">
        <v>307</v>
      </c>
      <c r="P1108" t="s">
        <v>292</v>
      </c>
      <c r="Q1108">
        <f>I1108-(K1108*Standards!$I$15)</f>
        <v>1.001237E-2</v>
      </c>
    </row>
    <row r="1109" spans="1:17">
      <c r="A1109">
        <v>58</v>
      </c>
      <c r="B1109">
        <v>2.3E-3</v>
      </c>
      <c r="C1109">
        <v>0</v>
      </c>
      <c r="D1109">
        <v>35.29</v>
      </c>
      <c r="E1109">
        <v>1.46E-2</v>
      </c>
      <c r="F1109">
        <v>0</v>
      </c>
      <c r="G1109">
        <v>0</v>
      </c>
      <c r="H1109">
        <v>30.49</v>
      </c>
      <c r="I1109">
        <v>2.3E-3</v>
      </c>
      <c r="J1109">
        <v>34.56</v>
      </c>
      <c r="K1109">
        <v>0</v>
      </c>
      <c r="L1109">
        <v>0</v>
      </c>
      <c r="M1109">
        <v>0.1326</v>
      </c>
      <c r="N1109">
        <v>100.49169999999999</v>
      </c>
      <c r="O1109" t="s">
        <v>307</v>
      </c>
      <c r="P1109" t="s">
        <v>292</v>
      </c>
      <c r="Q1109">
        <f>I1109-(K1109*Standards!$I$15)</f>
        <v>2.3E-3</v>
      </c>
    </row>
    <row r="1110" spans="1:17">
      <c r="A1110">
        <v>57</v>
      </c>
      <c r="B1110">
        <v>4.1000000000000003E-3</v>
      </c>
      <c r="C1110">
        <v>0</v>
      </c>
      <c r="D1110">
        <v>35.049999999999997</v>
      </c>
      <c r="E1110">
        <v>5.5100000000000003E-2</v>
      </c>
      <c r="F1110">
        <v>4.3099999999999999E-2</v>
      </c>
      <c r="G1110">
        <v>0</v>
      </c>
      <c r="H1110">
        <v>29.95</v>
      </c>
      <c r="I1110">
        <v>0</v>
      </c>
      <c r="J1110">
        <v>34.43</v>
      </c>
      <c r="K1110">
        <v>0</v>
      </c>
      <c r="L1110">
        <v>2.5499999999999998E-2</v>
      </c>
      <c r="M1110">
        <v>0.20100000000000001</v>
      </c>
      <c r="N1110">
        <v>99.758799999999994</v>
      </c>
      <c r="O1110" t="s">
        <v>307</v>
      </c>
      <c r="P1110" t="s">
        <v>292</v>
      </c>
      <c r="Q1110">
        <f>I1110-(K1110*Standards!$I$15)</f>
        <v>0</v>
      </c>
    </row>
    <row r="1111" spans="1:17">
      <c r="A1111">
        <v>56</v>
      </c>
      <c r="B1111">
        <v>0</v>
      </c>
      <c r="C1111">
        <v>0</v>
      </c>
      <c r="D1111">
        <v>35.15</v>
      </c>
      <c r="E1111">
        <v>0</v>
      </c>
      <c r="F1111">
        <v>0</v>
      </c>
      <c r="G1111">
        <v>0</v>
      </c>
      <c r="H1111">
        <v>29.55</v>
      </c>
      <c r="I1111">
        <v>7.4000000000000003E-3</v>
      </c>
      <c r="J1111">
        <v>34.35</v>
      </c>
      <c r="K1111">
        <v>0.91549999999999998</v>
      </c>
      <c r="L1111">
        <v>3.04E-2</v>
      </c>
      <c r="M1111">
        <v>0.1273</v>
      </c>
      <c r="N1111">
        <v>100.1305</v>
      </c>
      <c r="O1111" t="s">
        <v>307</v>
      </c>
      <c r="P1111" t="s">
        <v>292</v>
      </c>
      <c r="Q1111">
        <f>I1111-(K1111*Standards!$I$15)</f>
        <v>5.3744562500000004E-3</v>
      </c>
    </row>
    <row r="1112" spans="1:17">
      <c r="A1112">
        <v>66</v>
      </c>
      <c r="B1112">
        <v>0</v>
      </c>
      <c r="C1112">
        <v>0</v>
      </c>
      <c r="D1112">
        <v>34.71</v>
      </c>
      <c r="E1112">
        <v>0</v>
      </c>
      <c r="F1112">
        <v>0</v>
      </c>
      <c r="G1112">
        <v>0</v>
      </c>
      <c r="H1112">
        <v>29.54</v>
      </c>
      <c r="I1112">
        <v>8.3000000000000001E-3</v>
      </c>
      <c r="J1112">
        <v>34.18</v>
      </c>
      <c r="K1112">
        <v>1.05</v>
      </c>
      <c r="L1112">
        <v>2.81E-2</v>
      </c>
      <c r="M1112">
        <v>0.113</v>
      </c>
      <c r="N1112">
        <v>99.629499999999993</v>
      </c>
      <c r="O1112" t="s">
        <v>308</v>
      </c>
      <c r="P1112" t="s">
        <v>292</v>
      </c>
      <c r="Q1112">
        <f>I1112-(K1112*Standards!$I$15)</f>
        <v>5.9768749999999995E-3</v>
      </c>
    </row>
    <row r="1113" spans="1:17">
      <c r="A1113">
        <v>102</v>
      </c>
      <c r="B1113">
        <v>0</v>
      </c>
      <c r="C1113">
        <v>0</v>
      </c>
      <c r="D1113">
        <v>35.19</v>
      </c>
      <c r="E1113">
        <v>1.8499999999999999E-2</v>
      </c>
      <c r="F1113">
        <v>0</v>
      </c>
      <c r="G1113">
        <v>0</v>
      </c>
      <c r="H1113">
        <v>30.89</v>
      </c>
      <c r="I1113">
        <v>5.5399999999999998E-2</v>
      </c>
      <c r="J1113">
        <v>34.67</v>
      </c>
      <c r="K1113">
        <v>0</v>
      </c>
      <c r="L1113">
        <v>2.0799999999999999E-2</v>
      </c>
      <c r="M1113">
        <v>8.9599999999999999E-2</v>
      </c>
      <c r="N1113">
        <v>100.9342</v>
      </c>
      <c r="O1113" t="s">
        <v>309</v>
      </c>
      <c r="P1113" t="s">
        <v>302</v>
      </c>
      <c r="Q1113">
        <f>I1113-(K1113*Standards!$I$15)</f>
        <v>5.5399999999999998E-2</v>
      </c>
    </row>
    <row r="1114" spans="1:17">
      <c r="A1114">
        <v>92</v>
      </c>
      <c r="B1114">
        <v>0</v>
      </c>
      <c r="C1114">
        <v>0</v>
      </c>
      <c r="D1114">
        <v>35.54</v>
      </c>
      <c r="E1114">
        <v>9.2999999999999992E-3</v>
      </c>
      <c r="F1114">
        <v>0</v>
      </c>
      <c r="G1114">
        <v>0</v>
      </c>
      <c r="H1114">
        <v>30.82</v>
      </c>
      <c r="I1114">
        <v>1.9E-2</v>
      </c>
      <c r="J1114">
        <v>34.630000000000003</v>
      </c>
      <c r="K1114">
        <v>0</v>
      </c>
      <c r="L1114">
        <v>1.6E-2</v>
      </c>
      <c r="M1114">
        <v>0.13780000000000001</v>
      </c>
      <c r="N1114">
        <v>101.172</v>
      </c>
      <c r="O1114" t="s">
        <v>309</v>
      </c>
      <c r="P1114" t="s">
        <v>302</v>
      </c>
      <c r="Q1114">
        <f>I1114-(K1114*Standards!$I$15)</f>
        <v>1.9E-2</v>
      </c>
    </row>
    <row r="1115" spans="1:17">
      <c r="A1115">
        <v>99</v>
      </c>
      <c r="B1115">
        <v>0</v>
      </c>
      <c r="C1115">
        <v>0</v>
      </c>
      <c r="D1115">
        <v>35.28</v>
      </c>
      <c r="E1115">
        <v>2.7300000000000001E-2</v>
      </c>
      <c r="F1115">
        <v>0</v>
      </c>
      <c r="G1115">
        <v>0</v>
      </c>
      <c r="H1115">
        <v>30.85</v>
      </c>
      <c r="I1115">
        <v>1.38E-2</v>
      </c>
      <c r="J1115">
        <v>34.619999999999997</v>
      </c>
      <c r="K1115">
        <v>0</v>
      </c>
      <c r="L1115">
        <v>6.4799999999999996E-2</v>
      </c>
      <c r="M1115">
        <v>0.11459999999999999</v>
      </c>
      <c r="N1115">
        <v>100.9705</v>
      </c>
      <c r="O1115" t="s">
        <v>309</v>
      </c>
      <c r="P1115" t="s">
        <v>302</v>
      </c>
      <c r="Q1115">
        <f>I1115-(K1115*Standards!$I$15)</f>
        <v>1.38E-2</v>
      </c>
    </row>
    <row r="1116" spans="1:17">
      <c r="A1116">
        <v>101</v>
      </c>
      <c r="B1116">
        <v>0</v>
      </c>
      <c r="C1116">
        <v>0</v>
      </c>
      <c r="D1116">
        <v>35.24</v>
      </c>
      <c r="E1116">
        <v>3.0499999999999999E-2</v>
      </c>
      <c r="F1116">
        <v>0</v>
      </c>
      <c r="G1116">
        <v>0</v>
      </c>
      <c r="H1116">
        <v>30.74</v>
      </c>
      <c r="I1116">
        <v>1.46E-2</v>
      </c>
      <c r="J1116">
        <v>34.619999999999997</v>
      </c>
      <c r="K1116">
        <v>0</v>
      </c>
      <c r="L1116">
        <v>8.5000000000000006E-3</v>
      </c>
      <c r="M1116">
        <v>0.11940000000000001</v>
      </c>
      <c r="N1116">
        <v>100.77290000000001</v>
      </c>
      <c r="O1116" t="s">
        <v>309</v>
      </c>
      <c r="P1116" t="s">
        <v>302</v>
      </c>
      <c r="Q1116">
        <f>I1116-(K1116*Standards!$I$15)</f>
        <v>1.46E-2</v>
      </c>
    </row>
    <row r="1117" spans="1:17">
      <c r="A1117">
        <v>95</v>
      </c>
      <c r="B1117">
        <v>0</v>
      </c>
      <c r="C1117">
        <v>0</v>
      </c>
      <c r="D1117">
        <v>35.19</v>
      </c>
      <c r="E1117">
        <v>4.7000000000000002E-3</v>
      </c>
      <c r="F1117">
        <v>0</v>
      </c>
      <c r="G1117">
        <v>0</v>
      </c>
      <c r="H1117">
        <v>30.81</v>
      </c>
      <c r="I1117">
        <v>1.0200000000000001E-2</v>
      </c>
      <c r="J1117">
        <v>34.61</v>
      </c>
      <c r="K1117">
        <v>0</v>
      </c>
      <c r="L1117">
        <v>2.7099999999999999E-2</v>
      </c>
      <c r="M1117">
        <v>0.1149</v>
      </c>
      <c r="N1117">
        <v>100.7668</v>
      </c>
      <c r="O1117" t="s">
        <v>309</v>
      </c>
      <c r="P1117" t="s">
        <v>302</v>
      </c>
      <c r="Q1117">
        <f>I1117-(K1117*Standards!$I$15)</f>
        <v>1.0200000000000001E-2</v>
      </c>
    </row>
    <row r="1118" spans="1:17">
      <c r="A1118">
        <v>94</v>
      </c>
      <c r="B1118">
        <v>6.1999999999999998E-3</v>
      </c>
      <c r="C1118">
        <v>0</v>
      </c>
      <c r="D1118">
        <v>35.25</v>
      </c>
      <c r="E1118">
        <v>9.2999999999999992E-3</v>
      </c>
      <c r="F1118">
        <v>0</v>
      </c>
      <c r="G1118">
        <v>0</v>
      </c>
      <c r="H1118">
        <v>30.55</v>
      </c>
      <c r="I1118">
        <v>2.7300000000000001E-2</v>
      </c>
      <c r="J1118">
        <v>34.590000000000003</v>
      </c>
      <c r="K1118">
        <v>0</v>
      </c>
      <c r="L1118">
        <v>1.6999999999999999E-3</v>
      </c>
      <c r="M1118">
        <v>0.12939999999999999</v>
      </c>
      <c r="N1118">
        <v>100.5639</v>
      </c>
      <c r="O1118" t="s">
        <v>309</v>
      </c>
      <c r="P1118" t="s">
        <v>302</v>
      </c>
      <c r="Q1118">
        <f>I1118-(K1118*Standards!$I$15)</f>
        <v>2.7300000000000001E-2</v>
      </c>
    </row>
    <row r="1119" spans="1:17">
      <c r="A1119">
        <v>90</v>
      </c>
      <c r="B1119">
        <v>0</v>
      </c>
      <c r="C1119">
        <v>0</v>
      </c>
      <c r="D1119">
        <v>35.36</v>
      </c>
      <c r="E1119">
        <v>1.46E-2</v>
      </c>
      <c r="F1119">
        <v>0</v>
      </c>
      <c r="G1119">
        <v>0</v>
      </c>
      <c r="H1119">
        <v>30.4</v>
      </c>
      <c r="I1119">
        <v>3.0499999999999999E-2</v>
      </c>
      <c r="J1119">
        <v>34.57</v>
      </c>
      <c r="K1119">
        <v>0</v>
      </c>
      <c r="L1119">
        <v>3.8600000000000002E-2</v>
      </c>
      <c r="M1119">
        <v>0.1343</v>
      </c>
      <c r="N1119">
        <v>100.5479</v>
      </c>
      <c r="O1119" t="s">
        <v>309</v>
      </c>
      <c r="P1119" t="s">
        <v>302</v>
      </c>
      <c r="Q1119">
        <f>I1119-(K1119*Standards!$I$15)</f>
        <v>3.0499999999999999E-2</v>
      </c>
    </row>
    <row r="1120" spans="1:17">
      <c r="A1120">
        <v>96</v>
      </c>
      <c r="B1120">
        <v>0</v>
      </c>
      <c r="C1120">
        <v>0</v>
      </c>
      <c r="D1120">
        <v>35.31</v>
      </c>
      <c r="E1120">
        <v>2.01E-2</v>
      </c>
      <c r="F1120">
        <v>0</v>
      </c>
      <c r="G1120">
        <v>0</v>
      </c>
      <c r="H1120">
        <v>30.53</v>
      </c>
      <c r="I1120">
        <v>1.52E-2</v>
      </c>
      <c r="J1120">
        <v>34.54</v>
      </c>
      <c r="K1120">
        <v>0</v>
      </c>
      <c r="L1120">
        <v>5.4899999999999997E-2</v>
      </c>
      <c r="M1120">
        <v>0.11459999999999999</v>
      </c>
      <c r="N1120">
        <v>100.5847</v>
      </c>
      <c r="O1120" t="s">
        <v>309</v>
      </c>
      <c r="P1120" t="s">
        <v>302</v>
      </c>
      <c r="Q1120">
        <f>I1120-(K1120*Standards!$I$15)</f>
        <v>1.52E-2</v>
      </c>
    </row>
    <row r="1121" spans="1:23">
      <c r="A1121">
        <v>100</v>
      </c>
      <c r="B1121">
        <v>1.0500000000000001E-2</v>
      </c>
      <c r="C1121">
        <v>0</v>
      </c>
      <c r="D1121">
        <v>35.19</v>
      </c>
      <c r="E1121">
        <v>9.2999999999999992E-3</v>
      </c>
      <c r="F1121">
        <v>0</v>
      </c>
      <c r="G1121">
        <v>0</v>
      </c>
      <c r="H1121">
        <v>30.75</v>
      </c>
      <c r="I1121">
        <v>3.1E-2</v>
      </c>
      <c r="J1121">
        <v>34.54</v>
      </c>
      <c r="K1121">
        <v>0</v>
      </c>
      <c r="L1121">
        <v>4.3299999999999998E-2</v>
      </c>
      <c r="M1121">
        <v>0.1192</v>
      </c>
      <c r="N1121">
        <v>100.6932</v>
      </c>
      <c r="O1121" t="s">
        <v>309</v>
      </c>
      <c r="P1121" t="s">
        <v>302</v>
      </c>
      <c r="Q1121">
        <f>I1121-(K1121*Standards!$I$15)</f>
        <v>3.1E-2</v>
      </c>
    </row>
    <row r="1122" spans="1:23">
      <c r="A1122">
        <v>89</v>
      </c>
      <c r="B1122">
        <v>0</v>
      </c>
      <c r="C1122">
        <v>0</v>
      </c>
      <c r="D1122">
        <v>35.119999999999997</v>
      </c>
      <c r="E1122">
        <v>2.1000000000000001E-2</v>
      </c>
      <c r="F1122">
        <v>0</v>
      </c>
      <c r="G1122">
        <v>0</v>
      </c>
      <c r="H1122">
        <v>30.66</v>
      </c>
      <c r="I1122">
        <v>1.4500000000000001E-2</v>
      </c>
      <c r="J1122">
        <v>34.53</v>
      </c>
      <c r="K1122">
        <v>0</v>
      </c>
      <c r="L1122">
        <v>2.3900000000000001E-2</v>
      </c>
      <c r="M1122">
        <v>0.12139999999999999</v>
      </c>
      <c r="N1122">
        <v>100.4907</v>
      </c>
      <c r="O1122" t="s">
        <v>309</v>
      </c>
      <c r="P1122" t="s">
        <v>302</v>
      </c>
      <c r="Q1122">
        <f>I1122-(K1122*Standards!$I$15)</f>
        <v>1.4500000000000001E-2</v>
      </c>
    </row>
    <row r="1123" spans="1:23">
      <c r="A1123">
        <v>97</v>
      </c>
      <c r="B1123">
        <v>0</v>
      </c>
      <c r="C1123">
        <v>0</v>
      </c>
      <c r="D1123">
        <v>35.200000000000003</v>
      </c>
      <c r="E1123">
        <v>1.4200000000000001E-2</v>
      </c>
      <c r="F1123">
        <v>0</v>
      </c>
      <c r="G1123">
        <v>0</v>
      </c>
      <c r="H1123">
        <v>30.7</v>
      </c>
      <c r="I1123">
        <v>2.5999999999999999E-2</v>
      </c>
      <c r="J1123">
        <v>34.340000000000003</v>
      </c>
      <c r="K1123">
        <v>0</v>
      </c>
      <c r="L1123">
        <v>2.8400000000000002E-2</v>
      </c>
      <c r="M1123">
        <v>0.10059999999999999</v>
      </c>
      <c r="N1123">
        <v>100.4091</v>
      </c>
      <c r="O1123" t="s">
        <v>309</v>
      </c>
      <c r="P1123" t="s">
        <v>302</v>
      </c>
      <c r="Q1123">
        <f>I1123-(K1123*Standards!$I$15)</f>
        <v>2.5999999999999999E-2</v>
      </c>
    </row>
    <row r="1124" spans="1:23">
      <c r="A1124">
        <v>110</v>
      </c>
      <c r="B1124">
        <v>0</v>
      </c>
      <c r="C1124">
        <v>0</v>
      </c>
      <c r="D1124">
        <v>35.22</v>
      </c>
      <c r="E1124">
        <v>4.1000000000000003E-3</v>
      </c>
      <c r="F1124">
        <v>0</v>
      </c>
      <c r="G1124">
        <v>0</v>
      </c>
      <c r="H1124">
        <v>30.42</v>
      </c>
      <c r="I1124">
        <v>1.8700000000000001E-2</v>
      </c>
      <c r="J1124">
        <v>34.229999999999997</v>
      </c>
      <c r="K1124">
        <v>0</v>
      </c>
      <c r="L1124">
        <v>6.1699999999999998E-2</v>
      </c>
      <c r="M1124">
        <v>0.1084</v>
      </c>
      <c r="N1124">
        <v>100.0629</v>
      </c>
      <c r="O1124" t="s">
        <v>309</v>
      </c>
      <c r="P1124" t="s">
        <v>302</v>
      </c>
      <c r="Q1124">
        <f>I1124-(K1124*Standards!$I$15)</f>
        <v>1.8700000000000001E-2</v>
      </c>
    </row>
    <row r="1125" spans="1:23">
      <c r="A1125">
        <v>109</v>
      </c>
      <c r="B1125">
        <v>4.3E-3</v>
      </c>
      <c r="C1125">
        <v>0</v>
      </c>
      <c r="D1125">
        <v>35.090000000000003</v>
      </c>
      <c r="E1125">
        <v>2.5000000000000001E-3</v>
      </c>
      <c r="F1125">
        <v>0</v>
      </c>
      <c r="G1125">
        <v>0</v>
      </c>
      <c r="H1125">
        <v>30.38</v>
      </c>
      <c r="I1125">
        <v>2.06E-2</v>
      </c>
      <c r="J1125">
        <v>33.85</v>
      </c>
      <c r="K1125">
        <v>0</v>
      </c>
      <c r="L1125">
        <v>1.8599999999999998E-2</v>
      </c>
      <c r="M1125">
        <v>0.1022</v>
      </c>
      <c r="N1125">
        <v>99.468299999999999</v>
      </c>
      <c r="O1125" t="s">
        <v>309</v>
      </c>
      <c r="P1125" t="s">
        <v>302</v>
      </c>
      <c r="Q1125">
        <f>I1125-(K1125*Standards!$I$15)</f>
        <v>2.06E-2</v>
      </c>
    </row>
    <row r="1126" spans="1:23">
      <c r="A1126">
        <v>108</v>
      </c>
      <c r="B1126">
        <v>0</v>
      </c>
      <c r="C1126">
        <v>0</v>
      </c>
      <c r="D1126">
        <v>35.119999999999997</v>
      </c>
      <c r="E1126">
        <v>2.6599999999999999E-2</v>
      </c>
      <c r="F1126">
        <v>0</v>
      </c>
      <c r="G1126">
        <v>0</v>
      </c>
      <c r="H1126">
        <v>30.53</v>
      </c>
      <c r="I1126">
        <v>2.6100000000000002E-2</v>
      </c>
      <c r="J1126">
        <v>33.799999999999997</v>
      </c>
      <c r="K1126">
        <v>0</v>
      </c>
      <c r="L1126">
        <v>9.9299999999999999E-2</v>
      </c>
      <c r="M1126">
        <v>0.1014</v>
      </c>
      <c r="N1126">
        <v>99.703500000000005</v>
      </c>
      <c r="O1126" t="s">
        <v>309</v>
      </c>
      <c r="P1126" t="s">
        <v>302</v>
      </c>
      <c r="Q1126">
        <f>I1126-(K1126*Standards!$I$15)</f>
        <v>2.6100000000000002E-2</v>
      </c>
    </row>
    <row r="1127" spans="1:23">
      <c r="A1127">
        <v>106</v>
      </c>
      <c r="B1127">
        <v>1.83E-2</v>
      </c>
      <c r="C1127">
        <v>0</v>
      </c>
      <c r="D1127">
        <v>35.28</v>
      </c>
      <c r="E1127">
        <v>0</v>
      </c>
      <c r="F1127">
        <v>0</v>
      </c>
      <c r="G1127">
        <v>0</v>
      </c>
      <c r="H1127">
        <v>30.28</v>
      </c>
      <c r="I1127">
        <v>6.9000000000000006E-2</v>
      </c>
      <c r="J1127">
        <v>33.799999999999997</v>
      </c>
      <c r="K1127">
        <v>0</v>
      </c>
      <c r="L1127">
        <v>2.7199999999999998E-2</v>
      </c>
      <c r="M1127">
        <v>9.1399999999999995E-2</v>
      </c>
      <c r="N1127">
        <v>99.565899999999999</v>
      </c>
      <c r="O1127" t="s">
        <v>309</v>
      </c>
      <c r="P1127" t="s">
        <v>302</v>
      </c>
      <c r="Q1127">
        <f>I1127-(K1127*Standards!$I$15)</f>
        <v>6.9000000000000006E-2</v>
      </c>
    </row>
    <row r="1128" spans="1:23">
      <c r="A1128">
        <v>107</v>
      </c>
      <c r="B1128">
        <v>0</v>
      </c>
      <c r="C1128">
        <v>0</v>
      </c>
      <c r="D1128">
        <v>35.25</v>
      </c>
      <c r="E1128">
        <v>1.04E-2</v>
      </c>
      <c r="F1128">
        <v>0</v>
      </c>
      <c r="G1128">
        <v>0</v>
      </c>
      <c r="H1128">
        <v>30.59</v>
      </c>
      <c r="I1128">
        <v>4.2999999999999997E-2</v>
      </c>
      <c r="J1128">
        <v>33.64</v>
      </c>
      <c r="K1128">
        <v>0</v>
      </c>
      <c r="L1128">
        <v>3.3700000000000001E-2</v>
      </c>
      <c r="M1128">
        <v>0.1009</v>
      </c>
      <c r="N1128">
        <v>99.668099999999995</v>
      </c>
      <c r="O1128" t="s">
        <v>309</v>
      </c>
      <c r="P1128" t="s">
        <v>302</v>
      </c>
      <c r="Q1128">
        <f>I1128-(K1128*Standards!$I$15)</f>
        <v>4.2999999999999997E-2</v>
      </c>
    </row>
    <row r="1129" spans="1:23">
      <c r="A1129" s="27">
        <v>68</v>
      </c>
      <c r="B1129" s="27">
        <v>2.0999999999999999E-3</v>
      </c>
      <c r="C1129" s="27">
        <v>0</v>
      </c>
      <c r="D1129" s="27">
        <v>36.270000000000003</v>
      </c>
      <c r="E1129" s="27">
        <v>6.7000000000000002E-3</v>
      </c>
      <c r="F1129" s="27">
        <v>0</v>
      </c>
      <c r="G1129" s="27">
        <v>0</v>
      </c>
      <c r="H1129" s="27">
        <v>30.88</v>
      </c>
      <c r="I1129" s="27">
        <v>1E-3</v>
      </c>
      <c r="J1129" s="27">
        <v>35.14</v>
      </c>
      <c r="K1129" s="27">
        <v>0</v>
      </c>
      <c r="L1129" s="27">
        <v>1.41E-2</v>
      </c>
      <c r="M1129" s="27">
        <v>0.1091</v>
      </c>
      <c r="N1129" s="27">
        <v>102.4229</v>
      </c>
      <c r="O1129" s="27" t="s">
        <v>200</v>
      </c>
      <c r="P1129" s="27" t="s">
        <v>191</v>
      </c>
      <c r="Q1129">
        <f>I1129-(K1129*Standards!$I$15)</f>
        <v>1E-3</v>
      </c>
      <c r="R1129" t="s">
        <v>191</v>
      </c>
      <c r="S1129">
        <f>COUNT(Q1129:Q1140)</f>
        <v>12</v>
      </c>
      <c r="T1129">
        <f>MAX(L1129:L1140)</f>
        <v>9.5500000000000002E-2</v>
      </c>
      <c r="U1129">
        <f>AVERAGE(L1129:L1140)</f>
        <v>5.3824999999999991E-2</v>
      </c>
      <c r="V1129">
        <f>10000*MAX(Q1129:Q1140)</f>
        <v>42</v>
      </c>
      <c r="W1129">
        <f>10000*AVERAGE(Q1129:Q1140)</f>
        <v>8.8333333333333357</v>
      </c>
    </row>
    <row r="1130" spans="1:23">
      <c r="A1130" s="27">
        <v>69</v>
      </c>
      <c r="B1130" s="27">
        <v>1.6199999999999999E-2</v>
      </c>
      <c r="C1130" s="27">
        <v>0</v>
      </c>
      <c r="D1130" s="27">
        <v>36.47</v>
      </c>
      <c r="E1130" s="27">
        <v>1.6199999999999999E-2</v>
      </c>
      <c r="F1130" s="27">
        <v>1.54E-2</v>
      </c>
      <c r="G1130" s="27">
        <v>0</v>
      </c>
      <c r="H1130" s="27">
        <v>30.86</v>
      </c>
      <c r="I1130" s="27">
        <v>2.7000000000000001E-3</v>
      </c>
      <c r="J1130" s="27">
        <v>35.229999999999997</v>
      </c>
      <c r="K1130" s="27">
        <v>0</v>
      </c>
      <c r="L1130" s="27">
        <v>5.9499999999999997E-2</v>
      </c>
      <c r="M1130" s="27">
        <v>0.1293</v>
      </c>
      <c r="N1130" s="27">
        <v>102.7993</v>
      </c>
      <c r="O1130" s="27" t="s">
        <v>200</v>
      </c>
      <c r="P1130" s="27" t="s">
        <v>191</v>
      </c>
      <c r="Q1130">
        <f>I1130-(K1130*Standards!$I$15)</f>
        <v>2.7000000000000001E-3</v>
      </c>
    </row>
    <row r="1131" spans="1:23">
      <c r="A1131" s="27">
        <v>70</v>
      </c>
      <c r="B1131" s="27">
        <v>5.4000000000000003E-3</v>
      </c>
      <c r="C1131" s="27">
        <v>0</v>
      </c>
      <c r="D1131" s="27">
        <v>36.270000000000003</v>
      </c>
      <c r="E1131" s="27">
        <v>1.61E-2</v>
      </c>
      <c r="F1131" s="27">
        <v>0</v>
      </c>
      <c r="G1131" s="27">
        <v>0</v>
      </c>
      <c r="H1131" s="27">
        <v>30.8</v>
      </c>
      <c r="I1131" s="27">
        <v>0</v>
      </c>
      <c r="J1131" s="27">
        <v>34.729999999999997</v>
      </c>
      <c r="K1131" s="27">
        <v>0</v>
      </c>
      <c r="L1131" s="27">
        <v>7.6700000000000004E-2</v>
      </c>
      <c r="M1131" s="27">
        <v>0.1159</v>
      </c>
      <c r="N1131" s="27">
        <v>102.014</v>
      </c>
      <c r="O1131" s="27" t="s">
        <v>200</v>
      </c>
      <c r="P1131" s="27" t="s">
        <v>191</v>
      </c>
      <c r="Q1131">
        <f>I1131-(K1131*Standards!$I$15)</f>
        <v>0</v>
      </c>
    </row>
    <row r="1132" spans="1:23">
      <c r="A1132" s="27">
        <v>71</v>
      </c>
      <c r="B1132" s="27">
        <v>0</v>
      </c>
      <c r="C1132" s="27">
        <v>0</v>
      </c>
      <c r="D1132" s="27">
        <v>36.29</v>
      </c>
      <c r="E1132" s="27">
        <v>4.7000000000000002E-3</v>
      </c>
      <c r="F1132" s="27">
        <v>3.2000000000000002E-3</v>
      </c>
      <c r="G1132" s="27">
        <v>0</v>
      </c>
      <c r="H1132" s="27">
        <v>30.9</v>
      </c>
      <c r="I1132" s="27">
        <v>4.1999999999999997E-3</v>
      </c>
      <c r="J1132" s="27">
        <v>35.25</v>
      </c>
      <c r="K1132" s="27">
        <v>0</v>
      </c>
      <c r="L1132" s="27">
        <v>6.7799999999999999E-2</v>
      </c>
      <c r="M1132" s="27">
        <v>0.1143</v>
      </c>
      <c r="N1132" s="27">
        <v>102.63420000000001</v>
      </c>
      <c r="O1132" s="27" t="s">
        <v>200</v>
      </c>
      <c r="P1132" s="27" t="s">
        <v>191</v>
      </c>
      <c r="Q1132">
        <f>I1132-(K1132*Standards!$I$15)</f>
        <v>4.1999999999999997E-3</v>
      </c>
    </row>
    <row r="1133" spans="1:23">
      <c r="A1133" s="27">
        <v>72</v>
      </c>
      <c r="B1133" s="27">
        <v>0</v>
      </c>
      <c r="C1133" s="27">
        <v>0</v>
      </c>
      <c r="D1133" s="27">
        <v>36.58</v>
      </c>
      <c r="E1133" s="27">
        <v>3.2000000000000002E-3</v>
      </c>
      <c r="F1133" s="27">
        <v>0</v>
      </c>
      <c r="G1133" s="27">
        <v>0</v>
      </c>
      <c r="H1133" s="27">
        <v>30.59</v>
      </c>
      <c r="I1133" s="27">
        <v>0</v>
      </c>
      <c r="J1133" s="27">
        <v>35.75</v>
      </c>
      <c r="K1133" s="27">
        <v>0</v>
      </c>
      <c r="L1133" s="27">
        <v>6.8400000000000002E-2</v>
      </c>
      <c r="M1133" s="27">
        <v>0.1159</v>
      </c>
      <c r="N1133" s="27">
        <v>103.1074</v>
      </c>
      <c r="O1133" s="27" t="s">
        <v>200</v>
      </c>
      <c r="P1133" s="27" t="s">
        <v>191</v>
      </c>
      <c r="Q1133">
        <f>I1133-(K1133*Standards!$I$15)</f>
        <v>0</v>
      </c>
    </row>
    <row r="1134" spans="1:23">
      <c r="A1134" s="27">
        <v>73</v>
      </c>
      <c r="B1134" s="27">
        <v>3.2000000000000002E-3</v>
      </c>
      <c r="C1134" s="27">
        <v>0</v>
      </c>
      <c r="D1134" s="27">
        <v>36.479999999999997</v>
      </c>
      <c r="E1134" s="27">
        <v>0</v>
      </c>
      <c r="F1134" s="27">
        <v>0</v>
      </c>
      <c r="G1134" s="27">
        <v>0</v>
      </c>
      <c r="H1134" s="27">
        <v>30.86</v>
      </c>
      <c r="I1134" s="27">
        <v>0</v>
      </c>
      <c r="J1134" s="27">
        <v>35.19</v>
      </c>
      <c r="K1134" s="27">
        <v>0</v>
      </c>
      <c r="L1134" s="27">
        <v>9.5500000000000002E-2</v>
      </c>
      <c r="M1134" s="27">
        <v>0.1386</v>
      </c>
      <c r="N1134" s="27">
        <v>102.76730000000001</v>
      </c>
      <c r="O1134" s="27" t="s">
        <v>200</v>
      </c>
      <c r="P1134" s="27" t="s">
        <v>191</v>
      </c>
      <c r="Q1134">
        <f>I1134-(K1134*Standards!$I$15)</f>
        <v>0</v>
      </c>
    </row>
    <row r="1135" spans="1:23">
      <c r="A1135" s="27">
        <v>74</v>
      </c>
      <c r="B1135" s="27">
        <v>0</v>
      </c>
      <c r="C1135" s="27">
        <v>0</v>
      </c>
      <c r="D1135" s="27">
        <v>36.31</v>
      </c>
      <c r="E1135" s="27">
        <v>1.6899999999999998E-2</v>
      </c>
      <c r="F1135" s="27">
        <v>0</v>
      </c>
      <c r="G1135" s="27">
        <v>0</v>
      </c>
      <c r="H1135" s="27">
        <v>30.56</v>
      </c>
      <c r="I1135" s="27">
        <v>0</v>
      </c>
      <c r="J1135" s="27">
        <v>35.409999999999997</v>
      </c>
      <c r="K1135" s="27">
        <v>0</v>
      </c>
      <c r="L1135" s="27">
        <v>3.7900000000000003E-2</v>
      </c>
      <c r="M1135" s="27">
        <v>0.12870000000000001</v>
      </c>
      <c r="N1135" s="27">
        <v>102.4635</v>
      </c>
      <c r="O1135" s="27" t="s">
        <v>200</v>
      </c>
      <c r="P1135" s="27" t="s">
        <v>191</v>
      </c>
      <c r="Q1135">
        <f>I1135-(K1135*Standards!$I$15)</f>
        <v>0</v>
      </c>
    </row>
    <row r="1136" spans="1:23">
      <c r="A1136" s="27">
        <v>75</v>
      </c>
      <c r="B1136" s="27">
        <v>0</v>
      </c>
      <c r="C1136" s="27">
        <v>0</v>
      </c>
      <c r="D1136" s="27">
        <v>36.49</v>
      </c>
      <c r="E1136" s="27">
        <v>0</v>
      </c>
      <c r="F1136" s="27">
        <v>0</v>
      </c>
      <c r="G1136" s="27">
        <v>0</v>
      </c>
      <c r="H1136" s="27">
        <v>30.78</v>
      </c>
      <c r="I1136" s="27">
        <v>2.7000000000000001E-3</v>
      </c>
      <c r="J1136" s="27">
        <v>35.450000000000003</v>
      </c>
      <c r="K1136" s="27">
        <v>0</v>
      </c>
      <c r="L1136" s="27">
        <v>7.2300000000000003E-2</v>
      </c>
      <c r="M1136" s="27">
        <v>0.13669999999999999</v>
      </c>
      <c r="N1136" s="27">
        <v>102.93170000000001</v>
      </c>
      <c r="O1136" s="27" t="s">
        <v>200</v>
      </c>
      <c r="P1136" s="27" t="s">
        <v>191</v>
      </c>
      <c r="Q1136">
        <f>I1136-(K1136*Standards!$I$15)</f>
        <v>2.7000000000000001E-3</v>
      </c>
    </row>
    <row r="1137" spans="1:23">
      <c r="A1137" s="27">
        <v>76</v>
      </c>
      <c r="B1137" s="27">
        <v>0</v>
      </c>
      <c r="C1137" s="27">
        <v>0</v>
      </c>
      <c r="D1137" s="27">
        <v>36.42</v>
      </c>
      <c r="E1137" s="27">
        <v>4.4999999999999997E-3</v>
      </c>
      <c r="F1137" s="27">
        <v>3.8999999999999998E-3</v>
      </c>
      <c r="G1137" s="27">
        <v>0</v>
      </c>
      <c r="H1137" s="27">
        <v>30.72</v>
      </c>
      <c r="I1137" s="27">
        <v>0</v>
      </c>
      <c r="J1137" s="27">
        <v>35.409999999999997</v>
      </c>
      <c r="K1137" s="27">
        <v>0</v>
      </c>
      <c r="L1137" s="27">
        <v>8.4400000000000003E-2</v>
      </c>
      <c r="M1137" s="27">
        <v>0.122</v>
      </c>
      <c r="N1137" s="27">
        <v>102.7647</v>
      </c>
      <c r="O1137" s="27" t="s">
        <v>200</v>
      </c>
      <c r="P1137" s="27" t="s">
        <v>191</v>
      </c>
      <c r="Q1137">
        <f>I1137-(K1137*Standards!$I$15)</f>
        <v>0</v>
      </c>
    </row>
    <row r="1138" spans="1:23">
      <c r="A1138" s="27">
        <v>79</v>
      </c>
      <c r="B1138" s="27">
        <v>2.8199999999999999E-2</v>
      </c>
      <c r="C1138" s="27">
        <v>0</v>
      </c>
      <c r="D1138" s="27">
        <v>40.97</v>
      </c>
      <c r="E1138" s="27">
        <v>2.3699999999999999E-2</v>
      </c>
      <c r="F1138" s="27">
        <v>6.1999999999999998E-3</v>
      </c>
      <c r="G1138" s="27">
        <v>0</v>
      </c>
      <c r="H1138" s="27">
        <v>58.84</v>
      </c>
      <c r="I1138" s="27">
        <v>0</v>
      </c>
      <c r="J1138" s="27">
        <v>6.0000000000000001E-3</v>
      </c>
      <c r="K1138" s="27">
        <v>0</v>
      </c>
      <c r="L1138" s="27">
        <v>1.26E-2</v>
      </c>
      <c r="M1138" s="27">
        <v>0.14729999999999999</v>
      </c>
      <c r="N1138" s="27">
        <v>100.03400000000001</v>
      </c>
      <c r="O1138" s="27" t="s">
        <v>200</v>
      </c>
      <c r="P1138" s="27" t="s">
        <v>191</v>
      </c>
      <c r="Q1138">
        <f>I1138-(K1138*Standards!$I$15)</f>
        <v>0</v>
      </c>
    </row>
    <row r="1139" spans="1:23">
      <c r="A1139" s="27">
        <v>85</v>
      </c>
      <c r="B1139" s="27">
        <v>0</v>
      </c>
      <c r="C1139" s="27">
        <v>0</v>
      </c>
      <c r="D1139" s="27">
        <v>36.03</v>
      </c>
      <c r="E1139" s="27">
        <v>1.15E-2</v>
      </c>
      <c r="F1139" s="27">
        <v>8.2000000000000007E-3</v>
      </c>
      <c r="G1139" s="27">
        <v>0</v>
      </c>
      <c r="H1139" s="27">
        <v>31.09</v>
      </c>
      <c r="I1139" s="27">
        <v>0</v>
      </c>
      <c r="J1139" s="27">
        <v>34.450000000000003</v>
      </c>
      <c r="K1139" s="27">
        <v>0</v>
      </c>
      <c r="L1139" s="27">
        <v>2.2100000000000002E-2</v>
      </c>
      <c r="M1139" s="27">
        <v>0.1003</v>
      </c>
      <c r="N1139" s="27">
        <v>101.71210000000001</v>
      </c>
      <c r="O1139" s="27" t="s">
        <v>200</v>
      </c>
      <c r="P1139" s="27" t="s">
        <v>191</v>
      </c>
      <c r="Q1139">
        <f>I1139-(K1139*Standards!$I$15)</f>
        <v>0</v>
      </c>
    </row>
    <row r="1140" spans="1:23">
      <c r="A1140" s="27">
        <v>90</v>
      </c>
      <c r="B1140" s="27">
        <v>1.6000000000000001E-3</v>
      </c>
      <c r="C1140" s="27">
        <v>0</v>
      </c>
      <c r="D1140" s="27">
        <v>36.81</v>
      </c>
      <c r="E1140" s="27">
        <v>8.6999999999999994E-3</v>
      </c>
      <c r="F1140" s="27">
        <v>0.01</v>
      </c>
      <c r="G1140" s="27">
        <v>0</v>
      </c>
      <c r="H1140" s="27">
        <v>30.9</v>
      </c>
      <c r="I1140" s="27">
        <v>0</v>
      </c>
      <c r="J1140" s="27">
        <v>35.39</v>
      </c>
      <c r="K1140" s="27">
        <v>0</v>
      </c>
      <c r="L1140" s="27">
        <v>3.4599999999999999E-2</v>
      </c>
      <c r="M1140" s="27">
        <v>0.12609999999999999</v>
      </c>
      <c r="N1140" s="27">
        <v>103.2809</v>
      </c>
      <c r="O1140" s="27" t="s">
        <v>310</v>
      </c>
      <c r="P1140" s="27" t="s">
        <v>191</v>
      </c>
      <c r="Q1140">
        <f>I1140-(K1140*Standards!$I$15)</f>
        <v>0</v>
      </c>
    </row>
    <row r="1141" spans="1:23">
      <c r="A1141" s="27">
        <v>1</v>
      </c>
      <c r="B1141" s="27">
        <v>4.1999999999999997E-3</v>
      </c>
      <c r="C1141" s="27">
        <v>0</v>
      </c>
      <c r="D1141" s="27">
        <v>36</v>
      </c>
      <c r="E1141" s="27">
        <v>0</v>
      </c>
      <c r="F1141" s="27">
        <v>1.7500000000000002E-2</v>
      </c>
      <c r="G1141" s="27">
        <v>0</v>
      </c>
      <c r="H1141" s="27">
        <v>29.46</v>
      </c>
      <c r="I1141" s="27">
        <v>8.5000000000000006E-3</v>
      </c>
      <c r="J1141" s="27">
        <v>34.65</v>
      </c>
      <c r="K1141" s="27">
        <v>0</v>
      </c>
      <c r="L1141" s="27">
        <v>6.4199999999999993E-2</v>
      </c>
      <c r="M1141" s="27">
        <v>0.1118</v>
      </c>
      <c r="N1141" s="27">
        <v>100.31619999999999</v>
      </c>
      <c r="O1141" s="27" t="s">
        <v>311</v>
      </c>
      <c r="P1141" s="27" t="s">
        <v>121</v>
      </c>
      <c r="Q1141">
        <f>I1141-(K1141*Standards!$I$15)</f>
        <v>8.5000000000000006E-3</v>
      </c>
      <c r="R1141" t="s">
        <v>121</v>
      </c>
      <c r="S1141">
        <f>COUNT(Q1141:Q1149)</f>
        <v>9</v>
      </c>
      <c r="T1141">
        <f>MAX(L1141:L1149)</f>
        <v>0.6321</v>
      </c>
      <c r="U1141">
        <f>AVERAGE(L1141:L1149)</f>
        <v>0.13403333333333334</v>
      </c>
      <c r="V1141">
        <f>10000*MAX(Q1141:Q1149)</f>
        <v>85</v>
      </c>
      <c r="W1141">
        <f>10000*AVERAGE(Q1141:Q1149)</f>
        <v>62.55555555555555</v>
      </c>
    </row>
    <row r="1142" spans="1:23">
      <c r="A1142" s="27">
        <v>7</v>
      </c>
      <c r="B1142" s="27">
        <v>0</v>
      </c>
      <c r="C1142" s="27">
        <v>0</v>
      </c>
      <c r="D1142" s="27">
        <v>35.51</v>
      </c>
      <c r="E1142" s="27">
        <v>0</v>
      </c>
      <c r="F1142" s="27">
        <v>0</v>
      </c>
      <c r="G1142" s="27">
        <v>0</v>
      </c>
      <c r="H1142" s="27">
        <v>29.5</v>
      </c>
      <c r="I1142" s="27">
        <v>0</v>
      </c>
      <c r="J1142" s="27">
        <v>35.03</v>
      </c>
      <c r="K1142" s="27">
        <v>0</v>
      </c>
      <c r="L1142" s="27">
        <v>0</v>
      </c>
      <c r="M1142" s="27">
        <v>0.1125</v>
      </c>
      <c r="N1142" s="27">
        <v>100.1524</v>
      </c>
      <c r="O1142" s="27" t="s">
        <v>311</v>
      </c>
      <c r="P1142" s="27" t="s">
        <v>121</v>
      </c>
      <c r="Q1142">
        <f>I1142-(K1142*Standards!$I$15)</f>
        <v>0</v>
      </c>
    </row>
    <row r="1143" spans="1:23">
      <c r="A1143" s="27">
        <v>8</v>
      </c>
      <c r="B1143" s="27">
        <v>5.4999999999999997E-3</v>
      </c>
      <c r="C1143" s="27">
        <v>0</v>
      </c>
      <c r="D1143" s="27">
        <v>35.18</v>
      </c>
      <c r="E1143" s="27">
        <v>8.2000000000000007E-3</v>
      </c>
      <c r="F1143" s="27">
        <v>0</v>
      </c>
      <c r="G1143" s="27">
        <v>0</v>
      </c>
      <c r="H1143" s="27">
        <v>29.59</v>
      </c>
      <c r="I1143" s="27">
        <v>7.1000000000000004E-3</v>
      </c>
      <c r="J1143" s="27">
        <v>35.15</v>
      </c>
      <c r="K1143" s="27">
        <v>0</v>
      </c>
      <c r="L1143" s="27">
        <v>0</v>
      </c>
      <c r="M1143" s="27">
        <v>0.12280000000000001</v>
      </c>
      <c r="N1143" s="27">
        <v>100.06359999999999</v>
      </c>
      <c r="O1143" s="27" t="s">
        <v>311</v>
      </c>
      <c r="P1143" s="27" t="s">
        <v>121</v>
      </c>
      <c r="Q1143">
        <f>I1143-(K1143*Standards!$I$15)</f>
        <v>7.1000000000000004E-3</v>
      </c>
    </row>
    <row r="1144" spans="1:23">
      <c r="A1144" s="27">
        <v>9</v>
      </c>
      <c r="B1144" s="27">
        <v>8.6999999999999994E-3</v>
      </c>
      <c r="C1144" s="27">
        <v>0</v>
      </c>
      <c r="D1144" s="27">
        <v>35.36</v>
      </c>
      <c r="E1144" s="27">
        <v>0</v>
      </c>
      <c r="F1144" s="27">
        <v>0</v>
      </c>
      <c r="G1144" s="27">
        <v>0</v>
      </c>
      <c r="H1144" s="27">
        <v>29.27</v>
      </c>
      <c r="I1144" s="27">
        <v>6.4000000000000003E-3</v>
      </c>
      <c r="J1144" s="27">
        <v>34.78</v>
      </c>
      <c r="K1144" s="27">
        <v>0</v>
      </c>
      <c r="L1144" s="27">
        <v>0.6321</v>
      </c>
      <c r="M1144" s="27">
        <v>0.14480000000000001</v>
      </c>
      <c r="N1144" s="27">
        <v>100.202</v>
      </c>
      <c r="O1144" s="27" t="s">
        <v>311</v>
      </c>
      <c r="P1144" s="27" t="s">
        <v>121</v>
      </c>
      <c r="Q1144">
        <f>I1144-(K1144*Standards!$I$15)</f>
        <v>6.4000000000000003E-3</v>
      </c>
    </row>
    <row r="1145" spans="1:23">
      <c r="A1145" s="27">
        <v>12</v>
      </c>
      <c r="B1145" s="27">
        <v>4.0000000000000001E-3</v>
      </c>
      <c r="C1145" s="27">
        <v>0</v>
      </c>
      <c r="D1145" s="27">
        <v>35.39</v>
      </c>
      <c r="E1145" s="27">
        <v>0</v>
      </c>
      <c r="F1145" s="27">
        <v>0</v>
      </c>
      <c r="G1145" s="27">
        <v>0</v>
      </c>
      <c r="H1145" s="27">
        <v>29.56</v>
      </c>
      <c r="I1145" s="27">
        <v>8.0000000000000002E-3</v>
      </c>
      <c r="J1145" s="27">
        <v>35.270000000000003</v>
      </c>
      <c r="K1145" s="27">
        <v>0</v>
      </c>
      <c r="L1145" s="27">
        <v>9.98E-2</v>
      </c>
      <c r="M1145" s="27">
        <v>0.124</v>
      </c>
      <c r="N1145" s="27">
        <v>100.45569999999999</v>
      </c>
      <c r="O1145" s="27" t="s">
        <v>311</v>
      </c>
      <c r="P1145" s="27" t="s">
        <v>121</v>
      </c>
      <c r="Q1145">
        <f>I1145-(K1145*Standards!$I$15)</f>
        <v>8.0000000000000002E-3</v>
      </c>
    </row>
    <row r="1146" spans="1:23">
      <c r="A1146" s="27">
        <v>15</v>
      </c>
      <c r="B1146" s="27">
        <v>3.8999999999999998E-3</v>
      </c>
      <c r="C1146" s="27">
        <v>0</v>
      </c>
      <c r="D1146" s="27">
        <v>35.380000000000003</v>
      </c>
      <c r="E1146" s="27">
        <v>0</v>
      </c>
      <c r="F1146" s="27">
        <v>0</v>
      </c>
      <c r="G1146" s="27">
        <v>0</v>
      </c>
      <c r="H1146" s="27">
        <v>29.68</v>
      </c>
      <c r="I1146" s="27">
        <v>3.2000000000000002E-3</v>
      </c>
      <c r="J1146" s="27">
        <v>35.200000000000003</v>
      </c>
      <c r="K1146" s="27">
        <v>0</v>
      </c>
      <c r="L1146" s="27">
        <v>8.4599999999999995E-2</v>
      </c>
      <c r="M1146" s="27">
        <v>0.14779999999999999</v>
      </c>
      <c r="N1146" s="27">
        <v>100.4995</v>
      </c>
      <c r="O1146" s="27" t="s">
        <v>311</v>
      </c>
      <c r="P1146" s="27" t="s">
        <v>121</v>
      </c>
      <c r="Q1146">
        <f>I1146-(K1146*Standards!$I$15)</f>
        <v>3.2000000000000002E-3</v>
      </c>
    </row>
    <row r="1147" spans="1:23">
      <c r="A1147" s="27">
        <v>19</v>
      </c>
      <c r="B1147" s="27">
        <v>5.5999999999999999E-3</v>
      </c>
      <c r="C1147" s="27">
        <v>0</v>
      </c>
      <c r="D1147" s="27">
        <v>35.31</v>
      </c>
      <c r="E1147" s="27">
        <v>9.1000000000000004E-3</v>
      </c>
      <c r="F1147" s="27">
        <v>0</v>
      </c>
      <c r="G1147" s="27">
        <v>0</v>
      </c>
      <c r="H1147" s="27">
        <v>29.7</v>
      </c>
      <c r="I1147" s="27">
        <v>8.3999999999999995E-3</v>
      </c>
      <c r="J1147" s="27">
        <v>35.5</v>
      </c>
      <c r="K1147" s="27">
        <v>0</v>
      </c>
      <c r="L1147" s="27">
        <v>0.2024</v>
      </c>
      <c r="M1147" s="27">
        <v>0.1207</v>
      </c>
      <c r="N1147" s="27">
        <v>100.8562</v>
      </c>
      <c r="O1147" s="27" t="s">
        <v>311</v>
      </c>
      <c r="P1147" s="27" t="s">
        <v>121</v>
      </c>
      <c r="Q1147">
        <f>I1147-(K1147*Standards!$I$15)</f>
        <v>8.3999999999999995E-3</v>
      </c>
    </row>
    <row r="1148" spans="1:23">
      <c r="A1148" s="27">
        <v>20</v>
      </c>
      <c r="B1148" s="27">
        <v>0</v>
      </c>
      <c r="C1148" s="27">
        <v>0</v>
      </c>
      <c r="D1148" s="27">
        <v>35.42</v>
      </c>
      <c r="E1148" s="27">
        <v>6.9999999999999999E-4</v>
      </c>
      <c r="F1148" s="27">
        <v>0</v>
      </c>
      <c r="G1148" s="27">
        <v>0</v>
      </c>
      <c r="H1148" s="27">
        <v>29.96</v>
      </c>
      <c r="I1148" s="27">
        <v>8.3999999999999995E-3</v>
      </c>
      <c r="J1148" s="27">
        <v>35.51</v>
      </c>
      <c r="K1148" s="27">
        <v>0</v>
      </c>
      <c r="L1148" s="27">
        <v>9.0300000000000005E-2</v>
      </c>
      <c r="M1148" s="27">
        <v>0.1308</v>
      </c>
      <c r="N1148" s="27">
        <v>101.12009999999999</v>
      </c>
      <c r="O1148" s="27" t="s">
        <v>311</v>
      </c>
      <c r="P1148" s="27" t="s">
        <v>121</v>
      </c>
      <c r="Q1148">
        <f>I1148-(K1148*Standards!$I$15)</f>
        <v>8.3999999999999995E-3</v>
      </c>
    </row>
    <row r="1149" spans="1:23">
      <c r="A1149" s="27">
        <v>21</v>
      </c>
      <c r="B1149" s="27">
        <v>0</v>
      </c>
      <c r="C1149" s="27">
        <v>0</v>
      </c>
      <c r="D1149" s="27">
        <v>35.130000000000003</v>
      </c>
      <c r="E1149" s="27">
        <v>0</v>
      </c>
      <c r="F1149" s="27">
        <v>0</v>
      </c>
      <c r="G1149" s="27">
        <v>0</v>
      </c>
      <c r="H1149" s="27">
        <v>29.77</v>
      </c>
      <c r="I1149" s="27">
        <v>6.3E-3</v>
      </c>
      <c r="J1149" s="27">
        <v>34.75</v>
      </c>
      <c r="K1149" s="27">
        <v>0</v>
      </c>
      <c r="L1149" s="27">
        <v>3.2899999999999999E-2</v>
      </c>
      <c r="M1149" s="27">
        <v>0.13009999999999999</v>
      </c>
      <c r="N1149" s="27">
        <v>99.819400000000002</v>
      </c>
      <c r="O1149" s="27" t="s">
        <v>311</v>
      </c>
      <c r="P1149" s="27" t="s">
        <v>121</v>
      </c>
      <c r="Q1149">
        <f>I1149-(K1149*Standards!$I$15)</f>
        <v>6.3E-3</v>
      </c>
    </row>
    <row r="1150" spans="1:23">
      <c r="A1150">
        <v>61</v>
      </c>
      <c r="B1150">
        <v>2.3999999999999998E-3</v>
      </c>
      <c r="C1150">
        <v>0</v>
      </c>
      <c r="D1150">
        <v>35.4</v>
      </c>
      <c r="E1150">
        <v>2.8E-3</v>
      </c>
      <c r="F1150">
        <v>0</v>
      </c>
      <c r="G1150">
        <v>0</v>
      </c>
      <c r="H1150">
        <v>29.05</v>
      </c>
      <c r="I1150">
        <v>0</v>
      </c>
      <c r="J1150">
        <v>33.58</v>
      </c>
      <c r="K1150">
        <v>0</v>
      </c>
      <c r="L1150">
        <v>2.5299999999999998</v>
      </c>
      <c r="M1150">
        <v>0.1149</v>
      </c>
      <c r="N1150">
        <v>100.68</v>
      </c>
      <c r="O1150" t="s">
        <v>312</v>
      </c>
      <c r="P1150" s="30" t="s">
        <v>123</v>
      </c>
      <c r="Q1150">
        <f>I1150-(K1150*Standards!$I$15)</f>
        <v>0</v>
      </c>
      <c r="S1150">
        <f>COUNT(Q1150)</f>
        <v>1</v>
      </c>
      <c r="T1150">
        <f>MAX(L1150)</f>
        <v>2.5299999999999998</v>
      </c>
      <c r="U1150">
        <f>AVERAGE(L1150)</f>
        <v>2.5299999999999998</v>
      </c>
      <c r="V1150">
        <f>10000*MAX(Q1150)</f>
        <v>0</v>
      </c>
      <c r="W1150">
        <f>10000*AVERAGE(Q1150)</f>
        <v>0</v>
      </c>
    </row>
    <row r="1151" spans="1:23">
      <c r="A1151">
        <v>2</v>
      </c>
      <c r="B1151">
        <v>1.5900000000000001E-2</v>
      </c>
      <c r="C1151">
        <v>0</v>
      </c>
      <c r="D1151">
        <v>35.44</v>
      </c>
      <c r="E1151">
        <v>0</v>
      </c>
      <c r="F1151">
        <v>1.6999999999999999E-3</v>
      </c>
      <c r="G1151">
        <v>0</v>
      </c>
      <c r="H1151">
        <v>29.71</v>
      </c>
      <c r="I1151">
        <v>0</v>
      </c>
      <c r="J1151">
        <v>35.03</v>
      </c>
      <c r="K1151">
        <v>0</v>
      </c>
      <c r="L1151">
        <v>0</v>
      </c>
      <c r="M1151">
        <v>4.5999999999999999E-3</v>
      </c>
      <c r="N1151">
        <v>100.2021</v>
      </c>
      <c r="O1151" t="s">
        <v>313</v>
      </c>
      <c r="P1151" s="30" t="s">
        <v>46</v>
      </c>
      <c r="Q1151">
        <f>I1151-(K1151*Standards!$I$15)</f>
        <v>0</v>
      </c>
    </row>
    <row r="1152" spans="1:23">
      <c r="A1152">
        <v>3</v>
      </c>
      <c r="B1152">
        <v>2.8E-3</v>
      </c>
      <c r="C1152">
        <v>0</v>
      </c>
      <c r="D1152">
        <v>35.33</v>
      </c>
      <c r="E1152">
        <v>0</v>
      </c>
      <c r="F1152">
        <v>0</v>
      </c>
      <c r="G1152">
        <v>0</v>
      </c>
      <c r="H1152">
        <v>30.25</v>
      </c>
      <c r="I1152">
        <v>0</v>
      </c>
      <c r="J1152">
        <v>35.090000000000003</v>
      </c>
      <c r="K1152">
        <v>0</v>
      </c>
      <c r="L1152">
        <v>3.6499999999999998E-2</v>
      </c>
      <c r="M1152">
        <v>0</v>
      </c>
      <c r="N1152">
        <v>100.7093</v>
      </c>
      <c r="O1152" t="s">
        <v>313</v>
      </c>
      <c r="P1152" s="30" t="s">
        <v>46</v>
      </c>
      <c r="Q1152">
        <f>I1152-(K1152*Standards!$I$15)</f>
        <v>0</v>
      </c>
    </row>
    <row r="1153" spans="1:17">
      <c r="A1153">
        <v>1</v>
      </c>
      <c r="B1153">
        <v>1.2999999999999999E-2</v>
      </c>
      <c r="C1153">
        <v>0</v>
      </c>
      <c r="D1153">
        <v>35.74</v>
      </c>
      <c r="E1153">
        <v>0</v>
      </c>
      <c r="F1153">
        <v>0</v>
      </c>
      <c r="G1153">
        <v>0</v>
      </c>
      <c r="H1153">
        <v>30.18</v>
      </c>
      <c r="I1153">
        <v>0</v>
      </c>
      <c r="J1153">
        <v>35.1</v>
      </c>
      <c r="K1153">
        <v>0</v>
      </c>
      <c r="L1153">
        <v>3.5999999999999997E-2</v>
      </c>
      <c r="M1153">
        <v>2.8E-3</v>
      </c>
      <c r="N1153">
        <v>101.07170000000001</v>
      </c>
      <c r="O1153" t="s">
        <v>313</v>
      </c>
      <c r="P1153" s="30" t="s">
        <v>46</v>
      </c>
      <c r="Q1153">
        <f>I1153-(K1153*Standards!$I$15)</f>
        <v>0</v>
      </c>
    </row>
    <row r="1154" spans="1:17">
      <c r="A1154">
        <v>14</v>
      </c>
      <c r="B1154">
        <v>8.3999999999999995E-3</v>
      </c>
      <c r="C1154">
        <v>0</v>
      </c>
      <c r="D1154">
        <v>35.57</v>
      </c>
      <c r="E1154">
        <v>0</v>
      </c>
      <c r="F1154">
        <v>0</v>
      </c>
      <c r="G1154">
        <v>0</v>
      </c>
      <c r="H1154">
        <v>29.59</v>
      </c>
      <c r="I1154">
        <v>0</v>
      </c>
      <c r="J1154">
        <v>35.200000000000003</v>
      </c>
      <c r="K1154">
        <v>0</v>
      </c>
      <c r="L1154">
        <v>1.78E-2</v>
      </c>
      <c r="M1154">
        <v>0</v>
      </c>
      <c r="N1154">
        <v>100.3861</v>
      </c>
      <c r="O1154" t="s">
        <v>313</v>
      </c>
      <c r="P1154" s="30" t="s">
        <v>46</v>
      </c>
      <c r="Q1154">
        <f>I1154-(K1154*Standards!$I$15)</f>
        <v>0</v>
      </c>
    </row>
    <row r="1155" spans="1:17">
      <c r="A1155">
        <v>5</v>
      </c>
      <c r="B1155">
        <v>1.7500000000000002E-2</v>
      </c>
      <c r="C1155">
        <v>0</v>
      </c>
      <c r="D1155">
        <v>35.51</v>
      </c>
      <c r="E1155">
        <v>0</v>
      </c>
      <c r="F1155">
        <v>0</v>
      </c>
      <c r="G1155">
        <v>0</v>
      </c>
      <c r="H1155">
        <v>29.99</v>
      </c>
      <c r="I1155">
        <v>0</v>
      </c>
      <c r="J1155">
        <v>35.24</v>
      </c>
      <c r="K1155">
        <v>0</v>
      </c>
      <c r="L1155">
        <v>4.4699999999999997E-2</v>
      </c>
      <c r="M1155">
        <v>1.0800000000000001E-2</v>
      </c>
      <c r="N1155">
        <v>100.813</v>
      </c>
      <c r="O1155" t="s">
        <v>313</v>
      </c>
      <c r="P1155" s="30" t="s">
        <v>46</v>
      </c>
      <c r="Q1155">
        <f>I1155-(K1155*Standards!$I$15)</f>
        <v>0</v>
      </c>
    </row>
    <row r="1156" spans="1:17">
      <c r="A1156">
        <v>16</v>
      </c>
      <c r="B1156">
        <v>0</v>
      </c>
      <c r="C1156">
        <v>0</v>
      </c>
      <c r="D1156">
        <v>35.43</v>
      </c>
      <c r="E1156">
        <v>0</v>
      </c>
      <c r="F1156">
        <v>0</v>
      </c>
      <c r="G1156">
        <v>0</v>
      </c>
      <c r="H1156">
        <v>30.17</v>
      </c>
      <c r="I1156">
        <v>0</v>
      </c>
      <c r="J1156">
        <v>35.25</v>
      </c>
      <c r="K1156">
        <v>0</v>
      </c>
      <c r="L1156">
        <v>5.0299999999999997E-2</v>
      </c>
      <c r="M1156">
        <v>0</v>
      </c>
      <c r="N1156">
        <v>100.9002</v>
      </c>
      <c r="O1156" t="s">
        <v>313</v>
      </c>
      <c r="P1156" s="30" t="s">
        <v>46</v>
      </c>
      <c r="Q1156">
        <f>I1156-(K1156*Standards!$I$15)</f>
        <v>0</v>
      </c>
    </row>
    <row r="1157" spans="1:17">
      <c r="A1157">
        <v>17</v>
      </c>
      <c r="B1157">
        <v>2.4E-2</v>
      </c>
      <c r="C1157">
        <v>0</v>
      </c>
      <c r="D1157">
        <v>35.590000000000003</v>
      </c>
      <c r="E1157">
        <v>0</v>
      </c>
      <c r="F1157">
        <v>0</v>
      </c>
      <c r="G1157">
        <v>0</v>
      </c>
      <c r="H1157">
        <v>30.08</v>
      </c>
      <c r="I1157">
        <v>0</v>
      </c>
      <c r="J1157">
        <v>35.31</v>
      </c>
      <c r="K1157">
        <v>0</v>
      </c>
      <c r="L1157">
        <v>3.56E-2</v>
      </c>
      <c r="M1157">
        <v>0</v>
      </c>
      <c r="N1157">
        <v>101.0395</v>
      </c>
      <c r="O1157" t="s">
        <v>313</v>
      </c>
      <c r="P1157" s="30" t="s">
        <v>46</v>
      </c>
      <c r="Q1157">
        <f>I1157-(K1157*Standards!$I$15)</f>
        <v>0</v>
      </c>
    </row>
    <row r="1158" spans="1:17">
      <c r="A1158">
        <v>9</v>
      </c>
      <c r="B1158">
        <v>8.5000000000000006E-3</v>
      </c>
      <c r="C1158">
        <v>0</v>
      </c>
      <c r="D1158">
        <v>35.6</v>
      </c>
      <c r="E1158">
        <v>0</v>
      </c>
      <c r="F1158">
        <v>0</v>
      </c>
      <c r="G1158">
        <v>0</v>
      </c>
      <c r="H1158">
        <v>30.17</v>
      </c>
      <c r="I1158">
        <v>0</v>
      </c>
      <c r="J1158">
        <v>35.340000000000003</v>
      </c>
      <c r="K1158">
        <v>0</v>
      </c>
      <c r="L1158">
        <v>2.81E-2</v>
      </c>
      <c r="M1158">
        <v>1.06E-2</v>
      </c>
      <c r="N1158">
        <v>101.1571</v>
      </c>
      <c r="O1158" t="s">
        <v>313</v>
      </c>
      <c r="P1158" s="30" t="s">
        <v>46</v>
      </c>
      <c r="Q1158">
        <f>I1158-(K1158*Standards!$I$15)</f>
        <v>0</v>
      </c>
    </row>
    <row r="1159" spans="1:17">
      <c r="A1159">
        <v>15</v>
      </c>
      <c r="B1159">
        <v>2.0799999999999999E-2</v>
      </c>
      <c r="C1159">
        <v>0</v>
      </c>
      <c r="D1159">
        <v>36</v>
      </c>
      <c r="E1159">
        <v>0</v>
      </c>
      <c r="F1159">
        <v>0</v>
      </c>
      <c r="G1159">
        <v>0</v>
      </c>
      <c r="H1159">
        <v>29.83</v>
      </c>
      <c r="I1159">
        <v>0</v>
      </c>
      <c r="J1159">
        <v>35.340000000000003</v>
      </c>
      <c r="K1159">
        <v>0</v>
      </c>
      <c r="L1159">
        <v>3.8600000000000002E-2</v>
      </c>
      <c r="M1159">
        <v>0</v>
      </c>
      <c r="N1159">
        <v>101.22929999999999</v>
      </c>
      <c r="O1159" t="s">
        <v>313</v>
      </c>
      <c r="P1159" s="30" t="s">
        <v>46</v>
      </c>
      <c r="Q1159">
        <f>I1159-(K1159*Standards!$I$15)</f>
        <v>0</v>
      </c>
    </row>
    <row r="1160" spans="1:17">
      <c r="A1160">
        <v>22</v>
      </c>
      <c r="B1160">
        <v>1.8200000000000001E-2</v>
      </c>
      <c r="C1160">
        <v>0</v>
      </c>
      <c r="D1160">
        <v>36.07</v>
      </c>
      <c r="E1160">
        <v>0</v>
      </c>
      <c r="F1160">
        <v>0</v>
      </c>
      <c r="G1160">
        <v>0</v>
      </c>
      <c r="H1160">
        <v>30.18</v>
      </c>
      <c r="I1160">
        <v>0</v>
      </c>
      <c r="J1160">
        <v>35.4</v>
      </c>
      <c r="K1160">
        <v>0</v>
      </c>
      <c r="L1160">
        <v>3.2899999999999999E-2</v>
      </c>
      <c r="M1160">
        <v>0</v>
      </c>
      <c r="N1160">
        <v>101.70099999999999</v>
      </c>
      <c r="O1160" t="s">
        <v>313</v>
      </c>
      <c r="P1160" s="30" t="s">
        <v>46</v>
      </c>
      <c r="Q1160">
        <f>I1160-(K1160*Standards!$I$15)</f>
        <v>0</v>
      </c>
    </row>
    <row r="1161" spans="1:17">
      <c r="A1161">
        <v>28</v>
      </c>
      <c r="B1161">
        <v>2.2100000000000002E-2</v>
      </c>
      <c r="C1161">
        <v>0</v>
      </c>
      <c r="D1161">
        <v>35.51</v>
      </c>
      <c r="E1161">
        <v>0</v>
      </c>
      <c r="F1161">
        <v>0</v>
      </c>
      <c r="G1161">
        <v>0</v>
      </c>
      <c r="H1161">
        <v>29.92</v>
      </c>
      <c r="I1161">
        <v>0</v>
      </c>
      <c r="J1161">
        <v>35.47</v>
      </c>
      <c r="K1161">
        <v>0</v>
      </c>
      <c r="L1161">
        <v>4.3200000000000002E-2</v>
      </c>
      <c r="M1161">
        <v>0</v>
      </c>
      <c r="N1161">
        <v>100.9652</v>
      </c>
      <c r="O1161" t="s">
        <v>313</v>
      </c>
      <c r="P1161" s="30" t="s">
        <v>46</v>
      </c>
      <c r="Q1161">
        <f>I1161-(K1161*Standards!$I$15)</f>
        <v>0</v>
      </c>
    </row>
  </sheetData>
  <phoneticPr fontId="1"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1029A-89D1-4B15-AF38-2B6EB89BB0CC}">
  <dimension ref="A1:Z81"/>
  <sheetViews>
    <sheetView workbookViewId="0">
      <selection activeCell="Q1" sqref="Q1:T1"/>
    </sheetView>
  </sheetViews>
  <sheetFormatPr defaultRowHeight="12.75"/>
  <sheetData>
    <row r="1" spans="1:26">
      <c r="A1" t="s">
        <v>0</v>
      </c>
      <c r="B1" t="s">
        <v>1</v>
      </c>
      <c r="C1" t="s">
        <v>2</v>
      </c>
      <c r="D1" t="s">
        <v>3</v>
      </c>
      <c r="E1" t="s">
        <v>4</v>
      </c>
      <c r="F1" t="s">
        <v>5</v>
      </c>
      <c r="G1" t="s">
        <v>6</v>
      </c>
      <c r="H1" t="s">
        <v>7</v>
      </c>
      <c r="I1" t="s">
        <v>8</v>
      </c>
      <c r="J1" t="s">
        <v>9</v>
      </c>
      <c r="K1" t="s">
        <v>10</v>
      </c>
      <c r="L1" t="s">
        <v>11</v>
      </c>
      <c r="M1" t="s">
        <v>12</v>
      </c>
      <c r="N1" t="s">
        <v>13</v>
      </c>
      <c r="O1" t="s">
        <v>47</v>
      </c>
      <c r="P1" t="s">
        <v>15</v>
      </c>
      <c r="Q1" t="s">
        <v>201</v>
      </c>
      <c r="R1" t="s">
        <v>201</v>
      </c>
      <c r="S1" t="s">
        <v>201</v>
      </c>
      <c r="T1" t="s">
        <v>201</v>
      </c>
      <c r="V1" t="s">
        <v>314</v>
      </c>
      <c r="W1" t="s">
        <v>203</v>
      </c>
      <c r="X1" t="s">
        <v>204</v>
      </c>
      <c r="Y1" t="s">
        <v>205</v>
      </c>
      <c r="Z1" t="s">
        <v>206</v>
      </c>
    </row>
    <row r="2" spans="1:26">
      <c r="A2">
        <v>292</v>
      </c>
      <c r="B2">
        <v>0</v>
      </c>
      <c r="C2">
        <v>0</v>
      </c>
      <c r="D2">
        <v>32.119999999999997</v>
      </c>
      <c r="E2">
        <v>0</v>
      </c>
      <c r="F2">
        <v>0</v>
      </c>
      <c r="G2">
        <v>0</v>
      </c>
      <c r="H2">
        <v>20.3</v>
      </c>
      <c r="I2">
        <v>0.29260000000000003</v>
      </c>
      <c r="J2">
        <v>28.59</v>
      </c>
      <c r="K2">
        <v>15.21</v>
      </c>
      <c r="L2">
        <v>1.75</v>
      </c>
      <c r="M2">
        <v>9.01E-2</v>
      </c>
      <c r="N2">
        <v>98.352800000000002</v>
      </c>
      <c r="O2" t="s">
        <v>315</v>
      </c>
      <c r="P2" t="s">
        <v>49</v>
      </c>
      <c r="Q2">
        <f>I2-(K2*Standards!$I$15)</f>
        <v>0.25894787500000005</v>
      </c>
      <c r="V2">
        <f>COUNT(Q2:Q28)</f>
        <v>27</v>
      </c>
      <c r="W2">
        <f>MAX(L2:L28)</f>
        <v>9.1999999999999993</v>
      </c>
      <c r="X2">
        <f>AVERAGE(L2:L28)</f>
        <v>3.1114814814814822</v>
      </c>
      <c r="Y2">
        <f>10000*MAX(Q2:Q28)</f>
        <v>6814.6774999999989</v>
      </c>
      <c r="Z2">
        <f>10000*AVERAGE(Q2:Q28)</f>
        <v>3167.8138888888898</v>
      </c>
    </row>
    <row r="3" spans="1:26">
      <c r="A3">
        <v>295</v>
      </c>
      <c r="B3">
        <v>0</v>
      </c>
      <c r="C3">
        <v>0</v>
      </c>
      <c r="D3">
        <v>30.01</v>
      </c>
      <c r="E3">
        <v>0</v>
      </c>
      <c r="F3">
        <v>0</v>
      </c>
      <c r="G3">
        <v>0</v>
      </c>
      <c r="H3">
        <v>11.99</v>
      </c>
      <c r="I3">
        <v>0.34239999999999998</v>
      </c>
      <c r="J3">
        <v>27.6</v>
      </c>
      <c r="K3">
        <v>26.99</v>
      </c>
      <c r="L3">
        <v>3.01</v>
      </c>
      <c r="M3">
        <v>7.7499999999999999E-2</v>
      </c>
      <c r="N3">
        <v>100.0198</v>
      </c>
      <c r="O3" t="s">
        <v>315</v>
      </c>
      <c r="P3" t="s">
        <v>49</v>
      </c>
      <c r="Q3">
        <f>I3-(K3*Standards!$I$15)</f>
        <v>0.28268462499999997</v>
      </c>
    </row>
    <row r="4" spans="1:26">
      <c r="A4">
        <v>296</v>
      </c>
      <c r="B4">
        <v>0</v>
      </c>
      <c r="C4">
        <v>0</v>
      </c>
      <c r="D4">
        <v>29.61</v>
      </c>
      <c r="E4">
        <v>0</v>
      </c>
      <c r="F4">
        <v>0</v>
      </c>
      <c r="G4">
        <v>0</v>
      </c>
      <c r="H4">
        <v>11.28</v>
      </c>
      <c r="I4">
        <v>0.32779999999999998</v>
      </c>
      <c r="J4">
        <v>27.18</v>
      </c>
      <c r="K4">
        <v>27.48</v>
      </c>
      <c r="L4">
        <v>2.82</v>
      </c>
      <c r="M4">
        <v>8.0100000000000005E-2</v>
      </c>
      <c r="N4">
        <v>98.777900000000002</v>
      </c>
      <c r="O4" t="s">
        <v>315</v>
      </c>
      <c r="P4" t="s">
        <v>49</v>
      </c>
      <c r="Q4">
        <f>I4-(K4*Standards!$I$15)</f>
        <v>0.26700049999999997</v>
      </c>
    </row>
    <row r="5" spans="1:26">
      <c r="A5">
        <v>293</v>
      </c>
      <c r="B5">
        <v>0</v>
      </c>
      <c r="C5">
        <v>0</v>
      </c>
      <c r="D5">
        <v>29.82</v>
      </c>
      <c r="E5">
        <v>0</v>
      </c>
      <c r="F5">
        <v>0</v>
      </c>
      <c r="G5">
        <v>0</v>
      </c>
      <c r="H5">
        <v>11.86</v>
      </c>
      <c r="I5">
        <v>0.37130000000000002</v>
      </c>
      <c r="J5">
        <v>26.89</v>
      </c>
      <c r="K5">
        <v>27.04</v>
      </c>
      <c r="L5">
        <v>2.84</v>
      </c>
      <c r="M5">
        <v>7.0000000000000007E-2</v>
      </c>
      <c r="N5">
        <v>98.891300000000001</v>
      </c>
      <c r="O5" t="s">
        <v>315</v>
      </c>
      <c r="P5" t="s">
        <v>49</v>
      </c>
      <c r="Q5">
        <f>I5-(K5*Standards!$I$15)</f>
        <v>0.31147400000000003</v>
      </c>
    </row>
    <row r="6" spans="1:26">
      <c r="A6">
        <v>294</v>
      </c>
      <c r="B6">
        <v>0</v>
      </c>
      <c r="C6">
        <v>0</v>
      </c>
      <c r="D6">
        <v>29.76</v>
      </c>
      <c r="E6">
        <v>0</v>
      </c>
      <c r="F6">
        <v>0</v>
      </c>
      <c r="G6">
        <v>0</v>
      </c>
      <c r="H6">
        <v>11.6</v>
      </c>
      <c r="I6">
        <v>0.34870000000000001</v>
      </c>
      <c r="J6">
        <v>26.88</v>
      </c>
      <c r="K6">
        <v>27.75</v>
      </c>
      <c r="L6">
        <v>2.9</v>
      </c>
      <c r="M6">
        <v>6.7299999999999999E-2</v>
      </c>
      <c r="N6">
        <v>99.306100000000001</v>
      </c>
      <c r="O6" t="s">
        <v>315</v>
      </c>
      <c r="P6" t="s">
        <v>49</v>
      </c>
      <c r="Q6">
        <f>I6-(K6*Standards!$I$15)</f>
        <v>0.28730312499999999</v>
      </c>
    </row>
    <row r="7" spans="1:26">
      <c r="A7">
        <v>300</v>
      </c>
      <c r="B7">
        <v>0</v>
      </c>
      <c r="C7">
        <v>0</v>
      </c>
      <c r="D7">
        <v>29.8</v>
      </c>
      <c r="E7">
        <v>0</v>
      </c>
      <c r="F7">
        <v>0</v>
      </c>
      <c r="G7">
        <v>0</v>
      </c>
      <c r="H7">
        <v>11.18</v>
      </c>
      <c r="I7">
        <v>0.34489999999999998</v>
      </c>
      <c r="J7">
        <v>26.83</v>
      </c>
      <c r="K7">
        <v>27.61</v>
      </c>
      <c r="L7">
        <v>3.18</v>
      </c>
      <c r="M7">
        <v>7.17E-2</v>
      </c>
      <c r="N7">
        <v>99.0167</v>
      </c>
      <c r="O7" t="s">
        <v>315</v>
      </c>
      <c r="P7" t="s">
        <v>49</v>
      </c>
      <c r="Q7">
        <f>I7-(K7*Standards!$I$15)</f>
        <v>0.28381287499999996</v>
      </c>
    </row>
    <row r="8" spans="1:26">
      <c r="A8">
        <v>297</v>
      </c>
      <c r="B8">
        <v>0</v>
      </c>
      <c r="C8">
        <v>0</v>
      </c>
      <c r="D8">
        <v>29.87</v>
      </c>
      <c r="E8">
        <v>0</v>
      </c>
      <c r="F8">
        <v>0</v>
      </c>
      <c r="G8">
        <v>0</v>
      </c>
      <c r="H8">
        <v>11.7</v>
      </c>
      <c r="I8">
        <v>0.3271</v>
      </c>
      <c r="J8">
        <v>26.74</v>
      </c>
      <c r="K8">
        <v>26.85</v>
      </c>
      <c r="L8">
        <v>3.28</v>
      </c>
      <c r="M8">
        <v>8.5099999999999995E-2</v>
      </c>
      <c r="N8">
        <v>98.852199999999996</v>
      </c>
      <c r="O8" t="s">
        <v>315</v>
      </c>
      <c r="P8" t="s">
        <v>49</v>
      </c>
      <c r="Q8">
        <f>I8-(K8*Standards!$I$15)</f>
        <v>0.26769437499999998</v>
      </c>
    </row>
    <row r="9" spans="1:26">
      <c r="A9">
        <v>298</v>
      </c>
      <c r="B9">
        <v>0</v>
      </c>
      <c r="C9">
        <v>0</v>
      </c>
      <c r="D9">
        <v>29.68</v>
      </c>
      <c r="E9">
        <v>0</v>
      </c>
      <c r="F9">
        <v>0</v>
      </c>
      <c r="G9">
        <v>0</v>
      </c>
      <c r="H9">
        <v>11.21</v>
      </c>
      <c r="I9">
        <v>0.2994</v>
      </c>
      <c r="J9">
        <v>26.55</v>
      </c>
      <c r="K9">
        <v>27.6</v>
      </c>
      <c r="L9">
        <v>3.2</v>
      </c>
      <c r="M9">
        <v>0.1056</v>
      </c>
      <c r="N9">
        <v>98.644999999999996</v>
      </c>
      <c r="O9" t="s">
        <v>315</v>
      </c>
      <c r="P9" t="s">
        <v>49</v>
      </c>
      <c r="Q9">
        <f>I9-(K9*Standards!$I$15)</f>
        <v>0.23833499999999999</v>
      </c>
    </row>
    <row r="10" spans="1:26">
      <c r="A10">
        <v>311</v>
      </c>
      <c r="B10">
        <v>0</v>
      </c>
      <c r="C10">
        <v>0</v>
      </c>
      <c r="D10">
        <v>29.74</v>
      </c>
      <c r="E10">
        <v>0</v>
      </c>
      <c r="F10">
        <v>0</v>
      </c>
      <c r="G10">
        <v>0</v>
      </c>
      <c r="H10">
        <v>10.9</v>
      </c>
      <c r="I10">
        <v>0.31950000000000001</v>
      </c>
      <c r="J10">
        <v>26.39</v>
      </c>
      <c r="K10">
        <v>28.13</v>
      </c>
      <c r="L10">
        <v>4.33</v>
      </c>
      <c r="M10">
        <v>7.7600000000000002E-2</v>
      </c>
      <c r="N10">
        <v>99.887200000000007</v>
      </c>
      <c r="O10" t="s">
        <v>316</v>
      </c>
      <c r="P10" t="s">
        <v>49</v>
      </c>
      <c r="Q10">
        <f>I10-(K10*Standards!$I$15)</f>
        <v>0.25726237499999999</v>
      </c>
    </row>
    <row r="11" spans="1:26">
      <c r="A11">
        <v>299</v>
      </c>
      <c r="B11">
        <v>0</v>
      </c>
      <c r="C11">
        <v>0</v>
      </c>
      <c r="D11">
        <v>29.63</v>
      </c>
      <c r="E11">
        <v>0</v>
      </c>
      <c r="F11">
        <v>0</v>
      </c>
      <c r="G11">
        <v>0</v>
      </c>
      <c r="H11">
        <v>11.4</v>
      </c>
      <c r="I11">
        <v>0.33929999999999999</v>
      </c>
      <c r="J11">
        <v>26.32</v>
      </c>
      <c r="K11">
        <v>27.28</v>
      </c>
      <c r="L11">
        <v>3.55</v>
      </c>
      <c r="M11">
        <v>7.5800000000000006E-2</v>
      </c>
      <c r="N11">
        <v>98.595200000000006</v>
      </c>
      <c r="O11" t="s">
        <v>315</v>
      </c>
      <c r="P11" t="s">
        <v>49</v>
      </c>
      <c r="Q11">
        <f>I11-(K11*Standards!$I$15)</f>
        <v>0.278943</v>
      </c>
    </row>
    <row r="12" spans="1:26">
      <c r="A12">
        <v>275</v>
      </c>
      <c r="B12">
        <v>0</v>
      </c>
      <c r="C12">
        <v>0</v>
      </c>
      <c r="D12">
        <v>30.08</v>
      </c>
      <c r="E12">
        <v>0</v>
      </c>
      <c r="F12">
        <v>0</v>
      </c>
      <c r="G12">
        <v>0</v>
      </c>
      <c r="H12">
        <v>12.96</v>
      </c>
      <c r="I12">
        <v>0.28199999999999997</v>
      </c>
      <c r="J12">
        <v>26.26</v>
      </c>
      <c r="K12">
        <v>27.47</v>
      </c>
      <c r="L12">
        <v>1.3</v>
      </c>
      <c r="M12">
        <v>6.9000000000000006E-2</v>
      </c>
      <c r="N12">
        <v>98.421099999999996</v>
      </c>
      <c r="O12" t="s">
        <v>317</v>
      </c>
      <c r="P12" t="s">
        <v>49</v>
      </c>
      <c r="Q12">
        <f>I12-(K12*Standards!$I$15)</f>
        <v>0.22122262499999998</v>
      </c>
    </row>
    <row r="13" spans="1:26">
      <c r="A13">
        <v>274</v>
      </c>
      <c r="B13">
        <v>0</v>
      </c>
      <c r="C13">
        <v>0</v>
      </c>
      <c r="D13">
        <v>30.06</v>
      </c>
      <c r="E13">
        <v>0</v>
      </c>
      <c r="F13">
        <v>0</v>
      </c>
      <c r="G13">
        <v>0</v>
      </c>
      <c r="H13">
        <v>12.98</v>
      </c>
      <c r="I13">
        <v>0.34370000000000001</v>
      </c>
      <c r="J13">
        <v>26.16</v>
      </c>
      <c r="K13">
        <v>27.15</v>
      </c>
      <c r="L13">
        <v>1.26</v>
      </c>
      <c r="M13">
        <v>7.9299999999999995E-2</v>
      </c>
      <c r="N13">
        <v>98.033100000000005</v>
      </c>
      <c r="O13" t="s">
        <v>317</v>
      </c>
      <c r="P13" t="s">
        <v>49</v>
      </c>
      <c r="Q13">
        <f>I13-(K13*Standards!$I$15)</f>
        <v>0.28363062500000003</v>
      </c>
    </row>
    <row r="14" spans="1:26">
      <c r="A14">
        <v>291</v>
      </c>
      <c r="B14">
        <v>0</v>
      </c>
      <c r="C14">
        <v>0</v>
      </c>
      <c r="D14">
        <v>31.35</v>
      </c>
      <c r="E14">
        <v>0</v>
      </c>
      <c r="F14">
        <v>0</v>
      </c>
      <c r="G14">
        <v>0</v>
      </c>
      <c r="H14">
        <v>15.74</v>
      </c>
      <c r="I14">
        <v>0.3861</v>
      </c>
      <c r="J14">
        <v>26.16</v>
      </c>
      <c r="K14">
        <v>18.61</v>
      </c>
      <c r="L14">
        <v>6.19</v>
      </c>
      <c r="M14">
        <v>9.2700000000000005E-2</v>
      </c>
      <c r="N14">
        <v>98.528899999999993</v>
      </c>
      <c r="O14" t="s">
        <v>315</v>
      </c>
      <c r="P14" t="s">
        <v>49</v>
      </c>
      <c r="Q14">
        <f>I14-(K14*Standards!$I$15)</f>
        <v>0.34492537499999998</v>
      </c>
    </row>
    <row r="15" spans="1:26">
      <c r="A15">
        <v>280</v>
      </c>
      <c r="B15">
        <v>0</v>
      </c>
      <c r="C15">
        <v>0</v>
      </c>
      <c r="D15">
        <v>29.58</v>
      </c>
      <c r="E15">
        <v>0</v>
      </c>
      <c r="F15">
        <v>0</v>
      </c>
      <c r="G15">
        <v>0</v>
      </c>
      <c r="H15">
        <v>12.4</v>
      </c>
      <c r="I15">
        <v>0.29599999999999999</v>
      </c>
      <c r="J15">
        <v>26.1</v>
      </c>
      <c r="K15">
        <v>27.88</v>
      </c>
      <c r="L15">
        <v>1.17</v>
      </c>
      <c r="M15">
        <v>9.4299999999999995E-2</v>
      </c>
      <c r="N15">
        <v>97.520300000000006</v>
      </c>
      <c r="O15" t="s">
        <v>317</v>
      </c>
      <c r="P15" t="s">
        <v>49</v>
      </c>
      <c r="Q15">
        <f>I15-(K15*Standards!$I$15)</f>
        <v>0.23431549999999998</v>
      </c>
    </row>
    <row r="16" spans="1:26">
      <c r="A16">
        <v>308</v>
      </c>
      <c r="B16">
        <v>0</v>
      </c>
      <c r="C16">
        <v>0</v>
      </c>
      <c r="D16">
        <v>29.89</v>
      </c>
      <c r="E16">
        <v>0</v>
      </c>
      <c r="F16">
        <v>0</v>
      </c>
      <c r="G16">
        <v>0</v>
      </c>
      <c r="H16">
        <v>11.14</v>
      </c>
      <c r="I16">
        <v>0.31540000000000001</v>
      </c>
      <c r="J16">
        <v>26.1</v>
      </c>
      <c r="K16">
        <v>27.79</v>
      </c>
      <c r="L16">
        <v>5.35</v>
      </c>
      <c r="M16">
        <v>5.9299999999999999E-2</v>
      </c>
      <c r="N16">
        <v>100.6446</v>
      </c>
      <c r="O16" t="s">
        <v>316</v>
      </c>
      <c r="P16" t="s">
        <v>49</v>
      </c>
      <c r="Q16">
        <f>I16-(K16*Standards!$I$15)</f>
        <v>0.253914625</v>
      </c>
    </row>
    <row r="17" spans="1:26">
      <c r="A17">
        <v>276</v>
      </c>
      <c r="B17">
        <v>0</v>
      </c>
      <c r="C17">
        <v>0</v>
      </c>
      <c r="D17">
        <v>29.94</v>
      </c>
      <c r="E17">
        <v>0</v>
      </c>
      <c r="F17">
        <v>0</v>
      </c>
      <c r="G17">
        <v>0</v>
      </c>
      <c r="H17">
        <v>12.7</v>
      </c>
      <c r="I17">
        <v>0.21390000000000001</v>
      </c>
      <c r="J17">
        <v>26.09</v>
      </c>
      <c r="K17">
        <v>27.19</v>
      </c>
      <c r="L17">
        <v>1.36</v>
      </c>
      <c r="M17">
        <v>4.4900000000000002E-2</v>
      </c>
      <c r="N17">
        <v>97.538899999999998</v>
      </c>
      <c r="O17" t="s">
        <v>317</v>
      </c>
      <c r="P17" t="s">
        <v>49</v>
      </c>
      <c r="Q17">
        <f>I17-(K17*Standards!$I$15)</f>
        <v>0.15374212500000001</v>
      </c>
    </row>
    <row r="18" spans="1:26">
      <c r="A18">
        <v>310</v>
      </c>
      <c r="B18">
        <v>0</v>
      </c>
      <c r="C18">
        <v>0</v>
      </c>
      <c r="D18">
        <v>29.93</v>
      </c>
      <c r="E18">
        <v>0</v>
      </c>
      <c r="F18">
        <v>0</v>
      </c>
      <c r="G18">
        <v>0</v>
      </c>
      <c r="H18">
        <v>10.74</v>
      </c>
      <c r="I18">
        <v>0.35610000000000003</v>
      </c>
      <c r="J18">
        <v>26.06</v>
      </c>
      <c r="K18">
        <v>27.66</v>
      </c>
      <c r="L18">
        <v>5.95</v>
      </c>
      <c r="M18">
        <v>6.8900000000000003E-2</v>
      </c>
      <c r="N18">
        <v>100.7649</v>
      </c>
      <c r="O18" t="s">
        <v>316</v>
      </c>
      <c r="P18" t="s">
        <v>49</v>
      </c>
      <c r="Q18">
        <f>I18-(K18*Standards!$I$15)</f>
        <v>0.29490225000000003</v>
      </c>
    </row>
    <row r="19" spans="1:26">
      <c r="A19">
        <v>281</v>
      </c>
      <c r="B19">
        <v>0</v>
      </c>
      <c r="C19">
        <v>0</v>
      </c>
      <c r="D19">
        <v>30.02</v>
      </c>
      <c r="E19">
        <v>0</v>
      </c>
      <c r="F19">
        <v>0</v>
      </c>
      <c r="G19">
        <v>0</v>
      </c>
      <c r="H19">
        <v>12.4</v>
      </c>
      <c r="I19">
        <v>0.74239999999999995</v>
      </c>
      <c r="J19">
        <v>26.02</v>
      </c>
      <c r="K19">
        <v>27.54</v>
      </c>
      <c r="L19">
        <v>1.32</v>
      </c>
      <c r="M19">
        <v>9.0700000000000003E-2</v>
      </c>
      <c r="N19">
        <v>98.133200000000002</v>
      </c>
      <c r="O19" t="s">
        <v>317</v>
      </c>
      <c r="P19" t="s">
        <v>49</v>
      </c>
      <c r="Q19">
        <f>I19-(K19*Standards!$I$15)</f>
        <v>0.68146774999999993</v>
      </c>
    </row>
    <row r="20" spans="1:26">
      <c r="A20">
        <v>307</v>
      </c>
      <c r="B20">
        <v>0</v>
      </c>
      <c r="C20">
        <v>0</v>
      </c>
      <c r="D20">
        <v>30.04</v>
      </c>
      <c r="E20">
        <v>0</v>
      </c>
      <c r="F20">
        <v>0</v>
      </c>
      <c r="G20">
        <v>0</v>
      </c>
      <c r="H20">
        <v>11.5</v>
      </c>
      <c r="I20">
        <v>0.29310000000000003</v>
      </c>
      <c r="J20">
        <v>25.94</v>
      </c>
      <c r="K20">
        <v>27.55</v>
      </c>
      <c r="L20">
        <v>4.78</v>
      </c>
      <c r="M20">
        <v>7.3499999999999996E-2</v>
      </c>
      <c r="N20">
        <v>100.17659999999999</v>
      </c>
      <c r="O20" t="s">
        <v>316</v>
      </c>
      <c r="P20" t="s">
        <v>49</v>
      </c>
      <c r="Q20">
        <f>I20-(K20*Standards!$I$15)</f>
        <v>0.23214562500000002</v>
      </c>
    </row>
    <row r="21" spans="1:26">
      <c r="A21">
        <v>277</v>
      </c>
      <c r="B21">
        <v>0</v>
      </c>
      <c r="C21">
        <v>0</v>
      </c>
      <c r="D21">
        <v>29.89</v>
      </c>
      <c r="E21">
        <v>0</v>
      </c>
      <c r="F21">
        <v>0</v>
      </c>
      <c r="G21">
        <v>0</v>
      </c>
      <c r="H21">
        <v>12.47</v>
      </c>
      <c r="I21">
        <v>0.68559999999999999</v>
      </c>
      <c r="J21">
        <v>25.91</v>
      </c>
      <c r="K21">
        <v>27.46</v>
      </c>
      <c r="L21">
        <v>1.18</v>
      </c>
      <c r="M21">
        <v>8.6599999999999996E-2</v>
      </c>
      <c r="N21">
        <v>97.682299999999998</v>
      </c>
      <c r="O21" t="s">
        <v>317</v>
      </c>
      <c r="P21" t="s">
        <v>49</v>
      </c>
      <c r="Q21">
        <f>I21-(K21*Standards!$I$15)</f>
        <v>0.62484474999999995</v>
      </c>
    </row>
    <row r="22" spans="1:26">
      <c r="A22">
        <v>282</v>
      </c>
      <c r="B22">
        <v>0</v>
      </c>
      <c r="C22">
        <v>0</v>
      </c>
      <c r="D22">
        <v>29.59</v>
      </c>
      <c r="E22">
        <v>0</v>
      </c>
      <c r="F22">
        <v>0</v>
      </c>
      <c r="G22">
        <v>0</v>
      </c>
      <c r="H22">
        <v>12.55</v>
      </c>
      <c r="I22">
        <v>0.42280000000000001</v>
      </c>
      <c r="J22">
        <v>25.85</v>
      </c>
      <c r="K22">
        <v>27.76</v>
      </c>
      <c r="L22">
        <v>1.17</v>
      </c>
      <c r="M22">
        <v>6.6600000000000006E-2</v>
      </c>
      <c r="N22">
        <v>97.409400000000005</v>
      </c>
      <c r="O22" t="s">
        <v>317</v>
      </c>
      <c r="P22" t="s">
        <v>49</v>
      </c>
      <c r="Q22">
        <f>I22-(K22*Standards!$I$15)</f>
        <v>0.36138100000000001</v>
      </c>
    </row>
    <row r="23" spans="1:26">
      <c r="A23">
        <v>284</v>
      </c>
      <c r="B23">
        <v>0</v>
      </c>
      <c r="C23">
        <v>0</v>
      </c>
      <c r="D23">
        <v>29.68</v>
      </c>
      <c r="E23">
        <v>0</v>
      </c>
      <c r="F23">
        <v>0</v>
      </c>
      <c r="G23">
        <v>0</v>
      </c>
      <c r="H23">
        <v>12.4</v>
      </c>
      <c r="I23">
        <v>0.32379999999999998</v>
      </c>
      <c r="J23">
        <v>25.78</v>
      </c>
      <c r="K23">
        <v>27.95</v>
      </c>
      <c r="L23">
        <v>1.22</v>
      </c>
      <c r="M23">
        <v>6.5299999999999997E-2</v>
      </c>
      <c r="N23">
        <v>97.419200000000004</v>
      </c>
      <c r="O23" t="s">
        <v>317</v>
      </c>
      <c r="P23" t="s">
        <v>49</v>
      </c>
      <c r="Q23">
        <f>I23-(K23*Standards!$I$15)</f>
        <v>0.26196062499999995</v>
      </c>
    </row>
    <row r="24" spans="1:26">
      <c r="A24">
        <v>285</v>
      </c>
      <c r="B24">
        <v>0</v>
      </c>
      <c r="C24">
        <v>0</v>
      </c>
      <c r="D24">
        <v>29.89</v>
      </c>
      <c r="E24">
        <v>0</v>
      </c>
      <c r="F24">
        <v>0</v>
      </c>
      <c r="G24">
        <v>0</v>
      </c>
      <c r="H24">
        <v>12.5</v>
      </c>
      <c r="I24">
        <v>0.54759999999999998</v>
      </c>
      <c r="J24">
        <v>25.73</v>
      </c>
      <c r="K24">
        <v>27.76</v>
      </c>
      <c r="L24">
        <v>1.24</v>
      </c>
      <c r="M24">
        <v>6.6299999999999998E-2</v>
      </c>
      <c r="N24">
        <v>97.733999999999995</v>
      </c>
      <c r="O24" t="s">
        <v>317</v>
      </c>
      <c r="P24" t="s">
        <v>49</v>
      </c>
      <c r="Q24">
        <f>I24-(K24*Standards!$I$15)</f>
        <v>0.48618099999999997</v>
      </c>
    </row>
    <row r="25" spans="1:26">
      <c r="A25">
        <v>279</v>
      </c>
      <c r="B25">
        <v>0</v>
      </c>
      <c r="C25">
        <v>0</v>
      </c>
      <c r="D25">
        <v>29.74</v>
      </c>
      <c r="E25">
        <v>0</v>
      </c>
      <c r="F25">
        <v>0</v>
      </c>
      <c r="G25">
        <v>0</v>
      </c>
      <c r="H25">
        <v>12.73</v>
      </c>
      <c r="I25">
        <v>0.48980000000000001</v>
      </c>
      <c r="J25">
        <v>25.7</v>
      </c>
      <c r="K25">
        <v>27.17</v>
      </c>
      <c r="L25">
        <v>1.44</v>
      </c>
      <c r="M25">
        <v>0.06</v>
      </c>
      <c r="N25">
        <v>97.329899999999995</v>
      </c>
      <c r="O25" t="s">
        <v>317</v>
      </c>
      <c r="P25" t="s">
        <v>49</v>
      </c>
      <c r="Q25">
        <f>I25-(K25*Standards!$I$15)</f>
        <v>0.42968637500000001</v>
      </c>
    </row>
    <row r="26" spans="1:26">
      <c r="A26">
        <v>283</v>
      </c>
      <c r="B26">
        <v>0</v>
      </c>
      <c r="C26">
        <v>0</v>
      </c>
      <c r="D26">
        <v>29.58</v>
      </c>
      <c r="E26">
        <v>0</v>
      </c>
      <c r="F26">
        <v>0</v>
      </c>
      <c r="G26">
        <v>0</v>
      </c>
      <c r="H26">
        <v>12.49</v>
      </c>
      <c r="I26">
        <v>0.53690000000000004</v>
      </c>
      <c r="J26">
        <v>25.54</v>
      </c>
      <c r="K26">
        <v>27.53</v>
      </c>
      <c r="L26">
        <v>1.23</v>
      </c>
      <c r="M26">
        <v>8.2900000000000001E-2</v>
      </c>
      <c r="N26">
        <v>96.989900000000006</v>
      </c>
      <c r="O26" t="s">
        <v>317</v>
      </c>
      <c r="P26" t="s">
        <v>49</v>
      </c>
      <c r="Q26">
        <f>I26-(K26*Standards!$I$15)</f>
        <v>0.47598987500000006</v>
      </c>
    </row>
    <row r="27" spans="1:26">
      <c r="A27">
        <v>309</v>
      </c>
      <c r="B27">
        <v>0</v>
      </c>
      <c r="C27">
        <v>0</v>
      </c>
      <c r="D27">
        <v>30.07</v>
      </c>
      <c r="E27">
        <v>0</v>
      </c>
      <c r="F27">
        <v>0</v>
      </c>
      <c r="G27">
        <v>0</v>
      </c>
      <c r="H27">
        <v>10.61</v>
      </c>
      <c r="I27">
        <v>0.29310000000000003</v>
      </c>
      <c r="J27">
        <v>24.81</v>
      </c>
      <c r="K27">
        <v>26.66</v>
      </c>
      <c r="L27">
        <v>7.79</v>
      </c>
      <c r="M27">
        <v>7.2599999999999998E-2</v>
      </c>
      <c r="N27">
        <v>100.3056</v>
      </c>
      <c r="O27" t="s">
        <v>316</v>
      </c>
      <c r="P27" t="s">
        <v>49</v>
      </c>
      <c r="Q27">
        <f>I27-(K27*Standards!$I$15)</f>
        <v>0.23411475000000004</v>
      </c>
    </row>
    <row r="28" spans="1:26">
      <c r="A28">
        <v>312</v>
      </c>
      <c r="B28">
        <v>0</v>
      </c>
      <c r="C28">
        <v>0</v>
      </c>
      <c r="D28">
        <v>30.16</v>
      </c>
      <c r="E28">
        <v>0</v>
      </c>
      <c r="F28">
        <v>0</v>
      </c>
      <c r="G28">
        <v>0</v>
      </c>
      <c r="H28">
        <v>10.7</v>
      </c>
      <c r="I28">
        <v>0.30170000000000002</v>
      </c>
      <c r="J28">
        <v>24.42</v>
      </c>
      <c r="K28">
        <v>25.53</v>
      </c>
      <c r="L28">
        <v>9.1999999999999993</v>
      </c>
      <c r="M28">
        <v>6.6000000000000003E-2</v>
      </c>
      <c r="N28">
        <v>100.3776</v>
      </c>
      <c r="O28" t="s">
        <v>316</v>
      </c>
      <c r="P28" t="s">
        <v>49</v>
      </c>
      <c r="Q28">
        <f>I28-(K28*Standards!$I$15)</f>
        <v>0.24521487500000003</v>
      </c>
    </row>
    <row r="29" spans="1:26">
      <c r="A29">
        <v>104</v>
      </c>
      <c r="B29">
        <v>0</v>
      </c>
      <c r="C29">
        <v>0</v>
      </c>
      <c r="D29">
        <v>30.33</v>
      </c>
      <c r="E29">
        <v>0</v>
      </c>
      <c r="F29">
        <v>0</v>
      </c>
      <c r="G29">
        <v>0</v>
      </c>
      <c r="H29">
        <v>7.61</v>
      </c>
      <c r="I29">
        <v>0.1087</v>
      </c>
      <c r="J29">
        <v>29.83</v>
      </c>
      <c r="K29">
        <v>27.29</v>
      </c>
      <c r="L29">
        <v>6.35</v>
      </c>
      <c r="M29">
        <v>9.3100000000000002E-2</v>
      </c>
      <c r="N29">
        <v>101.6117</v>
      </c>
      <c r="O29" t="s">
        <v>318</v>
      </c>
      <c r="P29" t="s">
        <v>17</v>
      </c>
      <c r="R29">
        <f>I29-(K29*Standards!$I$15)</f>
        <v>4.8320875000000006E-2</v>
      </c>
      <c r="V29">
        <f>COUNT(R29:R45)</f>
        <v>17</v>
      </c>
      <c r="W29">
        <f>MAX(L29:L45)</f>
        <v>13.61</v>
      </c>
      <c r="X29">
        <f>AVERAGE(L29:L45)</f>
        <v>8.3670588235294119</v>
      </c>
      <c r="Y29">
        <f>10000*MAX(R29:R45)</f>
        <v>659.78375000000005</v>
      </c>
      <c r="Z29">
        <f>10000*AVERAGE(R29:R45)</f>
        <v>434.80441176470589</v>
      </c>
    </row>
    <row r="30" spans="1:26">
      <c r="A30">
        <v>102</v>
      </c>
      <c r="B30">
        <v>0</v>
      </c>
      <c r="C30">
        <v>0</v>
      </c>
      <c r="D30">
        <v>30.07</v>
      </c>
      <c r="E30">
        <v>0</v>
      </c>
      <c r="F30">
        <v>0</v>
      </c>
      <c r="G30">
        <v>0</v>
      </c>
      <c r="H30">
        <v>5.84</v>
      </c>
      <c r="I30">
        <v>0.1036</v>
      </c>
      <c r="J30">
        <v>29.61</v>
      </c>
      <c r="K30">
        <v>27.28</v>
      </c>
      <c r="L30">
        <v>8.7200000000000006</v>
      </c>
      <c r="M30">
        <v>9.2200000000000004E-2</v>
      </c>
      <c r="N30">
        <v>101.7157</v>
      </c>
      <c r="O30" t="s">
        <v>318</v>
      </c>
      <c r="P30" t="s">
        <v>17</v>
      </c>
      <c r="R30">
        <f>I30-(K30*Standards!$I$15)</f>
        <v>4.3242999999999997E-2</v>
      </c>
    </row>
    <row r="31" spans="1:26">
      <c r="A31">
        <v>101</v>
      </c>
      <c r="B31">
        <v>0</v>
      </c>
      <c r="C31">
        <v>0</v>
      </c>
      <c r="D31">
        <v>29.98</v>
      </c>
      <c r="E31">
        <v>0</v>
      </c>
      <c r="F31">
        <v>0</v>
      </c>
      <c r="G31">
        <v>0</v>
      </c>
      <c r="H31">
        <v>5.92</v>
      </c>
      <c r="I31">
        <v>0.1077</v>
      </c>
      <c r="J31">
        <v>29.59</v>
      </c>
      <c r="K31">
        <v>27.34</v>
      </c>
      <c r="L31">
        <v>8.51</v>
      </c>
      <c r="M31">
        <v>0.1014</v>
      </c>
      <c r="N31">
        <v>101.54900000000001</v>
      </c>
      <c r="O31" t="s">
        <v>318</v>
      </c>
      <c r="P31" t="s">
        <v>17</v>
      </c>
      <c r="R31">
        <f>I31-(K31*Standards!$I$15)</f>
        <v>4.7210250000000002E-2</v>
      </c>
    </row>
    <row r="32" spans="1:26">
      <c r="A32">
        <v>96</v>
      </c>
      <c r="B32">
        <v>0</v>
      </c>
      <c r="C32">
        <v>0</v>
      </c>
      <c r="D32">
        <v>30.1</v>
      </c>
      <c r="E32">
        <v>0</v>
      </c>
      <c r="F32">
        <v>0</v>
      </c>
      <c r="G32">
        <v>0</v>
      </c>
      <c r="H32">
        <v>7.41</v>
      </c>
      <c r="I32">
        <v>0.1056</v>
      </c>
      <c r="J32">
        <v>29.52</v>
      </c>
      <c r="K32">
        <v>27.12</v>
      </c>
      <c r="L32">
        <v>7.12</v>
      </c>
      <c r="M32">
        <v>7.7299999999999994E-2</v>
      </c>
      <c r="N32">
        <v>101.4529</v>
      </c>
      <c r="O32" t="s">
        <v>318</v>
      </c>
      <c r="P32" t="s">
        <v>17</v>
      </c>
      <c r="R32">
        <f>I32-(K32*Standards!$I$15)</f>
        <v>4.5596999999999999E-2</v>
      </c>
    </row>
    <row r="33" spans="1:26">
      <c r="A33">
        <v>99</v>
      </c>
      <c r="B33">
        <v>0</v>
      </c>
      <c r="C33">
        <v>0</v>
      </c>
      <c r="D33">
        <v>30.44</v>
      </c>
      <c r="E33">
        <v>0</v>
      </c>
      <c r="F33">
        <v>0</v>
      </c>
      <c r="G33">
        <v>0</v>
      </c>
      <c r="H33">
        <v>6.39</v>
      </c>
      <c r="I33">
        <v>9.2600000000000002E-2</v>
      </c>
      <c r="J33">
        <v>29.48</v>
      </c>
      <c r="K33">
        <v>27.29</v>
      </c>
      <c r="L33">
        <v>8.15</v>
      </c>
      <c r="M33">
        <v>0.1116</v>
      </c>
      <c r="N33">
        <v>101.9542</v>
      </c>
      <c r="O33" t="s">
        <v>318</v>
      </c>
      <c r="P33" t="s">
        <v>17</v>
      </c>
      <c r="R33">
        <f>I33-(K33*Standards!$I$15)</f>
        <v>3.2220875000000003E-2</v>
      </c>
    </row>
    <row r="34" spans="1:26">
      <c r="A34">
        <v>97</v>
      </c>
      <c r="B34">
        <v>0</v>
      </c>
      <c r="C34">
        <v>0</v>
      </c>
      <c r="D34">
        <v>30.04</v>
      </c>
      <c r="E34">
        <v>0</v>
      </c>
      <c r="F34">
        <v>0</v>
      </c>
      <c r="G34">
        <v>0</v>
      </c>
      <c r="H34">
        <v>7.03</v>
      </c>
      <c r="I34">
        <v>0.1182</v>
      </c>
      <c r="J34">
        <v>29.47</v>
      </c>
      <c r="K34">
        <v>27.28</v>
      </c>
      <c r="L34">
        <v>7.43</v>
      </c>
      <c r="M34">
        <v>0.1109</v>
      </c>
      <c r="N34">
        <v>101.479</v>
      </c>
      <c r="O34" t="s">
        <v>318</v>
      </c>
      <c r="P34" t="s">
        <v>17</v>
      </c>
      <c r="R34">
        <f>I34-(K34*Standards!$I$15)</f>
        <v>5.7842999999999999E-2</v>
      </c>
    </row>
    <row r="35" spans="1:26">
      <c r="A35">
        <v>93</v>
      </c>
      <c r="B35">
        <v>0</v>
      </c>
      <c r="C35">
        <v>0</v>
      </c>
      <c r="D35">
        <v>30.09</v>
      </c>
      <c r="E35">
        <v>0</v>
      </c>
      <c r="F35">
        <v>0</v>
      </c>
      <c r="G35">
        <v>0</v>
      </c>
      <c r="H35">
        <v>7.61</v>
      </c>
      <c r="I35">
        <v>0.1188</v>
      </c>
      <c r="J35">
        <v>29.46</v>
      </c>
      <c r="K35">
        <v>27.12</v>
      </c>
      <c r="L35">
        <v>6.89</v>
      </c>
      <c r="M35">
        <v>0.1125</v>
      </c>
      <c r="N35">
        <v>101.40130000000001</v>
      </c>
      <c r="O35" t="s">
        <v>318</v>
      </c>
      <c r="P35" t="s">
        <v>17</v>
      </c>
      <c r="R35">
        <f>I35-(K35*Standards!$I$15)</f>
        <v>5.8797000000000002E-2</v>
      </c>
    </row>
    <row r="36" spans="1:26">
      <c r="A36">
        <v>103</v>
      </c>
      <c r="B36">
        <v>0</v>
      </c>
      <c r="C36">
        <v>0</v>
      </c>
      <c r="D36">
        <v>30.19</v>
      </c>
      <c r="E36">
        <v>0</v>
      </c>
      <c r="F36">
        <v>0</v>
      </c>
      <c r="G36">
        <v>0</v>
      </c>
      <c r="H36">
        <v>6.4</v>
      </c>
      <c r="I36">
        <v>8.8999999999999996E-2</v>
      </c>
      <c r="J36">
        <v>29.43</v>
      </c>
      <c r="K36">
        <v>27.09</v>
      </c>
      <c r="L36">
        <v>8.1199999999999992</v>
      </c>
      <c r="M36">
        <v>8.9200000000000002E-2</v>
      </c>
      <c r="N36">
        <v>101.40819999999999</v>
      </c>
      <c r="O36" t="s">
        <v>318</v>
      </c>
      <c r="P36" t="s">
        <v>17</v>
      </c>
      <c r="R36">
        <f>I36-(K36*Standards!$I$15)</f>
        <v>2.9063374999999995E-2</v>
      </c>
    </row>
    <row r="37" spans="1:26">
      <c r="A37">
        <v>105</v>
      </c>
      <c r="B37">
        <v>0</v>
      </c>
      <c r="C37">
        <v>0</v>
      </c>
      <c r="D37">
        <v>29.86</v>
      </c>
      <c r="E37">
        <v>0</v>
      </c>
      <c r="F37">
        <v>0</v>
      </c>
      <c r="G37">
        <v>0</v>
      </c>
      <c r="H37">
        <v>6.8</v>
      </c>
      <c r="I37">
        <v>9.9099999999999994E-2</v>
      </c>
      <c r="J37">
        <v>29.43</v>
      </c>
      <c r="K37">
        <v>27.29</v>
      </c>
      <c r="L37">
        <v>7.65</v>
      </c>
      <c r="M37">
        <v>6.3899999999999998E-2</v>
      </c>
      <c r="N37">
        <v>101.193</v>
      </c>
      <c r="O37" t="s">
        <v>318</v>
      </c>
      <c r="P37" t="s">
        <v>17</v>
      </c>
      <c r="R37">
        <f>I37-(K37*Standards!$I$15)</f>
        <v>3.8720874999999995E-2</v>
      </c>
    </row>
    <row r="38" spans="1:26">
      <c r="A38">
        <v>100</v>
      </c>
      <c r="B38">
        <v>0</v>
      </c>
      <c r="C38">
        <v>0</v>
      </c>
      <c r="D38">
        <v>29.93</v>
      </c>
      <c r="E38">
        <v>0</v>
      </c>
      <c r="F38">
        <v>0</v>
      </c>
      <c r="G38">
        <v>0</v>
      </c>
      <c r="H38">
        <v>4.43</v>
      </c>
      <c r="I38">
        <v>0.1021</v>
      </c>
      <c r="J38">
        <v>29.35</v>
      </c>
      <c r="K38">
        <v>27.34</v>
      </c>
      <c r="L38">
        <v>10.210000000000001</v>
      </c>
      <c r="M38">
        <v>7.7700000000000005E-2</v>
      </c>
      <c r="N38">
        <v>101.4397</v>
      </c>
      <c r="O38" t="s">
        <v>318</v>
      </c>
      <c r="P38" t="s">
        <v>17</v>
      </c>
      <c r="R38">
        <f>I38-(K38*Standards!$I$15)</f>
        <v>4.1610249999999994E-2</v>
      </c>
    </row>
    <row r="39" spans="1:26">
      <c r="A39">
        <v>94</v>
      </c>
      <c r="B39">
        <v>0</v>
      </c>
      <c r="C39">
        <v>0</v>
      </c>
      <c r="D39">
        <v>30.08</v>
      </c>
      <c r="E39">
        <v>0</v>
      </c>
      <c r="F39">
        <v>0</v>
      </c>
      <c r="G39">
        <v>0</v>
      </c>
      <c r="H39">
        <v>7.63</v>
      </c>
      <c r="I39">
        <v>0.1149</v>
      </c>
      <c r="J39">
        <v>29.32</v>
      </c>
      <c r="K39">
        <v>27.52</v>
      </c>
      <c r="L39">
        <v>6.62</v>
      </c>
      <c r="M39">
        <v>8.4900000000000003E-2</v>
      </c>
      <c r="N39">
        <v>101.3698</v>
      </c>
      <c r="O39" t="s">
        <v>318</v>
      </c>
      <c r="P39" t="s">
        <v>17</v>
      </c>
      <c r="R39">
        <f>I39-(K39*Standards!$I$15)</f>
        <v>5.4012000000000004E-2</v>
      </c>
    </row>
    <row r="40" spans="1:26">
      <c r="A40">
        <v>95</v>
      </c>
      <c r="B40">
        <v>0</v>
      </c>
      <c r="C40">
        <v>0</v>
      </c>
      <c r="D40">
        <v>30.12</v>
      </c>
      <c r="E40">
        <v>0</v>
      </c>
      <c r="F40">
        <v>0</v>
      </c>
      <c r="G40">
        <v>0</v>
      </c>
      <c r="H40">
        <v>7.46</v>
      </c>
      <c r="I40">
        <v>0.11269999999999999</v>
      </c>
      <c r="J40">
        <v>29.27</v>
      </c>
      <c r="K40">
        <v>27.38</v>
      </c>
      <c r="L40">
        <v>6.72</v>
      </c>
      <c r="M40">
        <v>9.5200000000000007E-2</v>
      </c>
      <c r="N40">
        <v>101.1579</v>
      </c>
      <c r="O40" t="s">
        <v>318</v>
      </c>
      <c r="P40" t="s">
        <v>17</v>
      </c>
      <c r="R40">
        <f>I40-(K40*Standards!$I$15)</f>
        <v>5.2121749999999994E-2</v>
      </c>
    </row>
    <row r="41" spans="1:26">
      <c r="A41">
        <v>78</v>
      </c>
      <c r="B41">
        <v>0</v>
      </c>
      <c r="C41">
        <v>0</v>
      </c>
      <c r="D41">
        <v>30.03</v>
      </c>
      <c r="E41">
        <v>0</v>
      </c>
      <c r="F41">
        <v>0</v>
      </c>
      <c r="G41">
        <v>0</v>
      </c>
      <c r="H41">
        <v>5.51</v>
      </c>
      <c r="I41">
        <v>9.7000000000000003E-2</v>
      </c>
      <c r="J41">
        <v>29.24</v>
      </c>
      <c r="K41">
        <v>27.11</v>
      </c>
      <c r="L41">
        <v>9.18</v>
      </c>
      <c r="M41">
        <v>9.7600000000000006E-2</v>
      </c>
      <c r="N41">
        <v>101.2645</v>
      </c>
      <c r="O41" t="s">
        <v>58</v>
      </c>
      <c r="P41" t="s">
        <v>17</v>
      </c>
      <c r="R41">
        <f>I41-(K41*Standards!$I$15)</f>
        <v>3.7019125E-2</v>
      </c>
    </row>
    <row r="42" spans="1:26">
      <c r="A42">
        <v>106</v>
      </c>
      <c r="B42">
        <v>0</v>
      </c>
      <c r="C42">
        <v>0</v>
      </c>
      <c r="D42">
        <v>29.81</v>
      </c>
      <c r="E42">
        <v>0</v>
      </c>
      <c r="F42">
        <v>0</v>
      </c>
      <c r="G42">
        <v>0</v>
      </c>
      <c r="H42">
        <v>6.55</v>
      </c>
      <c r="I42">
        <v>9.3200000000000005E-2</v>
      </c>
      <c r="J42">
        <v>29.17</v>
      </c>
      <c r="K42">
        <v>27.21</v>
      </c>
      <c r="L42">
        <v>8.1199999999999992</v>
      </c>
      <c r="M42">
        <v>8.8900000000000007E-2</v>
      </c>
      <c r="N42">
        <v>101.042</v>
      </c>
      <c r="O42" t="s">
        <v>318</v>
      </c>
      <c r="P42" t="s">
        <v>17</v>
      </c>
      <c r="R42">
        <f>I42-(K42*Standards!$I$15)</f>
        <v>3.2997875000000003E-2</v>
      </c>
    </row>
    <row r="43" spans="1:26">
      <c r="A43">
        <v>98</v>
      </c>
      <c r="B43">
        <v>0</v>
      </c>
      <c r="C43">
        <v>0</v>
      </c>
      <c r="D43">
        <v>30.23</v>
      </c>
      <c r="E43">
        <v>0</v>
      </c>
      <c r="F43">
        <v>0</v>
      </c>
      <c r="G43">
        <v>0</v>
      </c>
      <c r="H43">
        <v>6.95</v>
      </c>
      <c r="I43">
        <v>0.1268</v>
      </c>
      <c r="J43">
        <v>28.86</v>
      </c>
      <c r="K43">
        <v>27.49</v>
      </c>
      <c r="L43">
        <v>8.89</v>
      </c>
      <c r="M43">
        <v>9.4899999999999998E-2</v>
      </c>
      <c r="N43">
        <v>102.6416</v>
      </c>
      <c r="O43" t="s">
        <v>318</v>
      </c>
      <c r="P43" t="s">
        <v>17</v>
      </c>
      <c r="R43">
        <f>I43-(K43*Standards!$I$15)</f>
        <v>6.5978375000000006E-2</v>
      </c>
    </row>
    <row r="44" spans="1:26">
      <c r="A44">
        <v>77</v>
      </c>
      <c r="B44">
        <v>0</v>
      </c>
      <c r="C44">
        <v>0</v>
      </c>
      <c r="D44">
        <v>30.32</v>
      </c>
      <c r="E44">
        <v>0</v>
      </c>
      <c r="F44">
        <v>0</v>
      </c>
      <c r="G44">
        <v>0</v>
      </c>
      <c r="H44">
        <v>5.83</v>
      </c>
      <c r="I44">
        <v>9.2700000000000005E-2</v>
      </c>
      <c r="J44">
        <v>28.59</v>
      </c>
      <c r="K44">
        <v>26.37</v>
      </c>
      <c r="L44">
        <v>9.9499999999999993</v>
      </c>
      <c r="M44">
        <v>7.7799999999999994E-2</v>
      </c>
      <c r="N44">
        <v>101.2304</v>
      </c>
      <c r="O44" t="s">
        <v>58</v>
      </c>
      <c r="P44" t="s">
        <v>17</v>
      </c>
      <c r="R44">
        <f>I44-(K44*Standards!$I$15)</f>
        <v>3.4356375000000001E-2</v>
      </c>
    </row>
    <row r="45" spans="1:26">
      <c r="A45">
        <v>76</v>
      </c>
      <c r="B45">
        <v>0</v>
      </c>
      <c r="C45">
        <v>0</v>
      </c>
      <c r="D45">
        <v>30.1</v>
      </c>
      <c r="E45">
        <v>0.10199999999999999</v>
      </c>
      <c r="F45">
        <v>0</v>
      </c>
      <c r="G45">
        <v>0</v>
      </c>
      <c r="H45">
        <v>2.52</v>
      </c>
      <c r="I45">
        <v>7.8200000000000006E-2</v>
      </c>
      <c r="J45">
        <v>28.36</v>
      </c>
      <c r="K45">
        <v>26.28</v>
      </c>
      <c r="L45">
        <v>13.61</v>
      </c>
      <c r="M45">
        <v>8.5900000000000004E-2</v>
      </c>
      <c r="N45">
        <v>101.136</v>
      </c>
      <c r="O45" t="s">
        <v>58</v>
      </c>
      <c r="P45" t="s">
        <v>17</v>
      </c>
      <c r="R45">
        <f>I45-(K45*Standards!$I$15)</f>
        <v>2.0055500000000004E-2</v>
      </c>
    </row>
    <row r="46" spans="1:26">
      <c r="A46">
        <v>9</v>
      </c>
      <c r="B46">
        <v>0</v>
      </c>
      <c r="C46">
        <v>0</v>
      </c>
      <c r="D46">
        <v>26.6</v>
      </c>
      <c r="E46">
        <v>0</v>
      </c>
      <c r="F46">
        <v>0</v>
      </c>
      <c r="G46">
        <v>0</v>
      </c>
      <c r="H46">
        <v>12.68</v>
      </c>
      <c r="I46">
        <v>0.10440000000000001</v>
      </c>
      <c r="J46">
        <v>26.69</v>
      </c>
      <c r="K46">
        <v>33.869999999999997</v>
      </c>
      <c r="L46">
        <v>0.37</v>
      </c>
      <c r="M46">
        <v>8.4199999999999997E-2</v>
      </c>
      <c r="N46">
        <v>100.3985</v>
      </c>
      <c r="O46" t="s">
        <v>319</v>
      </c>
      <c r="P46" t="s">
        <v>33</v>
      </c>
      <c r="S46">
        <f>I46-(K46*Standards!$I$15)</f>
        <v>2.9462625000000006E-2</v>
      </c>
      <c r="V46">
        <f>COUNT(S46:S61)</f>
        <v>16</v>
      </c>
      <c r="W46">
        <f>MAX(L46:L61)</f>
        <v>2.87</v>
      </c>
      <c r="X46">
        <f>AVERAGE(L46:L61)</f>
        <v>1.6463125000000001</v>
      </c>
      <c r="Y46">
        <f>10000*MAX(S46:S61)</f>
        <v>687.03249999999991</v>
      </c>
      <c r="Z46">
        <f>10000*AVERAGE(S46:S61)</f>
        <v>252.98249999999999</v>
      </c>
    </row>
    <row r="47" spans="1:26">
      <c r="A47">
        <v>20</v>
      </c>
      <c r="B47">
        <v>0</v>
      </c>
      <c r="C47">
        <v>0</v>
      </c>
      <c r="D47">
        <v>29.99</v>
      </c>
      <c r="E47">
        <v>0</v>
      </c>
      <c r="F47">
        <v>0</v>
      </c>
      <c r="G47">
        <v>0</v>
      </c>
      <c r="H47">
        <v>13.94</v>
      </c>
      <c r="I47">
        <v>7.1400000000000005E-2</v>
      </c>
      <c r="J47">
        <v>30.57</v>
      </c>
      <c r="K47">
        <v>28.24</v>
      </c>
      <c r="L47">
        <v>0.43540000000000001</v>
      </c>
      <c r="M47">
        <v>8.9800000000000005E-2</v>
      </c>
      <c r="N47">
        <v>103.3365</v>
      </c>
      <c r="O47" t="s">
        <v>320</v>
      </c>
      <c r="P47" t="s">
        <v>33</v>
      </c>
      <c r="S47">
        <f>I47-(K47*Standards!$I$15)</f>
        <v>8.9190000000000103E-3</v>
      </c>
    </row>
    <row r="48" spans="1:26">
      <c r="A48">
        <v>21</v>
      </c>
      <c r="B48">
        <v>0</v>
      </c>
      <c r="C48">
        <v>0</v>
      </c>
      <c r="D48">
        <v>30.15</v>
      </c>
      <c r="E48">
        <v>0</v>
      </c>
      <c r="F48">
        <v>0</v>
      </c>
      <c r="G48">
        <v>0</v>
      </c>
      <c r="H48">
        <v>14.3</v>
      </c>
      <c r="I48">
        <v>8.0799999999999997E-2</v>
      </c>
      <c r="J48">
        <v>30.71</v>
      </c>
      <c r="K48">
        <v>27.98</v>
      </c>
      <c r="L48">
        <v>0.54890000000000005</v>
      </c>
      <c r="M48">
        <v>8.7499999999999994E-2</v>
      </c>
      <c r="N48">
        <v>103.8571</v>
      </c>
      <c r="O48" t="s">
        <v>320</v>
      </c>
      <c r="P48" t="s">
        <v>33</v>
      </c>
      <c r="S48">
        <f>I48-(K48*Standards!$I$15)</f>
        <v>1.8894249999999994E-2</v>
      </c>
    </row>
    <row r="49" spans="1:26">
      <c r="A49">
        <v>19</v>
      </c>
      <c r="B49">
        <v>0</v>
      </c>
      <c r="C49">
        <v>0</v>
      </c>
      <c r="D49">
        <v>29.96</v>
      </c>
      <c r="E49">
        <v>0</v>
      </c>
      <c r="F49">
        <v>0</v>
      </c>
      <c r="G49">
        <v>0</v>
      </c>
      <c r="H49">
        <v>14.09</v>
      </c>
      <c r="I49">
        <v>8.09E-2</v>
      </c>
      <c r="J49">
        <v>30.53</v>
      </c>
      <c r="K49">
        <v>28.15</v>
      </c>
      <c r="L49">
        <v>0.70669999999999999</v>
      </c>
      <c r="M49">
        <v>8.7499999999999994E-2</v>
      </c>
      <c r="N49">
        <v>103.605</v>
      </c>
      <c r="O49" t="s">
        <v>320</v>
      </c>
      <c r="P49" t="s">
        <v>33</v>
      </c>
      <c r="S49">
        <f>I49-(K49*Standards!$I$15)</f>
        <v>1.8618124999999999E-2</v>
      </c>
    </row>
    <row r="50" spans="1:26">
      <c r="A50">
        <v>25</v>
      </c>
      <c r="B50">
        <v>0</v>
      </c>
      <c r="C50">
        <v>0</v>
      </c>
      <c r="D50">
        <v>29.74</v>
      </c>
      <c r="E50">
        <v>0</v>
      </c>
      <c r="F50">
        <v>0</v>
      </c>
      <c r="G50">
        <v>0</v>
      </c>
      <c r="H50">
        <v>13.29</v>
      </c>
      <c r="I50">
        <v>9.11E-2</v>
      </c>
      <c r="J50">
        <v>30.52</v>
      </c>
      <c r="K50">
        <v>28.05</v>
      </c>
      <c r="L50">
        <v>1.36</v>
      </c>
      <c r="M50">
        <v>8.2699999999999996E-2</v>
      </c>
      <c r="N50">
        <v>103.13379999999999</v>
      </c>
      <c r="O50" t="s">
        <v>320</v>
      </c>
      <c r="P50" t="s">
        <v>33</v>
      </c>
      <c r="S50">
        <f>I50-(K50*Standards!$I$15)</f>
        <v>2.9039374999999999E-2</v>
      </c>
    </row>
    <row r="51" spans="1:26">
      <c r="A51">
        <v>12</v>
      </c>
      <c r="B51">
        <v>0.1057</v>
      </c>
      <c r="C51">
        <v>0</v>
      </c>
      <c r="D51">
        <v>29.75</v>
      </c>
      <c r="E51">
        <v>0</v>
      </c>
      <c r="F51">
        <v>0</v>
      </c>
      <c r="G51">
        <v>0</v>
      </c>
      <c r="H51">
        <v>13.91</v>
      </c>
      <c r="I51">
        <v>9.3100000000000002E-2</v>
      </c>
      <c r="J51">
        <v>30.14</v>
      </c>
      <c r="K51">
        <v>27.42</v>
      </c>
      <c r="L51">
        <v>1.37</v>
      </c>
      <c r="M51">
        <v>8.5099999999999995E-2</v>
      </c>
      <c r="N51">
        <v>102.8738</v>
      </c>
      <c r="O51" t="s">
        <v>319</v>
      </c>
      <c r="P51" t="s">
        <v>33</v>
      </c>
      <c r="S51">
        <f>I51-(K51*Standards!$I$15)</f>
        <v>3.2433249999999997E-2</v>
      </c>
    </row>
    <row r="52" spans="1:26">
      <c r="A52">
        <v>13</v>
      </c>
      <c r="B52">
        <v>0</v>
      </c>
      <c r="C52">
        <v>0</v>
      </c>
      <c r="D52">
        <v>29.85</v>
      </c>
      <c r="E52">
        <v>0</v>
      </c>
      <c r="F52">
        <v>0</v>
      </c>
      <c r="G52">
        <v>0</v>
      </c>
      <c r="H52">
        <v>13.19</v>
      </c>
      <c r="I52">
        <v>9.9900000000000003E-2</v>
      </c>
      <c r="J52">
        <v>30.07</v>
      </c>
      <c r="K52">
        <v>28.09</v>
      </c>
      <c r="L52">
        <v>1.48</v>
      </c>
      <c r="M52">
        <v>9.5500000000000002E-2</v>
      </c>
      <c r="N52">
        <v>102.8753</v>
      </c>
      <c r="O52" t="s">
        <v>319</v>
      </c>
      <c r="P52" t="s">
        <v>33</v>
      </c>
      <c r="S52">
        <f>I52-(K52*Standards!$I$15)</f>
        <v>3.7750875000000003E-2</v>
      </c>
    </row>
    <row r="53" spans="1:26">
      <c r="A53">
        <v>22</v>
      </c>
      <c r="B53">
        <v>0</v>
      </c>
      <c r="C53">
        <v>0</v>
      </c>
      <c r="D53">
        <v>30.3</v>
      </c>
      <c r="E53">
        <v>0</v>
      </c>
      <c r="F53">
        <v>0</v>
      </c>
      <c r="G53">
        <v>0</v>
      </c>
      <c r="H53">
        <v>13.2</v>
      </c>
      <c r="I53">
        <v>8.8999999999999996E-2</v>
      </c>
      <c r="J53">
        <v>30.79</v>
      </c>
      <c r="K53">
        <v>28.2</v>
      </c>
      <c r="L53">
        <v>1.48</v>
      </c>
      <c r="M53">
        <v>9.4899999999999998E-2</v>
      </c>
      <c r="N53">
        <v>104.1538</v>
      </c>
      <c r="O53" t="s">
        <v>320</v>
      </c>
      <c r="P53" t="s">
        <v>33</v>
      </c>
      <c r="S53">
        <f>I53-(K53*Standards!$I$15)</f>
        <v>2.6607499999999999E-2</v>
      </c>
    </row>
    <row r="54" spans="1:26">
      <c r="A54">
        <v>28</v>
      </c>
      <c r="B54">
        <v>0</v>
      </c>
      <c r="C54">
        <v>0</v>
      </c>
      <c r="D54">
        <v>29.84</v>
      </c>
      <c r="E54">
        <v>0</v>
      </c>
      <c r="F54">
        <v>0</v>
      </c>
      <c r="G54">
        <v>0</v>
      </c>
      <c r="H54">
        <v>13.37</v>
      </c>
      <c r="I54">
        <v>7.0199999999999999E-2</v>
      </c>
      <c r="J54">
        <v>30.69</v>
      </c>
      <c r="K54">
        <v>27.36</v>
      </c>
      <c r="L54">
        <v>1.93</v>
      </c>
      <c r="M54">
        <v>0.1038</v>
      </c>
      <c r="N54">
        <v>103.3639</v>
      </c>
      <c r="O54" t="s">
        <v>319</v>
      </c>
      <c r="P54" t="s">
        <v>33</v>
      </c>
      <c r="S54">
        <f>I54-(K54*Standards!$I$15)</f>
        <v>9.666000000000001E-3</v>
      </c>
    </row>
    <row r="55" spans="1:26">
      <c r="A55">
        <v>23</v>
      </c>
      <c r="B55">
        <v>0</v>
      </c>
      <c r="C55">
        <v>0</v>
      </c>
      <c r="D55">
        <v>29.96</v>
      </c>
      <c r="E55">
        <v>0</v>
      </c>
      <c r="F55">
        <v>0</v>
      </c>
      <c r="G55">
        <v>0</v>
      </c>
      <c r="H55">
        <v>12.42</v>
      </c>
      <c r="I55">
        <v>7.8899999999999998E-2</v>
      </c>
      <c r="J55">
        <v>30.72</v>
      </c>
      <c r="K55">
        <v>28.25</v>
      </c>
      <c r="L55">
        <v>2.08</v>
      </c>
      <c r="M55">
        <v>0.10100000000000001</v>
      </c>
      <c r="N55">
        <v>103.60980000000001</v>
      </c>
      <c r="O55" t="s">
        <v>320</v>
      </c>
      <c r="P55" t="s">
        <v>33</v>
      </c>
      <c r="S55">
        <f>I55-(K55*Standards!$I$15)</f>
        <v>1.6396874999999991E-2</v>
      </c>
    </row>
    <row r="56" spans="1:26">
      <c r="A56">
        <v>16</v>
      </c>
      <c r="B56">
        <v>0</v>
      </c>
      <c r="C56">
        <v>0</v>
      </c>
      <c r="D56">
        <v>29.97</v>
      </c>
      <c r="E56">
        <v>0</v>
      </c>
      <c r="F56">
        <v>0</v>
      </c>
      <c r="G56">
        <v>0</v>
      </c>
      <c r="H56">
        <v>12.49</v>
      </c>
      <c r="I56">
        <v>7.4499999999999997E-2</v>
      </c>
      <c r="J56">
        <v>30.28</v>
      </c>
      <c r="K56">
        <v>28.16</v>
      </c>
      <c r="L56">
        <v>2.1</v>
      </c>
      <c r="M56">
        <v>5.8700000000000002E-2</v>
      </c>
      <c r="N56">
        <v>103.1331</v>
      </c>
      <c r="O56" t="s">
        <v>319</v>
      </c>
      <c r="P56" t="s">
        <v>33</v>
      </c>
      <c r="S56">
        <f>I56-(K56*Standards!$I$15)</f>
        <v>1.2195999999999992E-2</v>
      </c>
    </row>
    <row r="57" spans="1:26">
      <c r="A57">
        <v>30</v>
      </c>
      <c r="B57">
        <v>0</v>
      </c>
      <c r="C57">
        <v>0</v>
      </c>
      <c r="D57">
        <v>29.77</v>
      </c>
      <c r="E57">
        <v>0</v>
      </c>
      <c r="F57">
        <v>0</v>
      </c>
      <c r="G57">
        <v>0</v>
      </c>
      <c r="H57">
        <v>12.7</v>
      </c>
      <c r="I57">
        <v>0.1008</v>
      </c>
      <c r="J57">
        <v>30.62</v>
      </c>
      <c r="K57">
        <v>28.16</v>
      </c>
      <c r="L57">
        <v>2.14</v>
      </c>
      <c r="M57">
        <v>9.7199999999999995E-2</v>
      </c>
      <c r="N57">
        <v>103.5879</v>
      </c>
      <c r="O57" t="s">
        <v>319</v>
      </c>
      <c r="P57" t="s">
        <v>33</v>
      </c>
      <c r="S57">
        <f>I57-(K57*Standards!$I$15)</f>
        <v>3.8495999999999996E-2</v>
      </c>
    </row>
    <row r="58" spans="1:26">
      <c r="A58">
        <v>31</v>
      </c>
      <c r="B58">
        <v>0</v>
      </c>
      <c r="C58">
        <v>0</v>
      </c>
      <c r="D58">
        <v>29.7</v>
      </c>
      <c r="E58">
        <v>0</v>
      </c>
      <c r="F58">
        <v>0</v>
      </c>
      <c r="G58">
        <v>0</v>
      </c>
      <c r="H58">
        <v>12.4</v>
      </c>
      <c r="I58">
        <v>7.6700000000000004E-2</v>
      </c>
      <c r="J58">
        <v>30.71</v>
      </c>
      <c r="K58">
        <v>28.32</v>
      </c>
      <c r="L58">
        <v>2.29</v>
      </c>
      <c r="M58">
        <v>8.5900000000000004E-2</v>
      </c>
      <c r="N58">
        <v>103.5825</v>
      </c>
      <c r="O58" t="s">
        <v>319</v>
      </c>
      <c r="P58" t="s">
        <v>33</v>
      </c>
      <c r="S58">
        <f>I58-(K58*Standards!$I$15)</f>
        <v>1.4041999999999999E-2</v>
      </c>
    </row>
    <row r="59" spans="1:26">
      <c r="A59">
        <v>15</v>
      </c>
      <c r="B59">
        <v>0</v>
      </c>
      <c r="C59">
        <v>0</v>
      </c>
      <c r="D59">
        <v>29.76</v>
      </c>
      <c r="E59">
        <v>0</v>
      </c>
      <c r="F59">
        <v>0</v>
      </c>
      <c r="G59">
        <v>0</v>
      </c>
      <c r="H59">
        <v>11.99</v>
      </c>
      <c r="I59">
        <v>7.7100000000000002E-2</v>
      </c>
      <c r="J59">
        <v>30.33</v>
      </c>
      <c r="K59">
        <v>28.17</v>
      </c>
      <c r="L59">
        <v>2.56</v>
      </c>
      <c r="M59">
        <v>8.6400000000000005E-2</v>
      </c>
      <c r="N59">
        <v>102.9734</v>
      </c>
      <c r="O59" t="s">
        <v>319</v>
      </c>
      <c r="P59" t="s">
        <v>33</v>
      </c>
      <c r="S59">
        <f>I59-(K59*Standards!$I$15)</f>
        <v>1.4773874999999999E-2</v>
      </c>
    </row>
    <row r="60" spans="1:26">
      <c r="A60">
        <v>35</v>
      </c>
      <c r="B60">
        <v>0</v>
      </c>
      <c r="C60">
        <v>0</v>
      </c>
      <c r="D60">
        <v>29.91</v>
      </c>
      <c r="E60">
        <v>0</v>
      </c>
      <c r="F60">
        <v>0</v>
      </c>
      <c r="G60">
        <v>1.2800000000000001E-2</v>
      </c>
      <c r="H60">
        <v>13.39</v>
      </c>
      <c r="I60">
        <v>0.12759999999999999</v>
      </c>
      <c r="J60">
        <v>31.14</v>
      </c>
      <c r="K60">
        <v>26.62</v>
      </c>
      <c r="L60">
        <v>2.62</v>
      </c>
      <c r="M60">
        <v>8.3299999999999999E-2</v>
      </c>
      <c r="N60">
        <v>103.9036</v>
      </c>
      <c r="O60" t="s">
        <v>319</v>
      </c>
      <c r="P60" t="s">
        <v>33</v>
      </c>
      <c r="S60">
        <f>I60-(K60*Standards!$I$15)</f>
        <v>6.8703249999999993E-2</v>
      </c>
    </row>
    <row r="61" spans="1:26">
      <c r="A61">
        <v>14</v>
      </c>
      <c r="B61">
        <v>0</v>
      </c>
      <c r="C61">
        <v>0</v>
      </c>
      <c r="D61">
        <v>29.9</v>
      </c>
      <c r="E61">
        <v>0</v>
      </c>
      <c r="F61">
        <v>0</v>
      </c>
      <c r="G61">
        <v>0</v>
      </c>
      <c r="H61">
        <v>11.73</v>
      </c>
      <c r="I61">
        <v>9.0899999999999995E-2</v>
      </c>
      <c r="J61">
        <v>30.56</v>
      </c>
      <c r="K61">
        <v>28.08</v>
      </c>
      <c r="L61">
        <v>2.87</v>
      </c>
      <c r="M61">
        <v>8.6499999999999994E-2</v>
      </c>
      <c r="N61">
        <v>103.31740000000001</v>
      </c>
      <c r="O61" t="s">
        <v>319</v>
      </c>
      <c r="P61" t="s">
        <v>33</v>
      </c>
      <c r="S61">
        <f>I61-(K61*Standards!$I$15)</f>
        <v>2.8773E-2</v>
      </c>
    </row>
    <row r="62" spans="1:26">
      <c r="A62">
        <v>133</v>
      </c>
      <c r="B62">
        <v>0</v>
      </c>
      <c r="C62">
        <v>0</v>
      </c>
      <c r="D62">
        <v>30.39</v>
      </c>
      <c r="E62">
        <v>0</v>
      </c>
      <c r="F62">
        <v>0</v>
      </c>
      <c r="G62">
        <v>0</v>
      </c>
      <c r="H62">
        <v>12.16</v>
      </c>
      <c r="I62">
        <v>7.4300000000000005E-2</v>
      </c>
      <c r="J62">
        <v>27.79</v>
      </c>
      <c r="K62">
        <v>25.99</v>
      </c>
      <c r="L62">
        <v>5.16</v>
      </c>
      <c r="M62">
        <v>8.8099999999999998E-2</v>
      </c>
      <c r="N62">
        <v>101.6523</v>
      </c>
      <c r="O62" t="s">
        <v>63</v>
      </c>
      <c r="P62" t="s">
        <v>44</v>
      </c>
      <c r="T62">
        <f>I62-(K62*Standards!$I$15)</f>
        <v>1.679712500000001E-2</v>
      </c>
      <c r="V62">
        <f>COUNT(T62:T68)</f>
        <v>7</v>
      </c>
      <c r="W62">
        <f>MAX(L62:L68)</f>
        <v>5.16</v>
      </c>
      <c r="X62">
        <f>AVERAGE(L62:L68)</f>
        <v>3.9885714285714284</v>
      </c>
      <c r="Y62">
        <f>10000*MAX(T62:T68)</f>
        <v>265.27125000000001</v>
      </c>
      <c r="Z62">
        <f>10000*AVERAGE(T62:T68)</f>
        <v>229.38124999999999</v>
      </c>
    </row>
    <row r="63" spans="1:26">
      <c r="A63">
        <v>134</v>
      </c>
      <c r="B63">
        <v>0</v>
      </c>
      <c r="C63">
        <v>0</v>
      </c>
      <c r="D63">
        <v>30.25</v>
      </c>
      <c r="E63">
        <v>0</v>
      </c>
      <c r="F63">
        <v>0</v>
      </c>
      <c r="G63">
        <v>0</v>
      </c>
      <c r="H63">
        <v>11.76</v>
      </c>
      <c r="I63">
        <v>8.3799999999999999E-2</v>
      </c>
      <c r="J63">
        <v>28.23</v>
      </c>
      <c r="K63">
        <v>26.78</v>
      </c>
      <c r="L63">
        <v>4.5599999999999996</v>
      </c>
      <c r="M63">
        <v>0.1069</v>
      </c>
      <c r="N63">
        <v>101.77070000000001</v>
      </c>
      <c r="O63" t="s">
        <v>63</v>
      </c>
      <c r="P63" t="s">
        <v>44</v>
      </c>
      <c r="T63">
        <f>I63-(K63*Standards!$I$15)</f>
        <v>2.4549249999999995E-2</v>
      </c>
    </row>
    <row r="64" spans="1:26">
      <c r="A64">
        <v>132</v>
      </c>
      <c r="B64">
        <v>0</v>
      </c>
      <c r="C64">
        <v>0</v>
      </c>
      <c r="D64">
        <v>30.28</v>
      </c>
      <c r="E64">
        <v>0</v>
      </c>
      <c r="F64">
        <v>0</v>
      </c>
      <c r="G64">
        <v>0</v>
      </c>
      <c r="H64">
        <v>12.21</v>
      </c>
      <c r="I64">
        <v>8.2100000000000006E-2</v>
      </c>
      <c r="J64">
        <v>28.66</v>
      </c>
      <c r="K64">
        <v>26.75</v>
      </c>
      <c r="L64">
        <v>3.9</v>
      </c>
      <c r="M64">
        <v>0.104</v>
      </c>
      <c r="N64">
        <v>101.986</v>
      </c>
      <c r="O64" t="s">
        <v>63</v>
      </c>
      <c r="P64" t="s">
        <v>44</v>
      </c>
      <c r="T64">
        <f>I64-(K64*Standards!$I$15)</f>
        <v>2.2915625000000002E-2</v>
      </c>
    </row>
    <row r="65" spans="1:26">
      <c r="A65">
        <v>135</v>
      </c>
      <c r="B65">
        <v>0</v>
      </c>
      <c r="C65">
        <v>0</v>
      </c>
      <c r="D65">
        <v>30.23</v>
      </c>
      <c r="E65">
        <v>0</v>
      </c>
      <c r="F65">
        <v>0</v>
      </c>
      <c r="G65">
        <v>0</v>
      </c>
      <c r="H65">
        <v>12.2</v>
      </c>
      <c r="I65">
        <v>8.1699999999999995E-2</v>
      </c>
      <c r="J65">
        <v>28.36</v>
      </c>
      <c r="K65">
        <v>26.92</v>
      </c>
      <c r="L65">
        <v>3.86</v>
      </c>
      <c r="M65">
        <v>0.10150000000000001</v>
      </c>
      <c r="N65">
        <v>101.75320000000001</v>
      </c>
      <c r="O65" t="s">
        <v>63</v>
      </c>
      <c r="P65" t="s">
        <v>44</v>
      </c>
      <c r="T65">
        <f>I65-(K65*Standards!$I$15)</f>
        <v>2.2139499999999993E-2</v>
      </c>
    </row>
    <row r="66" spans="1:26">
      <c r="A66">
        <v>100</v>
      </c>
      <c r="B66">
        <v>0</v>
      </c>
      <c r="C66">
        <v>0</v>
      </c>
      <c r="D66">
        <v>30.22</v>
      </c>
      <c r="E66">
        <v>0</v>
      </c>
      <c r="F66">
        <v>0</v>
      </c>
      <c r="G66">
        <v>0</v>
      </c>
      <c r="H66">
        <v>12.28</v>
      </c>
      <c r="I66">
        <v>8.4099999999999994E-2</v>
      </c>
      <c r="J66">
        <v>28.74</v>
      </c>
      <c r="K66">
        <v>26.82</v>
      </c>
      <c r="L66">
        <v>3.61</v>
      </c>
      <c r="M66">
        <v>9.5600000000000004E-2</v>
      </c>
      <c r="N66">
        <v>101.8496</v>
      </c>
      <c r="O66" t="s">
        <v>63</v>
      </c>
      <c r="P66" t="s">
        <v>44</v>
      </c>
      <c r="T66">
        <f>I66-(K66*Standards!$I$15)</f>
        <v>2.4760749999999991E-2</v>
      </c>
    </row>
    <row r="67" spans="1:26">
      <c r="A67">
        <v>141</v>
      </c>
      <c r="B67">
        <v>0</v>
      </c>
      <c r="C67">
        <v>0</v>
      </c>
      <c r="D67">
        <v>30.18</v>
      </c>
      <c r="E67">
        <v>0</v>
      </c>
      <c r="F67">
        <v>0</v>
      </c>
      <c r="G67">
        <v>0</v>
      </c>
      <c r="H67">
        <v>12</v>
      </c>
      <c r="I67">
        <v>8.3500000000000005E-2</v>
      </c>
      <c r="J67">
        <v>28.8</v>
      </c>
      <c r="K67">
        <v>27.4</v>
      </c>
      <c r="L67">
        <v>3.43</v>
      </c>
      <c r="M67">
        <v>0.1123</v>
      </c>
      <c r="N67">
        <v>102.0057</v>
      </c>
      <c r="O67" t="s">
        <v>63</v>
      </c>
      <c r="P67" t="s">
        <v>44</v>
      </c>
      <c r="T67">
        <f>I67-(K67*Standards!$I$15)</f>
        <v>2.2877500000000009E-2</v>
      </c>
    </row>
    <row r="68" spans="1:26">
      <c r="A68">
        <v>98</v>
      </c>
      <c r="B68">
        <v>0</v>
      </c>
      <c r="C68">
        <v>0</v>
      </c>
      <c r="D68">
        <v>30.23</v>
      </c>
      <c r="E68">
        <v>0</v>
      </c>
      <c r="F68">
        <v>0</v>
      </c>
      <c r="G68">
        <v>0</v>
      </c>
      <c r="H68">
        <v>12.4</v>
      </c>
      <c r="I68">
        <v>8.5800000000000001E-2</v>
      </c>
      <c r="J68">
        <v>28.8</v>
      </c>
      <c r="K68">
        <v>26.79</v>
      </c>
      <c r="L68">
        <v>3.4</v>
      </c>
      <c r="M68">
        <v>0.1195</v>
      </c>
      <c r="N68">
        <v>101.8252</v>
      </c>
      <c r="O68" t="s">
        <v>63</v>
      </c>
      <c r="P68" t="s">
        <v>44</v>
      </c>
      <c r="T68">
        <f>I68-(K68*Standards!$I$15)</f>
        <v>2.6527124999999999E-2</v>
      </c>
    </row>
    <row r="69" spans="1:26">
      <c r="A69">
        <v>102</v>
      </c>
      <c r="B69">
        <v>0</v>
      </c>
      <c r="C69">
        <v>0</v>
      </c>
      <c r="D69">
        <v>30.47</v>
      </c>
      <c r="E69">
        <v>0</v>
      </c>
      <c r="F69">
        <v>0</v>
      </c>
      <c r="G69">
        <v>0</v>
      </c>
      <c r="H69">
        <v>13.12</v>
      </c>
      <c r="I69">
        <v>0.1033</v>
      </c>
      <c r="J69">
        <v>28.73</v>
      </c>
      <c r="K69">
        <v>26.1</v>
      </c>
      <c r="L69">
        <v>1.05</v>
      </c>
      <c r="M69">
        <v>8.5300000000000001E-2</v>
      </c>
      <c r="N69">
        <v>99.658600000000007</v>
      </c>
      <c r="O69" t="s">
        <v>321</v>
      </c>
      <c r="P69" t="s">
        <v>102</v>
      </c>
      <c r="U69">
        <f>I69-(K69*Standards!$I$15)</f>
        <v>4.5553749999999997E-2</v>
      </c>
      <c r="V69">
        <f>COUNT(U69:U81)</f>
        <v>13</v>
      </c>
      <c r="W69">
        <f>MAX(L69:L81)</f>
        <v>1.82</v>
      </c>
      <c r="X69">
        <f>AVERAGE(L69:L81)</f>
        <v>1.0624923076923076</v>
      </c>
      <c r="Y69">
        <f>10000*MAX(U69:U81)</f>
        <v>875.97874999999988</v>
      </c>
      <c r="Z69">
        <f>10000*AVERAGE(U69:U81)</f>
        <v>410.48711538461532</v>
      </c>
    </row>
    <row r="70" spans="1:26">
      <c r="A70">
        <v>108</v>
      </c>
      <c r="B70">
        <v>0</v>
      </c>
      <c r="C70">
        <v>0</v>
      </c>
      <c r="D70">
        <v>30.36</v>
      </c>
      <c r="E70">
        <v>0</v>
      </c>
      <c r="F70">
        <v>0</v>
      </c>
      <c r="G70">
        <v>0</v>
      </c>
      <c r="H70">
        <v>13.71</v>
      </c>
      <c r="I70">
        <v>0.1108</v>
      </c>
      <c r="J70">
        <v>29.26</v>
      </c>
      <c r="K70">
        <v>26.38</v>
      </c>
      <c r="L70">
        <v>0.99980000000000002</v>
      </c>
      <c r="M70">
        <v>9.0300000000000005E-2</v>
      </c>
      <c r="N70">
        <v>100.9109</v>
      </c>
      <c r="O70" t="s">
        <v>321</v>
      </c>
      <c r="P70" t="s">
        <v>102</v>
      </c>
      <c r="U70">
        <f>I70-(K70*Standards!$I$15)</f>
        <v>5.2434249999999995E-2</v>
      </c>
    </row>
    <row r="71" spans="1:26">
      <c r="A71">
        <v>103</v>
      </c>
      <c r="B71">
        <v>0</v>
      </c>
      <c r="C71">
        <v>0</v>
      </c>
      <c r="D71">
        <v>30.92</v>
      </c>
      <c r="E71">
        <v>0</v>
      </c>
      <c r="F71">
        <v>0</v>
      </c>
      <c r="G71">
        <v>0</v>
      </c>
      <c r="H71">
        <v>12.86</v>
      </c>
      <c r="I71">
        <v>9.8000000000000004E-2</v>
      </c>
      <c r="J71">
        <v>28.96</v>
      </c>
      <c r="K71">
        <v>26.67</v>
      </c>
      <c r="L71">
        <v>0.90769999999999995</v>
      </c>
      <c r="M71">
        <v>6.9599999999999995E-2</v>
      </c>
      <c r="N71">
        <v>100.48520000000001</v>
      </c>
      <c r="O71" t="s">
        <v>321</v>
      </c>
      <c r="P71" t="s">
        <v>102</v>
      </c>
      <c r="U71">
        <f>I71-(K71*Standards!$I$15)</f>
        <v>3.8992624999999996E-2</v>
      </c>
    </row>
    <row r="72" spans="1:26">
      <c r="A72">
        <v>104</v>
      </c>
      <c r="B72">
        <v>0</v>
      </c>
      <c r="C72">
        <v>0</v>
      </c>
      <c r="D72">
        <v>30.29</v>
      </c>
      <c r="E72">
        <v>0</v>
      </c>
      <c r="F72">
        <v>0</v>
      </c>
      <c r="G72">
        <v>0</v>
      </c>
      <c r="H72">
        <v>13.24</v>
      </c>
      <c r="I72">
        <v>0.1222</v>
      </c>
      <c r="J72">
        <v>29.14</v>
      </c>
      <c r="K72">
        <v>26.79</v>
      </c>
      <c r="L72">
        <v>1.1000000000000001</v>
      </c>
      <c r="M72">
        <v>8.1600000000000006E-2</v>
      </c>
      <c r="N72">
        <v>100.7637</v>
      </c>
      <c r="O72" t="s">
        <v>321</v>
      </c>
      <c r="P72" t="s">
        <v>102</v>
      </c>
      <c r="U72">
        <f>I72-(K72*Standards!$I$15)</f>
        <v>6.2927125E-2</v>
      </c>
    </row>
    <row r="73" spans="1:26">
      <c r="A73">
        <v>105</v>
      </c>
      <c r="B73">
        <v>0</v>
      </c>
      <c r="C73">
        <v>0</v>
      </c>
      <c r="D73">
        <v>29.99</v>
      </c>
      <c r="E73">
        <v>0</v>
      </c>
      <c r="F73">
        <v>0</v>
      </c>
      <c r="G73">
        <v>0</v>
      </c>
      <c r="H73">
        <v>13.23</v>
      </c>
      <c r="I73">
        <v>0.14779999999999999</v>
      </c>
      <c r="J73">
        <v>28.86</v>
      </c>
      <c r="K73">
        <v>27.21</v>
      </c>
      <c r="L73">
        <v>1.2</v>
      </c>
      <c r="M73">
        <v>8.5500000000000007E-2</v>
      </c>
      <c r="N73">
        <v>100.72320000000001</v>
      </c>
      <c r="O73" t="s">
        <v>321</v>
      </c>
      <c r="P73" t="s">
        <v>102</v>
      </c>
      <c r="U73">
        <f>I73-(K73*Standards!$I$15)</f>
        <v>8.7597874999999992E-2</v>
      </c>
    </row>
    <row r="74" spans="1:26">
      <c r="A74">
        <v>101</v>
      </c>
      <c r="B74">
        <v>0</v>
      </c>
      <c r="C74">
        <v>0</v>
      </c>
      <c r="D74">
        <v>30.39</v>
      </c>
      <c r="E74">
        <v>0</v>
      </c>
      <c r="F74">
        <v>0</v>
      </c>
      <c r="G74">
        <v>0</v>
      </c>
      <c r="H74">
        <v>12.59</v>
      </c>
      <c r="I74">
        <v>9.5899999999999999E-2</v>
      </c>
      <c r="J74">
        <v>28.92</v>
      </c>
      <c r="K74">
        <v>27.49</v>
      </c>
      <c r="L74">
        <v>0.8821</v>
      </c>
      <c r="M74">
        <v>0.1</v>
      </c>
      <c r="N74">
        <v>100.4679</v>
      </c>
      <c r="O74" t="s">
        <v>321</v>
      </c>
      <c r="P74" t="s">
        <v>102</v>
      </c>
      <c r="U74">
        <f>I74-(K74*Standards!$I$15)</f>
        <v>3.5078375000000002E-2</v>
      </c>
    </row>
    <row r="75" spans="1:26">
      <c r="A75">
        <v>1</v>
      </c>
      <c r="B75">
        <v>0</v>
      </c>
      <c r="C75">
        <v>0</v>
      </c>
      <c r="D75">
        <v>29.83</v>
      </c>
      <c r="E75">
        <v>0</v>
      </c>
      <c r="F75">
        <v>0</v>
      </c>
      <c r="G75">
        <v>0</v>
      </c>
      <c r="H75">
        <v>12.67</v>
      </c>
      <c r="I75">
        <v>0.13500000000000001</v>
      </c>
      <c r="J75">
        <v>28.96</v>
      </c>
      <c r="K75">
        <v>27.16</v>
      </c>
      <c r="L75">
        <v>0.84450000000000003</v>
      </c>
      <c r="M75">
        <v>9.8000000000000004E-2</v>
      </c>
      <c r="N75">
        <v>99.697599999999994</v>
      </c>
      <c r="O75" t="s">
        <v>322</v>
      </c>
      <c r="P75" t="s">
        <v>102</v>
      </c>
      <c r="U75">
        <f>I75-(K75*Standards!$I$15)</f>
        <v>7.4908500000000017E-2</v>
      </c>
    </row>
    <row r="76" spans="1:26">
      <c r="A76">
        <v>8</v>
      </c>
      <c r="B76">
        <v>0</v>
      </c>
      <c r="C76">
        <v>0</v>
      </c>
      <c r="D76">
        <v>30.17</v>
      </c>
      <c r="E76">
        <v>0</v>
      </c>
      <c r="F76">
        <v>0</v>
      </c>
      <c r="G76">
        <v>0</v>
      </c>
      <c r="H76">
        <v>13.13</v>
      </c>
      <c r="I76">
        <v>0.104</v>
      </c>
      <c r="J76">
        <v>29.31</v>
      </c>
      <c r="K76">
        <v>28.2</v>
      </c>
      <c r="L76">
        <v>1.82</v>
      </c>
      <c r="M76">
        <v>0.10680000000000001</v>
      </c>
      <c r="N76">
        <v>102.8407</v>
      </c>
      <c r="O76" t="s">
        <v>323</v>
      </c>
      <c r="P76" t="s">
        <v>102</v>
      </c>
      <c r="U76">
        <f>I76-(K76*Standards!$I$15)</f>
        <v>4.1607499999999999E-2</v>
      </c>
    </row>
    <row r="77" spans="1:26">
      <c r="A77">
        <v>7</v>
      </c>
      <c r="B77">
        <v>0</v>
      </c>
      <c r="C77">
        <v>0</v>
      </c>
      <c r="D77">
        <v>29.73</v>
      </c>
      <c r="E77">
        <v>0</v>
      </c>
      <c r="F77">
        <v>0</v>
      </c>
      <c r="G77">
        <v>0</v>
      </c>
      <c r="H77">
        <v>13.21</v>
      </c>
      <c r="I77">
        <v>9.2299999999999993E-2</v>
      </c>
      <c r="J77">
        <v>29.36</v>
      </c>
      <c r="K77">
        <v>28.04</v>
      </c>
      <c r="L77">
        <v>1.1299999999999999</v>
      </c>
      <c r="M77">
        <v>8.7400000000000005E-2</v>
      </c>
      <c r="N77">
        <v>101.6497</v>
      </c>
      <c r="O77" t="s">
        <v>323</v>
      </c>
      <c r="P77" t="s">
        <v>102</v>
      </c>
      <c r="U77">
        <f>I77-(K77*Standards!$I$15)</f>
        <v>3.0261499999999997E-2</v>
      </c>
    </row>
    <row r="78" spans="1:26">
      <c r="A78">
        <v>5</v>
      </c>
      <c r="B78">
        <v>0</v>
      </c>
      <c r="C78">
        <v>0</v>
      </c>
      <c r="D78">
        <v>29.78</v>
      </c>
      <c r="E78">
        <v>0</v>
      </c>
      <c r="F78">
        <v>0</v>
      </c>
      <c r="G78">
        <v>0</v>
      </c>
      <c r="H78">
        <v>12.97</v>
      </c>
      <c r="I78">
        <v>0.1041</v>
      </c>
      <c r="J78">
        <v>29.52</v>
      </c>
      <c r="K78">
        <v>28.01</v>
      </c>
      <c r="L78">
        <v>0.93540000000000001</v>
      </c>
      <c r="M78">
        <v>9.2100000000000001E-2</v>
      </c>
      <c r="N78">
        <v>101.41160000000001</v>
      </c>
      <c r="O78" t="s">
        <v>323</v>
      </c>
      <c r="P78" t="s">
        <v>102</v>
      </c>
      <c r="U78">
        <f>I78-(K78*Standards!$I$15)</f>
        <v>4.2127874999999995E-2</v>
      </c>
    </row>
    <row r="79" spans="1:26">
      <c r="A79">
        <v>9</v>
      </c>
      <c r="B79">
        <v>0</v>
      </c>
      <c r="C79">
        <v>0</v>
      </c>
      <c r="D79">
        <v>29.73</v>
      </c>
      <c r="E79">
        <v>0</v>
      </c>
      <c r="F79">
        <v>0</v>
      </c>
      <c r="G79">
        <v>0</v>
      </c>
      <c r="H79">
        <v>13.17</v>
      </c>
      <c r="I79">
        <v>7.5700000000000003E-2</v>
      </c>
      <c r="J79">
        <v>29.3</v>
      </c>
      <c r="K79">
        <v>27.74</v>
      </c>
      <c r="L79">
        <v>0.8367</v>
      </c>
      <c r="M79">
        <v>8.3199999999999996E-2</v>
      </c>
      <c r="N79">
        <v>100.9355</v>
      </c>
      <c r="O79" t="s">
        <v>323</v>
      </c>
      <c r="P79" t="s">
        <v>102</v>
      </c>
      <c r="U79">
        <f>I79-(K79*Standards!$I$15)</f>
        <v>1.4325250000000005E-2</v>
      </c>
    </row>
    <row r="80" spans="1:26">
      <c r="A80">
        <v>10</v>
      </c>
      <c r="B80">
        <v>0</v>
      </c>
      <c r="C80">
        <v>0</v>
      </c>
      <c r="D80">
        <v>30.25</v>
      </c>
      <c r="E80">
        <v>0</v>
      </c>
      <c r="F80">
        <v>0</v>
      </c>
      <c r="G80">
        <v>0</v>
      </c>
      <c r="H80">
        <v>12.81</v>
      </c>
      <c r="I80">
        <v>6.54E-2</v>
      </c>
      <c r="J80">
        <v>29.46</v>
      </c>
      <c r="K80">
        <v>28.02</v>
      </c>
      <c r="L80">
        <v>0.78620000000000001</v>
      </c>
      <c r="M80">
        <v>7.5200000000000003E-2</v>
      </c>
      <c r="N80">
        <v>101.46680000000001</v>
      </c>
      <c r="O80" t="s">
        <v>323</v>
      </c>
      <c r="P80" t="s">
        <v>102</v>
      </c>
      <c r="U80">
        <f>I80-(K80*Standards!$I$15)</f>
        <v>3.4057499999999991E-3</v>
      </c>
    </row>
    <row r="81" spans="1:21">
      <c r="A81">
        <v>8</v>
      </c>
      <c r="B81">
        <v>0</v>
      </c>
      <c r="C81">
        <v>0</v>
      </c>
      <c r="D81">
        <v>29.9</v>
      </c>
      <c r="E81">
        <v>0</v>
      </c>
      <c r="F81">
        <v>0</v>
      </c>
      <c r="G81">
        <v>0</v>
      </c>
      <c r="H81">
        <v>12.66</v>
      </c>
      <c r="I81">
        <v>6.5500000000000003E-2</v>
      </c>
      <c r="J81">
        <v>29.39</v>
      </c>
      <c r="K81">
        <v>27.61</v>
      </c>
      <c r="L81">
        <v>1.32</v>
      </c>
      <c r="M81">
        <v>6.9699999999999998E-2</v>
      </c>
      <c r="N81">
        <v>101.0151</v>
      </c>
      <c r="O81" t="s">
        <v>324</v>
      </c>
      <c r="P81" t="s">
        <v>102</v>
      </c>
      <c r="U81">
        <f>I81-(K81*Standards!$I$15)</f>
        <v>4.4128750000000036E-3</v>
      </c>
    </row>
  </sheetData>
  <phoneticPr fontId="1" type="noConversion"/>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9486-D486-4107-BF86-C070CF7343DD}">
  <dimension ref="A1:AE995"/>
  <sheetViews>
    <sheetView tabSelected="1" workbookViewId="0">
      <pane ySplit="510" activePane="bottomLeft"/>
      <selection pane="bottomLeft"/>
      <selection activeCell="G1" sqref="G1:G65536"/>
    </sheetView>
  </sheetViews>
  <sheetFormatPr defaultRowHeight="12.75"/>
  <cols>
    <col min="20" max="20" width="15" customWidth="1"/>
  </cols>
  <sheetData>
    <row r="1" spans="1:31">
      <c r="A1" t="s">
        <v>0</v>
      </c>
      <c r="B1" t="s">
        <v>1</v>
      </c>
      <c r="C1" t="s">
        <v>2</v>
      </c>
      <c r="D1" t="s">
        <v>3</v>
      </c>
      <c r="E1" t="s">
        <v>4</v>
      </c>
      <c r="F1" t="s">
        <v>5</v>
      </c>
      <c r="G1" t="s">
        <v>6</v>
      </c>
      <c r="H1" t="s">
        <v>7</v>
      </c>
      <c r="I1" t="s">
        <v>8</v>
      </c>
      <c r="J1" t="s">
        <v>9</v>
      </c>
      <c r="K1" t="s">
        <v>10</v>
      </c>
      <c r="L1" t="s">
        <v>11</v>
      </c>
      <c r="M1" t="s">
        <v>12</v>
      </c>
      <c r="N1" t="s">
        <v>13</v>
      </c>
      <c r="O1" t="s">
        <v>47</v>
      </c>
      <c r="Q1" t="s">
        <v>325</v>
      </c>
      <c r="R1" t="s">
        <v>201</v>
      </c>
      <c r="S1" t="s">
        <v>326</v>
      </c>
      <c r="T1" t="s">
        <v>15</v>
      </c>
      <c r="U1" t="s">
        <v>327</v>
      </c>
      <c r="V1" t="s">
        <v>328</v>
      </c>
      <c r="W1" t="s">
        <v>329</v>
      </c>
      <c r="X1" t="s">
        <v>330</v>
      </c>
      <c r="Y1" t="s">
        <v>331</v>
      </c>
      <c r="Z1" t="s">
        <v>205</v>
      </c>
      <c r="AA1" t="s">
        <v>206</v>
      </c>
      <c r="AB1" t="s">
        <v>332</v>
      </c>
      <c r="AC1" t="s">
        <v>333</v>
      </c>
      <c r="AD1" t="s">
        <v>334</v>
      </c>
      <c r="AE1" t="s">
        <v>335</v>
      </c>
    </row>
    <row r="2" spans="1:31">
      <c r="A2">
        <v>40</v>
      </c>
      <c r="B2">
        <v>0</v>
      </c>
      <c r="C2">
        <v>2.46E-2</v>
      </c>
      <c r="D2">
        <v>33.85</v>
      </c>
      <c r="E2">
        <v>0.1414</v>
      </c>
      <c r="F2">
        <v>0</v>
      </c>
      <c r="G2">
        <v>0.29949999999999999</v>
      </c>
      <c r="H2">
        <v>6.74</v>
      </c>
      <c r="I2">
        <v>0.1053</v>
      </c>
      <c r="J2">
        <v>2.4500000000000002</v>
      </c>
      <c r="K2">
        <v>1.18</v>
      </c>
      <c r="L2">
        <v>58.69</v>
      </c>
      <c r="M2">
        <v>0.13089999999999999</v>
      </c>
      <c r="N2">
        <v>103.6116</v>
      </c>
      <c r="O2" t="s">
        <v>336</v>
      </c>
      <c r="Q2">
        <f>H2+L2</f>
        <v>65.429999999999993</v>
      </c>
      <c r="R2">
        <f>I2-(K2*Standards!$I$15)</f>
        <v>0.10268925000000001</v>
      </c>
      <c r="S2">
        <f>C2-(I2*0.05)</f>
        <v>1.9334999999999998E-2</v>
      </c>
      <c r="T2" t="s">
        <v>131</v>
      </c>
      <c r="U2">
        <f>COUNT(R2:R6)</f>
        <v>5</v>
      </c>
      <c r="V2">
        <f>MAX(H2:H6)</f>
        <v>10.52</v>
      </c>
      <c r="W2">
        <f>AVERAGE(H2:H6)</f>
        <v>7.4960000000000004</v>
      </c>
      <c r="X2">
        <f>MAX(J2:J6)</f>
        <v>2.4500000000000002</v>
      </c>
      <c r="Y2">
        <f>AVERAGE(J2:J6)</f>
        <v>0.96197999999999995</v>
      </c>
      <c r="Z2">
        <f>10000*MAX(R2:R6)</f>
        <v>4634</v>
      </c>
      <c r="AA2">
        <f>10000*AVERAGE(R2:R6)</f>
        <v>1769.5144999999998</v>
      </c>
      <c r="AB2">
        <f>10000*MAX(G2:G6)</f>
        <v>2995</v>
      </c>
      <c r="AC2">
        <f>10000*AVERAGE(G2:G6)</f>
        <v>1962.8000000000002</v>
      </c>
      <c r="AD2">
        <f>10000*MAX(S2:S6)</f>
        <v>431.59999999999997</v>
      </c>
      <c r="AE2">
        <f>10000*AVERAGE(S2:S6)</f>
        <v>336.97999999999996</v>
      </c>
    </row>
    <row r="3" spans="1:31">
      <c r="A3">
        <v>19</v>
      </c>
      <c r="B3">
        <v>0</v>
      </c>
      <c r="C3">
        <v>6.2899999999999998E-2</v>
      </c>
      <c r="D3">
        <v>33.99</v>
      </c>
      <c r="E3">
        <v>7.3300000000000004E-2</v>
      </c>
      <c r="F3">
        <v>0</v>
      </c>
      <c r="G3">
        <v>0.14360000000000001</v>
      </c>
      <c r="H3">
        <v>9.69</v>
      </c>
      <c r="I3">
        <v>0.46339999999999998</v>
      </c>
      <c r="J3">
        <v>0.28439999999999999</v>
      </c>
      <c r="K3">
        <v>0</v>
      </c>
      <c r="L3">
        <v>57.36</v>
      </c>
      <c r="M3">
        <v>8.4699999999999998E-2</v>
      </c>
      <c r="N3">
        <v>102.1523</v>
      </c>
      <c r="O3" t="s">
        <v>336</v>
      </c>
      <c r="Q3">
        <f t="shared" ref="Q3:Q66" si="0">H3+L3</f>
        <v>67.05</v>
      </c>
      <c r="R3">
        <f>I3-(K3*Standards!$I$15)</f>
        <v>0.46339999999999998</v>
      </c>
      <c r="S3">
        <f t="shared" ref="S3:S66" si="1">C3-(I3*0.05)</f>
        <v>3.9730000000000001E-2</v>
      </c>
      <c r="T3" t="s">
        <v>131</v>
      </c>
    </row>
    <row r="4" spans="1:31">
      <c r="A4">
        <v>18</v>
      </c>
      <c r="B4">
        <v>0</v>
      </c>
      <c r="C4">
        <v>5.33E-2</v>
      </c>
      <c r="D4">
        <v>34.14</v>
      </c>
      <c r="E4">
        <v>7.7200000000000005E-2</v>
      </c>
      <c r="F4">
        <v>0</v>
      </c>
      <c r="G4">
        <v>0.14330000000000001</v>
      </c>
      <c r="H4">
        <v>10.52</v>
      </c>
      <c r="I4">
        <v>0.20280000000000001</v>
      </c>
      <c r="J4">
        <v>0.17430000000000001</v>
      </c>
      <c r="K4">
        <v>0</v>
      </c>
      <c r="L4">
        <v>57.11</v>
      </c>
      <c r="M4">
        <v>0.14069999999999999</v>
      </c>
      <c r="N4">
        <v>102.5615</v>
      </c>
      <c r="O4" t="s">
        <v>336</v>
      </c>
      <c r="Q4">
        <f t="shared" si="0"/>
        <v>67.63</v>
      </c>
      <c r="R4">
        <f>I4-(K4*Standards!$I$15)</f>
        <v>0.20280000000000001</v>
      </c>
      <c r="S4">
        <f t="shared" si="1"/>
        <v>4.3159999999999997E-2</v>
      </c>
      <c r="T4" t="s">
        <v>131</v>
      </c>
    </row>
    <row r="5" spans="1:31">
      <c r="A5">
        <v>11</v>
      </c>
      <c r="B5">
        <v>0</v>
      </c>
      <c r="C5">
        <v>3.9899999999999998E-2</v>
      </c>
      <c r="D5">
        <v>34.35</v>
      </c>
      <c r="E5">
        <v>5.9400000000000001E-2</v>
      </c>
      <c r="F5">
        <v>0</v>
      </c>
      <c r="G5">
        <v>0.1275</v>
      </c>
      <c r="H5">
        <v>4.83</v>
      </c>
      <c r="I5">
        <v>0</v>
      </c>
      <c r="J5">
        <v>0.1212</v>
      </c>
      <c r="K5">
        <v>0</v>
      </c>
      <c r="L5">
        <v>63.59</v>
      </c>
      <c r="M5">
        <v>0.13200000000000001</v>
      </c>
      <c r="N5">
        <v>103.2499</v>
      </c>
      <c r="O5" t="s">
        <v>337</v>
      </c>
      <c r="Q5">
        <f t="shared" si="0"/>
        <v>68.42</v>
      </c>
      <c r="R5">
        <f>I5-(K5*Standards!$I$15)</f>
        <v>0</v>
      </c>
      <c r="S5">
        <f t="shared" si="1"/>
        <v>3.9899999999999998E-2</v>
      </c>
      <c r="T5" t="s">
        <v>131</v>
      </c>
    </row>
    <row r="6" spans="1:31">
      <c r="A6">
        <v>52</v>
      </c>
      <c r="B6">
        <v>0</v>
      </c>
      <c r="C6">
        <v>3.2300000000000002E-2</v>
      </c>
      <c r="D6">
        <v>33.54</v>
      </c>
      <c r="E6">
        <v>0.13170000000000001</v>
      </c>
      <c r="F6">
        <v>0</v>
      </c>
      <c r="G6">
        <v>0.26750000000000002</v>
      </c>
      <c r="H6">
        <v>5.7</v>
      </c>
      <c r="I6">
        <v>0.1187</v>
      </c>
      <c r="J6">
        <v>1.78</v>
      </c>
      <c r="K6">
        <v>1.28</v>
      </c>
      <c r="L6">
        <v>59.29</v>
      </c>
      <c r="M6">
        <v>0.1326</v>
      </c>
      <c r="N6">
        <v>102.2727</v>
      </c>
      <c r="O6" t="s">
        <v>337</v>
      </c>
      <c r="Q6">
        <f t="shared" si="0"/>
        <v>64.989999999999995</v>
      </c>
      <c r="R6">
        <f>I6-(K6*Standards!$I$15)</f>
        <v>0.115868</v>
      </c>
      <c r="S6">
        <f t="shared" si="1"/>
        <v>2.6365000000000003E-2</v>
      </c>
      <c r="T6" t="s">
        <v>131</v>
      </c>
    </row>
    <row r="7" spans="1:31">
      <c r="A7">
        <v>3</v>
      </c>
      <c r="B7">
        <v>0</v>
      </c>
      <c r="C7">
        <v>6.3299999999999995E-2</v>
      </c>
      <c r="D7">
        <v>33.840000000000003</v>
      </c>
      <c r="E7">
        <v>6.0999999999999999E-2</v>
      </c>
      <c r="F7">
        <v>0</v>
      </c>
      <c r="G7">
        <v>0.1447</v>
      </c>
      <c r="H7">
        <v>0.96519999999999995</v>
      </c>
      <c r="I7">
        <v>0</v>
      </c>
      <c r="J7">
        <v>0</v>
      </c>
      <c r="K7">
        <v>0</v>
      </c>
      <c r="L7">
        <v>66.709999999999994</v>
      </c>
      <c r="M7">
        <v>0.11849999999999999</v>
      </c>
      <c r="N7">
        <v>101.90260000000001</v>
      </c>
      <c r="O7" t="s">
        <v>338</v>
      </c>
      <c r="Q7">
        <f t="shared" si="0"/>
        <v>67.67519999999999</v>
      </c>
      <c r="R7">
        <f>I7-(K7*Standards!$I$15)</f>
        <v>0</v>
      </c>
      <c r="S7">
        <f t="shared" si="1"/>
        <v>6.3299999999999995E-2</v>
      </c>
      <c r="T7" t="s">
        <v>138</v>
      </c>
      <c r="U7">
        <f>COUNT(R7:R10)</f>
        <v>4</v>
      </c>
      <c r="V7">
        <f>MAX(H7:H10)</f>
        <v>8.52</v>
      </c>
      <c r="W7">
        <f>AVERAGE(H7:H10)</f>
        <v>4.6887999999999996</v>
      </c>
      <c r="X7">
        <f>MAX(J7:J10)</f>
        <v>4.58</v>
      </c>
      <c r="Y7">
        <f>AVERAGE(J7:J10)</f>
        <v>1.4975000000000001</v>
      </c>
      <c r="Z7">
        <f>10000*MAX(R7:R10)</f>
        <v>1494</v>
      </c>
      <c r="AA7">
        <f>10000*AVERAGE(R7:R10)</f>
        <v>703.25</v>
      </c>
      <c r="AB7">
        <f>10000*MAX(G7:G10)</f>
        <v>1447</v>
      </c>
      <c r="AC7">
        <f>10000*AVERAGE(G7:G10)</f>
        <v>990.25</v>
      </c>
      <c r="AD7">
        <f>10000*MAX(S7:S10)</f>
        <v>633</v>
      </c>
      <c r="AE7">
        <f>10000*AVERAGE(S7:S10)</f>
        <v>489.33749999999992</v>
      </c>
    </row>
    <row r="8" spans="1:31">
      <c r="A8">
        <v>19</v>
      </c>
      <c r="B8">
        <v>0</v>
      </c>
      <c r="C8">
        <v>6.3299999999999995E-2</v>
      </c>
      <c r="D8">
        <v>34.01</v>
      </c>
      <c r="E8">
        <v>5.4300000000000001E-2</v>
      </c>
      <c r="F8">
        <v>0</v>
      </c>
      <c r="G8">
        <v>0.13880000000000001</v>
      </c>
      <c r="H8">
        <v>3.05</v>
      </c>
      <c r="I8">
        <v>9.7000000000000003E-3</v>
      </c>
      <c r="J8">
        <v>0</v>
      </c>
      <c r="K8">
        <v>0</v>
      </c>
      <c r="L8">
        <v>63.74</v>
      </c>
      <c r="M8">
        <v>0.11260000000000001</v>
      </c>
      <c r="N8">
        <v>101.1786</v>
      </c>
      <c r="O8" t="s">
        <v>338</v>
      </c>
      <c r="Q8">
        <f t="shared" si="0"/>
        <v>66.790000000000006</v>
      </c>
      <c r="R8">
        <f>I8-(K8*Standards!$I$15)</f>
        <v>9.7000000000000003E-3</v>
      </c>
      <c r="S8">
        <f t="shared" si="1"/>
        <v>6.2814999999999996E-2</v>
      </c>
      <c r="T8" t="s">
        <v>138</v>
      </c>
    </row>
    <row r="9" spans="1:31">
      <c r="A9">
        <v>21</v>
      </c>
      <c r="B9">
        <v>0</v>
      </c>
      <c r="C9">
        <v>4.5400000000000003E-2</v>
      </c>
      <c r="D9">
        <v>34.24</v>
      </c>
      <c r="E9">
        <v>3.56E-2</v>
      </c>
      <c r="F9">
        <v>0</v>
      </c>
      <c r="G9">
        <v>6.0400000000000002E-2</v>
      </c>
      <c r="H9">
        <v>6.22</v>
      </c>
      <c r="I9">
        <v>0.1222</v>
      </c>
      <c r="J9">
        <v>1.41</v>
      </c>
      <c r="K9">
        <v>0</v>
      </c>
      <c r="L9">
        <v>59.54</v>
      </c>
      <c r="M9">
        <v>0.11840000000000001</v>
      </c>
      <c r="N9">
        <v>101.7919</v>
      </c>
      <c r="O9" t="s">
        <v>339</v>
      </c>
      <c r="Q9">
        <f t="shared" si="0"/>
        <v>65.760000000000005</v>
      </c>
      <c r="R9">
        <f>I9-(K9*Standards!$I$15)</f>
        <v>0.1222</v>
      </c>
      <c r="S9">
        <f t="shared" si="1"/>
        <v>3.9290000000000005E-2</v>
      </c>
      <c r="T9" t="s">
        <v>138</v>
      </c>
    </row>
    <row r="10" spans="1:31">
      <c r="A10">
        <v>20</v>
      </c>
      <c r="B10">
        <v>0</v>
      </c>
      <c r="C10">
        <v>3.78E-2</v>
      </c>
      <c r="D10">
        <v>34.229999999999997</v>
      </c>
      <c r="E10">
        <v>6.3600000000000004E-2</v>
      </c>
      <c r="F10">
        <v>0</v>
      </c>
      <c r="G10">
        <v>5.2200000000000003E-2</v>
      </c>
      <c r="H10">
        <v>8.52</v>
      </c>
      <c r="I10">
        <v>0.14940000000000001</v>
      </c>
      <c r="J10">
        <v>4.58</v>
      </c>
      <c r="K10">
        <v>0</v>
      </c>
      <c r="L10">
        <v>52.2</v>
      </c>
      <c r="M10">
        <v>0.11360000000000001</v>
      </c>
      <c r="N10">
        <v>99.946600000000004</v>
      </c>
      <c r="O10" t="s">
        <v>339</v>
      </c>
      <c r="Q10">
        <f t="shared" si="0"/>
        <v>60.72</v>
      </c>
      <c r="R10">
        <f>I10-(K10*Standards!$I$15)</f>
        <v>0.14940000000000001</v>
      </c>
      <c r="S10">
        <f t="shared" si="1"/>
        <v>3.0329999999999999E-2</v>
      </c>
      <c r="T10" t="s">
        <v>138</v>
      </c>
    </row>
    <row r="11" spans="1:31">
      <c r="A11">
        <v>111</v>
      </c>
      <c r="B11">
        <v>0</v>
      </c>
      <c r="C11">
        <v>6.6500000000000004E-2</v>
      </c>
      <c r="D11">
        <v>34.020000000000003</v>
      </c>
      <c r="E11">
        <v>4.5400000000000003E-2</v>
      </c>
      <c r="F11">
        <v>0</v>
      </c>
      <c r="G11">
        <v>0.1265</v>
      </c>
      <c r="H11">
        <v>0.31269999999999998</v>
      </c>
      <c r="I11">
        <v>4.36E-2</v>
      </c>
      <c r="J11">
        <v>5.5300000000000002E-2</v>
      </c>
      <c r="K11">
        <v>0</v>
      </c>
      <c r="L11">
        <v>67.400000000000006</v>
      </c>
      <c r="M11">
        <v>8.2699999999999996E-2</v>
      </c>
      <c r="N11">
        <v>102.15260000000001</v>
      </c>
      <c r="O11" t="s">
        <v>340</v>
      </c>
      <c r="Q11">
        <f t="shared" si="0"/>
        <v>67.712700000000012</v>
      </c>
      <c r="R11">
        <f>I11-(K11*Standards!$I$15)</f>
        <v>4.36E-2</v>
      </c>
      <c r="S11">
        <f t="shared" si="1"/>
        <v>6.4320000000000002E-2</v>
      </c>
      <c r="T11" t="s">
        <v>17</v>
      </c>
      <c r="U11">
        <f>COUNT(R11:R25)</f>
        <v>15</v>
      </c>
      <c r="V11">
        <f>MAX(H11:H25)</f>
        <v>1.95</v>
      </c>
      <c r="W11">
        <f>AVERAGE(H11:H25)</f>
        <v>1.5782133333333332</v>
      </c>
      <c r="X11">
        <f>MAX(J11:J25)</f>
        <v>0.39900000000000002</v>
      </c>
      <c r="Y11">
        <f>AVERAGE(J11:J25)</f>
        <v>8.1906666666666655E-2</v>
      </c>
      <c r="Z11">
        <f>10000*MAX(R11:R25)</f>
        <v>743</v>
      </c>
      <c r="AA11">
        <f>10000*AVERAGE(R11:R25)</f>
        <v>322.33477166666665</v>
      </c>
      <c r="AB11">
        <f>10000*MAX(G11:G25)</f>
        <v>1538</v>
      </c>
      <c r="AC11">
        <f>10000*AVERAGE(G11:G25)</f>
        <v>1400.0666666666671</v>
      </c>
      <c r="AD11">
        <f>10000*MAX(S11:S25)</f>
        <v>643.20000000000005</v>
      </c>
      <c r="AE11">
        <f>10000*AVERAGE(S11:S25)</f>
        <v>514.71333333333325</v>
      </c>
    </row>
    <row r="12" spans="1:31">
      <c r="A12">
        <v>112</v>
      </c>
      <c r="B12">
        <v>0</v>
      </c>
      <c r="C12">
        <v>6.4399999999999999E-2</v>
      </c>
      <c r="D12">
        <v>34</v>
      </c>
      <c r="E12">
        <v>4.4900000000000002E-2</v>
      </c>
      <c r="F12">
        <v>0</v>
      </c>
      <c r="G12">
        <v>0.14219999999999999</v>
      </c>
      <c r="H12">
        <v>0.34050000000000002</v>
      </c>
      <c r="I12">
        <v>7.4300000000000005E-2</v>
      </c>
      <c r="J12">
        <v>5.2900000000000003E-2</v>
      </c>
      <c r="K12">
        <v>0</v>
      </c>
      <c r="L12">
        <v>67.23</v>
      </c>
      <c r="M12">
        <v>0.1144</v>
      </c>
      <c r="N12">
        <v>102.06359999999999</v>
      </c>
      <c r="O12" t="s">
        <v>340</v>
      </c>
      <c r="Q12">
        <f t="shared" si="0"/>
        <v>67.57050000000001</v>
      </c>
      <c r="R12">
        <f>I12-(K12*Standards!$I$15)</f>
        <v>7.4300000000000005E-2</v>
      </c>
      <c r="S12">
        <f t="shared" si="1"/>
        <v>6.0684999999999996E-2</v>
      </c>
      <c r="T12" t="s">
        <v>17</v>
      </c>
    </row>
    <row r="13" spans="1:31">
      <c r="A13">
        <v>109</v>
      </c>
      <c r="B13">
        <v>0</v>
      </c>
      <c r="C13">
        <v>5.3199999999999997E-2</v>
      </c>
      <c r="D13">
        <v>34.049999999999997</v>
      </c>
      <c r="E13">
        <v>5.0099999999999999E-2</v>
      </c>
      <c r="F13">
        <v>0</v>
      </c>
      <c r="G13">
        <v>0.13200000000000001</v>
      </c>
      <c r="H13">
        <v>1.59</v>
      </c>
      <c r="I13">
        <v>2.6499999999999999E-2</v>
      </c>
      <c r="J13">
        <v>5.0299999999999997E-2</v>
      </c>
      <c r="K13">
        <v>0</v>
      </c>
      <c r="L13">
        <v>66.319999999999993</v>
      </c>
      <c r="M13">
        <v>9.4600000000000004E-2</v>
      </c>
      <c r="N13">
        <v>102.36660000000001</v>
      </c>
      <c r="O13" t="s">
        <v>340</v>
      </c>
      <c r="Q13">
        <f t="shared" si="0"/>
        <v>67.91</v>
      </c>
      <c r="R13">
        <f>I13-(K13*Standards!$I$15)</f>
        <v>2.6499999999999999E-2</v>
      </c>
      <c r="S13">
        <f t="shared" si="1"/>
        <v>5.1874999999999998E-2</v>
      </c>
      <c r="T13" t="s">
        <v>17</v>
      </c>
    </row>
    <row r="14" spans="1:31">
      <c r="A14">
        <v>86</v>
      </c>
      <c r="B14">
        <v>0</v>
      </c>
      <c r="C14">
        <v>4.6699999999999998E-2</v>
      </c>
      <c r="D14">
        <v>34.07</v>
      </c>
      <c r="E14">
        <v>5.5300000000000002E-2</v>
      </c>
      <c r="F14">
        <v>0</v>
      </c>
      <c r="G14">
        <v>0.12909999999999999</v>
      </c>
      <c r="H14">
        <v>1.68</v>
      </c>
      <c r="I14">
        <v>2.5000000000000001E-2</v>
      </c>
      <c r="J14">
        <v>1.61E-2</v>
      </c>
      <c r="K14">
        <v>0</v>
      </c>
      <c r="L14">
        <v>66.02</v>
      </c>
      <c r="M14">
        <v>8.8900000000000007E-2</v>
      </c>
      <c r="N14">
        <v>102.1311</v>
      </c>
      <c r="O14" t="s">
        <v>340</v>
      </c>
      <c r="Q14">
        <f t="shared" si="0"/>
        <v>67.7</v>
      </c>
      <c r="R14">
        <f>I14-(K14*Standards!$I$15)</f>
        <v>2.5000000000000001E-2</v>
      </c>
      <c r="S14">
        <f t="shared" si="1"/>
        <v>4.5449999999999997E-2</v>
      </c>
      <c r="T14" t="s">
        <v>17</v>
      </c>
    </row>
    <row r="15" spans="1:31">
      <c r="A15">
        <v>85</v>
      </c>
      <c r="B15">
        <v>0</v>
      </c>
      <c r="C15">
        <v>5.1200000000000002E-2</v>
      </c>
      <c r="D15">
        <v>34.159999999999997</v>
      </c>
      <c r="E15">
        <v>5.2499999999999998E-2</v>
      </c>
      <c r="F15">
        <v>0</v>
      </c>
      <c r="G15">
        <v>0.13270000000000001</v>
      </c>
      <c r="H15">
        <v>1.72</v>
      </c>
      <c r="I15">
        <v>2.9700000000000001E-2</v>
      </c>
      <c r="J15">
        <v>2.9100000000000001E-2</v>
      </c>
      <c r="K15">
        <v>0</v>
      </c>
      <c r="L15">
        <v>66.010000000000005</v>
      </c>
      <c r="M15">
        <v>7.4399999999999994E-2</v>
      </c>
      <c r="N15">
        <v>102.25960000000001</v>
      </c>
      <c r="O15" t="s">
        <v>340</v>
      </c>
      <c r="Q15">
        <f t="shared" si="0"/>
        <v>67.73</v>
      </c>
      <c r="R15">
        <f>I15-(K15*Standards!$I$15)</f>
        <v>2.9700000000000001E-2</v>
      </c>
      <c r="S15">
        <f t="shared" si="1"/>
        <v>4.9715000000000002E-2</v>
      </c>
      <c r="T15" t="s">
        <v>17</v>
      </c>
    </row>
    <row r="16" spans="1:31">
      <c r="A16">
        <v>91</v>
      </c>
      <c r="B16">
        <v>0</v>
      </c>
      <c r="C16">
        <v>5.0200000000000002E-2</v>
      </c>
      <c r="D16">
        <v>34.14</v>
      </c>
      <c r="E16">
        <v>4.8899999999999999E-2</v>
      </c>
      <c r="F16">
        <v>0</v>
      </c>
      <c r="G16">
        <v>0.13439999999999999</v>
      </c>
      <c r="H16">
        <v>1.62</v>
      </c>
      <c r="I16">
        <v>2.4400000000000002E-2</v>
      </c>
      <c r="J16">
        <v>6.1800000000000001E-2</v>
      </c>
      <c r="K16">
        <v>1.8E-3</v>
      </c>
      <c r="L16">
        <v>66.010000000000005</v>
      </c>
      <c r="M16">
        <v>9.5699999999999993E-2</v>
      </c>
      <c r="N16">
        <v>102.1871</v>
      </c>
      <c r="O16" t="s">
        <v>340</v>
      </c>
      <c r="Q16">
        <f t="shared" si="0"/>
        <v>67.63000000000001</v>
      </c>
      <c r="R16">
        <f>I16-(K16*Standards!$I$15)</f>
        <v>2.4396017500000002E-2</v>
      </c>
      <c r="S16">
        <f t="shared" si="1"/>
        <v>4.8980000000000003E-2</v>
      </c>
      <c r="T16" t="s">
        <v>17</v>
      </c>
    </row>
    <row r="17" spans="1:31">
      <c r="A17">
        <v>87</v>
      </c>
      <c r="B17">
        <v>0</v>
      </c>
      <c r="C17">
        <v>4.7600000000000003E-2</v>
      </c>
      <c r="D17">
        <v>33.96</v>
      </c>
      <c r="E17">
        <v>5.33E-2</v>
      </c>
      <c r="F17">
        <v>0</v>
      </c>
      <c r="G17">
        <v>0.14419999999999999</v>
      </c>
      <c r="H17">
        <v>1.87</v>
      </c>
      <c r="I17">
        <v>3.0499999999999999E-2</v>
      </c>
      <c r="J17">
        <v>4.1500000000000002E-2</v>
      </c>
      <c r="K17">
        <v>0</v>
      </c>
      <c r="L17">
        <v>65.959999999999994</v>
      </c>
      <c r="M17">
        <v>0.10100000000000001</v>
      </c>
      <c r="N17">
        <v>102.208</v>
      </c>
      <c r="O17" t="s">
        <v>340</v>
      </c>
      <c r="Q17">
        <f t="shared" si="0"/>
        <v>67.83</v>
      </c>
      <c r="R17">
        <f>I17-(K17*Standards!$I$15)</f>
        <v>3.0499999999999999E-2</v>
      </c>
      <c r="S17">
        <f t="shared" si="1"/>
        <v>4.6075000000000005E-2</v>
      </c>
      <c r="T17" t="s">
        <v>17</v>
      </c>
    </row>
    <row r="18" spans="1:31">
      <c r="A18">
        <v>92</v>
      </c>
      <c r="B18">
        <v>0</v>
      </c>
      <c r="C18">
        <v>5.04E-2</v>
      </c>
      <c r="D18">
        <v>33.99</v>
      </c>
      <c r="E18">
        <v>4.9299999999999997E-2</v>
      </c>
      <c r="F18">
        <v>0</v>
      </c>
      <c r="G18">
        <v>0.1323</v>
      </c>
      <c r="H18">
        <v>1.59</v>
      </c>
      <c r="I18">
        <v>2.64E-2</v>
      </c>
      <c r="J18">
        <v>7.4399999999999994E-2</v>
      </c>
      <c r="K18">
        <v>1.67E-2</v>
      </c>
      <c r="L18">
        <v>65.849999999999994</v>
      </c>
      <c r="M18">
        <v>0.10489999999999999</v>
      </c>
      <c r="N18">
        <v>101.8844</v>
      </c>
      <c r="O18" t="s">
        <v>340</v>
      </c>
      <c r="Q18">
        <f t="shared" si="0"/>
        <v>67.44</v>
      </c>
      <c r="R18">
        <f>I18-(K18*Standards!$I$15)</f>
        <v>2.6363051249999998E-2</v>
      </c>
      <c r="S18">
        <f t="shared" si="1"/>
        <v>4.9079999999999999E-2</v>
      </c>
      <c r="T18" t="s">
        <v>17</v>
      </c>
    </row>
    <row r="19" spans="1:31">
      <c r="A19">
        <v>88</v>
      </c>
      <c r="B19">
        <v>0</v>
      </c>
      <c r="C19">
        <v>6.2E-2</v>
      </c>
      <c r="D19">
        <v>34.14</v>
      </c>
      <c r="E19">
        <v>6.5799999999999997E-2</v>
      </c>
      <c r="F19">
        <v>0</v>
      </c>
      <c r="G19">
        <v>0.15229999999999999</v>
      </c>
      <c r="H19">
        <v>1.95</v>
      </c>
      <c r="I19">
        <v>3.2099999999999997E-2</v>
      </c>
      <c r="J19">
        <v>5.9400000000000001E-2</v>
      </c>
      <c r="K19">
        <v>0</v>
      </c>
      <c r="L19">
        <v>65.790000000000006</v>
      </c>
      <c r="M19">
        <v>9.0700000000000003E-2</v>
      </c>
      <c r="N19">
        <v>102.34220000000001</v>
      </c>
      <c r="O19" t="s">
        <v>340</v>
      </c>
      <c r="Q19">
        <f t="shared" si="0"/>
        <v>67.740000000000009</v>
      </c>
      <c r="R19">
        <f>I19-(K19*Standards!$I$15)</f>
        <v>3.2099999999999997E-2</v>
      </c>
      <c r="S19">
        <f t="shared" si="1"/>
        <v>6.0394999999999997E-2</v>
      </c>
      <c r="T19" t="s">
        <v>17</v>
      </c>
    </row>
    <row r="20" spans="1:31">
      <c r="A20">
        <v>89</v>
      </c>
      <c r="B20">
        <v>0</v>
      </c>
      <c r="C20">
        <v>5.0200000000000002E-2</v>
      </c>
      <c r="D20">
        <v>34</v>
      </c>
      <c r="E20">
        <v>4.7199999999999999E-2</v>
      </c>
      <c r="F20">
        <v>0</v>
      </c>
      <c r="G20">
        <v>0.13800000000000001</v>
      </c>
      <c r="H20">
        <v>1.72</v>
      </c>
      <c r="I20">
        <v>3.7400000000000003E-2</v>
      </c>
      <c r="J20">
        <v>3.0700000000000002E-2</v>
      </c>
      <c r="K20">
        <v>0</v>
      </c>
      <c r="L20">
        <v>65.790000000000006</v>
      </c>
      <c r="M20">
        <v>7.7700000000000005E-2</v>
      </c>
      <c r="N20">
        <v>101.8912</v>
      </c>
      <c r="O20" t="s">
        <v>340</v>
      </c>
      <c r="Q20">
        <f t="shared" si="0"/>
        <v>67.510000000000005</v>
      </c>
      <c r="R20">
        <f>I20-(K20*Standards!$I$15)</f>
        <v>3.7400000000000003E-2</v>
      </c>
      <c r="S20">
        <f t="shared" si="1"/>
        <v>4.8329999999999998E-2</v>
      </c>
      <c r="T20" t="s">
        <v>17</v>
      </c>
    </row>
    <row r="21" spans="1:31">
      <c r="A21">
        <v>83</v>
      </c>
      <c r="B21">
        <v>0</v>
      </c>
      <c r="C21">
        <v>4.9599999999999998E-2</v>
      </c>
      <c r="D21">
        <v>34.1</v>
      </c>
      <c r="E21">
        <v>5.33E-2</v>
      </c>
      <c r="F21">
        <v>0</v>
      </c>
      <c r="G21">
        <v>0.15060000000000001</v>
      </c>
      <c r="H21">
        <v>1.72</v>
      </c>
      <c r="I21">
        <v>3.5799999999999998E-2</v>
      </c>
      <c r="J21">
        <v>3.49E-2</v>
      </c>
      <c r="K21">
        <v>0</v>
      </c>
      <c r="L21">
        <v>65.77</v>
      </c>
      <c r="M21">
        <v>8.72E-2</v>
      </c>
      <c r="N21">
        <v>102.0013</v>
      </c>
      <c r="O21" t="s">
        <v>340</v>
      </c>
      <c r="Q21">
        <f t="shared" si="0"/>
        <v>67.489999999999995</v>
      </c>
      <c r="R21">
        <f>I21-(K21*Standards!$I$15)</f>
        <v>3.5799999999999998E-2</v>
      </c>
      <c r="S21">
        <f t="shared" si="1"/>
        <v>4.7809999999999998E-2</v>
      </c>
      <c r="T21" t="s">
        <v>17</v>
      </c>
    </row>
    <row r="22" spans="1:31">
      <c r="A22">
        <v>107</v>
      </c>
      <c r="B22">
        <v>0</v>
      </c>
      <c r="C22">
        <v>5.21E-2</v>
      </c>
      <c r="D22">
        <v>34.049999999999997</v>
      </c>
      <c r="E22">
        <v>6.6500000000000004E-2</v>
      </c>
      <c r="F22">
        <v>0</v>
      </c>
      <c r="G22">
        <v>0.13689999999999999</v>
      </c>
      <c r="H22">
        <v>1.89</v>
      </c>
      <c r="I22">
        <v>2.5000000000000001E-2</v>
      </c>
      <c r="J22">
        <v>0.18590000000000001</v>
      </c>
      <c r="K22">
        <v>0.11990000000000001</v>
      </c>
      <c r="L22">
        <v>65.77</v>
      </c>
      <c r="M22">
        <v>7.7499999999999999E-2</v>
      </c>
      <c r="N22">
        <v>102.3737</v>
      </c>
      <c r="O22" t="s">
        <v>340</v>
      </c>
      <c r="Q22">
        <f t="shared" si="0"/>
        <v>67.66</v>
      </c>
      <c r="R22">
        <f>I22-(K22*Standards!$I$15)</f>
        <v>2.4734721250000001E-2</v>
      </c>
      <c r="S22">
        <f t="shared" si="1"/>
        <v>5.0849999999999999E-2</v>
      </c>
      <c r="T22" t="s">
        <v>17</v>
      </c>
    </row>
    <row r="23" spans="1:31">
      <c r="A23">
        <v>84</v>
      </c>
      <c r="B23">
        <v>0</v>
      </c>
      <c r="C23">
        <v>4.99E-2</v>
      </c>
      <c r="D23">
        <v>34.130000000000003</v>
      </c>
      <c r="E23">
        <v>7.1499999999999994E-2</v>
      </c>
      <c r="F23">
        <v>0</v>
      </c>
      <c r="G23">
        <v>0.15079999999999999</v>
      </c>
      <c r="H23">
        <v>1.89</v>
      </c>
      <c r="I23">
        <v>2.6700000000000002E-2</v>
      </c>
      <c r="J23">
        <v>4.4400000000000002E-2</v>
      </c>
      <c r="K23">
        <v>0</v>
      </c>
      <c r="L23">
        <v>65.650000000000006</v>
      </c>
      <c r="M23">
        <v>7.5399999999999995E-2</v>
      </c>
      <c r="N23">
        <v>102.0886</v>
      </c>
      <c r="O23" t="s">
        <v>340</v>
      </c>
      <c r="Q23">
        <f t="shared" si="0"/>
        <v>67.540000000000006</v>
      </c>
      <c r="R23">
        <f>I23-(K23*Standards!$I$15)</f>
        <v>2.6700000000000002E-2</v>
      </c>
      <c r="S23">
        <f t="shared" si="1"/>
        <v>4.8564999999999997E-2</v>
      </c>
      <c r="T23" t="s">
        <v>17</v>
      </c>
    </row>
    <row r="24" spans="1:31">
      <c r="A24">
        <v>108</v>
      </c>
      <c r="B24">
        <v>0</v>
      </c>
      <c r="C24">
        <v>0.06</v>
      </c>
      <c r="D24">
        <v>34.24</v>
      </c>
      <c r="E24">
        <v>5.2299999999999999E-2</v>
      </c>
      <c r="F24">
        <v>3.8E-3</v>
      </c>
      <c r="G24">
        <v>0.15379999999999999</v>
      </c>
      <c r="H24">
        <v>1.88</v>
      </c>
      <c r="I24">
        <v>2.0899999999999998E-2</v>
      </c>
      <c r="J24">
        <v>9.2899999999999996E-2</v>
      </c>
      <c r="K24">
        <v>0</v>
      </c>
      <c r="L24">
        <v>65.45</v>
      </c>
      <c r="M24">
        <v>8.1199999999999994E-2</v>
      </c>
      <c r="N24">
        <v>102.03489999999999</v>
      </c>
      <c r="O24" t="s">
        <v>340</v>
      </c>
      <c r="Q24">
        <f t="shared" si="0"/>
        <v>67.33</v>
      </c>
      <c r="R24">
        <f>I24-(K24*Standards!$I$15)</f>
        <v>2.0899999999999998E-2</v>
      </c>
      <c r="S24">
        <f t="shared" si="1"/>
        <v>5.8955E-2</v>
      </c>
      <c r="T24" t="s">
        <v>17</v>
      </c>
    </row>
    <row r="25" spans="1:31">
      <c r="A25">
        <v>90</v>
      </c>
      <c r="B25">
        <v>0</v>
      </c>
      <c r="C25">
        <v>4.2299999999999997E-2</v>
      </c>
      <c r="D25">
        <v>34.21</v>
      </c>
      <c r="E25">
        <v>4.8300000000000003E-2</v>
      </c>
      <c r="F25">
        <v>0</v>
      </c>
      <c r="G25">
        <v>0.14430000000000001</v>
      </c>
      <c r="H25">
        <v>1.9</v>
      </c>
      <c r="I25">
        <v>2.63E-2</v>
      </c>
      <c r="J25">
        <v>0.39900000000000002</v>
      </c>
      <c r="K25">
        <v>0.35780000000000001</v>
      </c>
      <c r="L25">
        <v>65.34</v>
      </c>
      <c r="M25">
        <v>7.5499999999999998E-2</v>
      </c>
      <c r="N25">
        <v>102.54340000000001</v>
      </c>
      <c r="O25" t="s">
        <v>340</v>
      </c>
      <c r="Q25">
        <f t="shared" si="0"/>
        <v>67.240000000000009</v>
      </c>
      <c r="R25">
        <f>I25-(K25*Standards!$I$15)</f>
        <v>2.55083675E-2</v>
      </c>
      <c r="S25">
        <f t="shared" si="1"/>
        <v>4.0984999999999994E-2</v>
      </c>
      <c r="T25" t="s">
        <v>17</v>
      </c>
    </row>
    <row r="26" spans="1:31">
      <c r="A26">
        <v>47</v>
      </c>
      <c r="B26">
        <v>0</v>
      </c>
      <c r="C26">
        <v>6.1400000000000003E-2</v>
      </c>
      <c r="D26">
        <v>33.229999999999997</v>
      </c>
      <c r="E26">
        <v>4.7399999999999998E-2</v>
      </c>
      <c r="F26">
        <v>0</v>
      </c>
      <c r="G26">
        <v>0.19470000000000001</v>
      </c>
      <c r="H26">
        <v>1.02</v>
      </c>
      <c r="I26">
        <v>0.82220000000000004</v>
      </c>
      <c r="J26">
        <v>6.06</v>
      </c>
      <c r="K26">
        <v>1.32</v>
      </c>
      <c r="L26">
        <v>58.77</v>
      </c>
      <c r="M26">
        <v>0.2979</v>
      </c>
      <c r="N26">
        <v>101.8235</v>
      </c>
      <c r="O26" t="s">
        <v>341</v>
      </c>
      <c r="Q26">
        <f t="shared" si="0"/>
        <v>59.790000000000006</v>
      </c>
      <c r="R26">
        <f>I26-(K26*Standards!$I$15)</f>
        <v>0.81927950000000005</v>
      </c>
      <c r="S26">
        <f t="shared" si="1"/>
        <v>2.0289999999999996E-2</v>
      </c>
      <c r="T26" t="s">
        <v>24</v>
      </c>
      <c r="U26">
        <f>COUNT(R26:R84)</f>
        <v>59</v>
      </c>
      <c r="V26">
        <f>MAX(H26:H84)</f>
        <v>12.01</v>
      </c>
      <c r="W26">
        <f>AVERAGE(H26:H84)</f>
        <v>8.5161220338983075</v>
      </c>
      <c r="X26">
        <f>MAX(J26:J84)</f>
        <v>7.27</v>
      </c>
      <c r="Y26">
        <f>AVERAGE(J26:J84)</f>
        <v>0.84922372881355934</v>
      </c>
      <c r="Z26">
        <f>10000*MAX(R26:R84)</f>
        <v>14200</v>
      </c>
      <c r="AA26">
        <f>10000*AVERAGE(R26:R84)</f>
        <v>1416.0218353813564</v>
      </c>
      <c r="AB26">
        <f>10000*MAX(G26:G84)</f>
        <v>9474</v>
      </c>
      <c r="AC26">
        <f>10000*AVERAGE(G26:G84)</f>
        <v>1645.6949152542384</v>
      </c>
      <c r="AD26">
        <f>10000*MAX(S26:S84)</f>
        <v>610.15</v>
      </c>
      <c r="AE26">
        <f>10000*AVERAGE(S26:S84)</f>
        <v>348.44406779661017</v>
      </c>
    </row>
    <row r="27" spans="1:31">
      <c r="A27">
        <v>2</v>
      </c>
      <c r="B27">
        <v>0</v>
      </c>
      <c r="C27">
        <v>6.1100000000000002E-2</v>
      </c>
      <c r="D27">
        <v>33.76</v>
      </c>
      <c r="E27">
        <v>6.9999999999999999E-4</v>
      </c>
      <c r="F27">
        <v>0</v>
      </c>
      <c r="G27">
        <v>2.5999999999999999E-2</v>
      </c>
      <c r="H27">
        <v>5.7299999999999997E-2</v>
      </c>
      <c r="I27">
        <v>1.6999999999999999E-3</v>
      </c>
      <c r="J27">
        <v>0.24590000000000001</v>
      </c>
      <c r="K27">
        <v>0</v>
      </c>
      <c r="L27">
        <v>67.56</v>
      </c>
      <c r="M27">
        <v>0.1017</v>
      </c>
      <c r="N27">
        <v>101.8143</v>
      </c>
      <c r="O27" t="s">
        <v>342</v>
      </c>
      <c r="Q27">
        <f t="shared" si="0"/>
        <v>67.6173</v>
      </c>
      <c r="R27">
        <f>I27-(K27*Standards!$I$15)</f>
        <v>1.6999999999999999E-3</v>
      </c>
      <c r="S27">
        <f t="shared" si="1"/>
        <v>6.1015E-2</v>
      </c>
      <c r="T27" t="s">
        <v>24</v>
      </c>
    </row>
    <row r="28" spans="1:31">
      <c r="A28">
        <v>8</v>
      </c>
      <c r="B28">
        <v>0</v>
      </c>
      <c r="C28">
        <v>4.6300000000000001E-2</v>
      </c>
      <c r="D28">
        <v>33.83</v>
      </c>
      <c r="E28">
        <v>5.1000000000000004E-3</v>
      </c>
      <c r="F28">
        <v>0</v>
      </c>
      <c r="G28">
        <v>9.9000000000000008E-3</v>
      </c>
      <c r="H28">
        <v>0.26540000000000002</v>
      </c>
      <c r="I28">
        <v>8.5000000000000006E-3</v>
      </c>
      <c r="J28">
        <v>8.9399999999999993E-2</v>
      </c>
      <c r="K28">
        <v>0</v>
      </c>
      <c r="L28">
        <v>67.25</v>
      </c>
      <c r="M28">
        <v>0.12039999999999999</v>
      </c>
      <c r="N28">
        <v>101.6249</v>
      </c>
      <c r="O28" t="s">
        <v>342</v>
      </c>
      <c r="Q28">
        <f t="shared" si="0"/>
        <v>67.5154</v>
      </c>
      <c r="R28">
        <f>I28-(K28*Standards!$I$15)</f>
        <v>8.5000000000000006E-3</v>
      </c>
      <c r="S28">
        <f t="shared" si="1"/>
        <v>4.5874999999999999E-2</v>
      </c>
      <c r="T28" t="s">
        <v>24</v>
      </c>
    </row>
    <row r="29" spans="1:31">
      <c r="A29">
        <v>1</v>
      </c>
      <c r="B29">
        <v>0</v>
      </c>
      <c r="C29">
        <v>5.5800000000000002E-2</v>
      </c>
      <c r="D29">
        <v>33.53</v>
      </c>
      <c r="E29">
        <v>5.04E-2</v>
      </c>
      <c r="F29">
        <v>0</v>
      </c>
      <c r="G29">
        <v>0.1043</v>
      </c>
      <c r="H29">
        <v>0.1258</v>
      </c>
      <c r="I29">
        <v>7.0900000000000005E-2</v>
      </c>
      <c r="J29">
        <v>0.1749</v>
      </c>
      <c r="K29">
        <v>0</v>
      </c>
      <c r="L29">
        <v>67.14</v>
      </c>
      <c r="M29">
        <v>0.1065</v>
      </c>
      <c r="N29">
        <v>101.3586</v>
      </c>
      <c r="O29" t="s">
        <v>342</v>
      </c>
      <c r="Q29">
        <f t="shared" si="0"/>
        <v>67.265799999999999</v>
      </c>
      <c r="R29">
        <f>I29-(K29*Standards!$I$15)</f>
        <v>7.0900000000000005E-2</v>
      </c>
      <c r="S29">
        <f t="shared" si="1"/>
        <v>5.2255000000000003E-2</v>
      </c>
      <c r="T29" t="s">
        <v>24</v>
      </c>
    </row>
    <row r="30" spans="1:31">
      <c r="A30">
        <v>50</v>
      </c>
      <c r="B30">
        <v>0</v>
      </c>
      <c r="C30">
        <v>5.5100000000000003E-2</v>
      </c>
      <c r="D30">
        <v>33.83</v>
      </c>
      <c r="E30">
        <v>8.8900000000000007E-2</v>
      </c>
      <c r="F30">
        <v>0</v>
      </c>
      <c r="G30">
        <v>0.2656</v>
      </c>
      <c r="H30">
        <v>0.18149999999999999</v>
      </c>
      <c r="I30">
        <v>0.14369999999999999</v>
      </c>
      <c r="J30">
        <v>0.3543</v>
      </c>
      <c r="K30">
        <v>5.5899999999999998E-2</v>
      </c>
      <c r="L30">
        <v>67.09</v>
      </c>
      <c r="M30">
        <v>7.6600000000000001E-2</v>
      </c>
      <c r="N30">
        <v>102.14149999999999</v>
      </c>
      <c r="O30" t="s">
        <v>342</v>
      </c>
      <c r="Q30">
        <f t="shared" si="0"/>
        <v>67.271500000000003</v>
      </c>
      <c r="R30">
        <f>I30-(K30*Standards!$I$15)</f>
        <v>0.14357632125</v>
      </c>
      <c r="S30">
        <f t="shared" si="1"/>
        <v>4.7914999999999999E-2</v>
      </c>
      <c r="T30" t="s">
        <v>24</v>
      </c>
    </row>
    <row r="31" spans="1:31">
      <c r="A31">
        <v>7</v>
      </c>
      <c r="B31">
        <v>0</v>
      </c>
      <c r="C31">
        <v>5.8999999999999997E-2</v>
      </c>
      <c r="D31">
        <v>33.590000000000003</v>
      </c>
      <c r="E31">
        <v>1.61E-2</v>
      </c>
      <c r="F31">
        <v>0</v>
      </c>
      <c r="G31">
        <v>1.15E-2</v>
      </c>
      <c r="H31">
        <v>6.1199999999999997E-2</v>
      </c>
      <c r="I31">
        <v>2.4E-2</v>
      </c>
      <c r="J31">
        <v>0.2054</v>
      </c>
      <c r="K31">
        <v>0</v>
      </c>
      <c r="L31">
        <v>67.06</v>
      </c>
      <c r="M31">
        <v>9.8199999999999996E-2</v>
      </c>
      <c r="N31">
        <v>101.1253</v>
      </c>
      <c r="O31" t="s">
        <v>342</v>
      </c>
      <c r="Q31">
        <f t="shared" si="0"/>
        <v>67.121200000000002</v>
      </c>
      <c r="R31">
        <f>I31-(K31*Standards!$I$15)</f>
        <v>2.4E-2</v>
      </c>
      <c r="S31">
        <f t="shared" si="1"/>
        <v>5.7799999999999997E-2</v>
      </c>
      <c r="T31" t="s">
        <v>24</v>
      </c>
    </row>
    <row r="32" spans="1:31">
      <c r="A32">
        <v>48</v>
      </c>
      <c r="B32">
        <v>0</v>
      </c>
      <c r="C32">
        <v>6.13E-2</v>
      </c>
      <c r="D32">
        <v>33.68</v>
      </c>
      <c r="E32">
        <v>0.1661</v>
      </c>
      <c r="F32">
        <v>0</v>
      </c>
      <c r="G32">
        <v>0.42170000000000002</v>
      </c>
      <c r="H32">
        <v>7.0099999999999996E-2</v>
      </c>
      <c r="I32">
        <v>0.23530000000000001</v>
      </c>
      <c r="J32">
        <v>0.57340000000000002</v>
      </c>
      <c r="K32">
        <v>1E-3</v>
      </c>
      <c r="L32">
        <v>66.66</v>
      </c>
      <c r="M32">
        <v>0.10059999999999999</v>
      </c>
      <c r="N32">
        <v>101.96939999999999</v>
      </c>
      <c r="O32" t="s">
        <v>342</v>
      </c>
      <c r="Q32">
        <f t="shared" si="0"/>
        <v>66.730099999999993</v>
      </c>
      <c r="R32">
        <f>I32-(K32*Standards!$I$15)</f>
        <v>0.23529778750000002</v>
      </c>
      <c r="S32">
        <f t="shared" si="1"/>
        <v>4.9534999999999996E-2</v>
      </c>
      <c r="T32" t="s">
        <v>24</v>
      </c>
    </row>
    <row r="33" spans="1:20">
      <c r="A33">
        <v>49</v>
      </c>
      <c r="B33">
        <v>0</v>
      </c>
      <c r="C33">
        <v>6.13E-2</v>
      </c>
      <c r="D33">
        <v>33.74</v>
      </c>
      <c r="E33">
        <v>0.37540000000000001</v>
      </c>
      <c r="F33">
        <v>0</v>
      </c>
      <c r="G33">
        <v>0.90010000000000001</v>
      </c>
      <c r="H33">
        <v>0.14899999999999999</v>
      </c>
      <c r="I33">
        <v>0.2001</v>
      </c>
      <c r="J33">
        <v>0.43559999999999999</v>
      </c>
      <c r="K33">
        <v>0</v>
      </c>
      <c r="L33">
        <v>66.56</v>
      </c>
      <c r="M33">
        <v>9.01E-2</v>
      </c>
      <c r="N33">
        <v>102.5115</v>
      </c>
      <c r="O33" t="s">
        <v>342</v>
      </c>
      <c r="Q33">
        <f t="shared" si="0"/>
        <v>66.709000000000003</v>
      </c>
      <c r="R33">
        <f>I33-(K33*Standards!$I$15)</f>
        <v>0.2001</v>
      </c>
      <c r="S33">
        <f t="shared" si="1"/>
        <v>5.1295E-2</v>
      </c>
      <c r="T33" t="s">
        <v>24</v>
      </c>
    </row>
    <row r="34" spans="1:20">
      <c r="A34">
        <v>6</v>
      </c>
      <c r="B34">
        <v>2.8500000000000001E-2</v>
      </c>
      <c r="C34">
        <v>5.8500000000000003E-2</v>
      </c>
      <c r="D34">
        <v>33.19</v>
      </c>
      <c r="E34">
        <v>0.41089999999999999</v>
      </c>
      <c r="F34">
        <v>0</v>
      </c>
      <c r="G34">
        <v>0.94740000000000002</v>
      </c>
      <c r="H34">
        <v>0.73329999999999995</v>
      </c>
      <c r="I34">
        <v>0.23899999999999999</v>
      </c>
      <c r="J34">
        <v>3.65</v>
      </c>
      <c r="K34">
        <v>0</v>
      </c>
      <c r="L34">
        <v>62.53</v>
      </c>
      <c r="M34">
        <v>0.1893</v>
      </c>
      <c r="N34">
        <v>101.9768</v>
      </c>
      <c r="O34" t="s">
        <v>342</v>
      </c>
      <c r="Q34">
        <f t="shared" si="0"/>
        <v>63.263300000000001</v>
      </c>
      <c r="R34">
        <f>I34-(K34*Standards!$I$15)</f>
        <v>0.23899999999999999</v>
      </c>
      <c r="S34">
        <f t="shared" si="1"/>
        <v>4.6550000000000001E-2</v>
      </c>
      <c r="T34" t="s">
        <v>24</v>
      </c>
    </row>
    <row r="35" spans="1:20">
      <c r="A35">
        <v>9</v>
      </c>
      <c r="B35">
        <v>0.17119999999999999</v>
      </c>
      <c r="C35">
        <v>3.1800000000000002E-2</v>
      </c>
      <c r="D35">
        <v>32.25</v>
      </c>
      <c r="E35">
        <v>9.4899999999999998E-2</v>
      </c>
      <c r="F35">
        <v>0</v>
      </c>
      <c r="G35">
        <v>0.20880000000000001</v>
      </c>
      <c r="H35">
        <v>0.78759999999999997</v>
      </c>
      <c r="I35">
        <v>0.1794</v>
      </c>
      <c r="J35">
        <v>5.08</v>
      </c>
      <c r="K35">
        <v>1.12E-2</v>
      </c>
      <c r="L35">
        <v>61.86</v>
      </c>
      <c r="M35">
        <v>0.2492</v>
      </c>
      <c r="N35">
        <v>100.92400000000001</v>
      </c>
      <c r="O35" t="s">
        <v>342</v>
      </c>
      <c r="Q35">
        <f t="shared" si="0"/>
        <v>62.647599999999997</v>
      </c>
      <c r="R35">
        <f>I35-(K35*Standards!$I$15)</f>
        <v>0.17937522</v>
      </c>
      <c r="S35">
        <f t="shared" si="1"/>
        <v>2.2830000000000003E-2</v>
      </c>
      <c r="T35" t="s">
        <v>24</v>
      </c>
    </row>
    <row r="36" spans="1:20">
      <c r="A36">
        <v>81</v>
      </c>
      <c r="B36">
        <v>0</v>
      </c>
      <c r="C36">
        <v>2.7699999999999999E-2</v>
      </c>
      <c r="D36">
        <v>34.590000000000003</v>
      </c>
      <c r="E36">
        <v>7.4700000000000003E-2</v>
      </c>
      <c r="F36">
        <v>0</v>
      </c>
      <c r="G36">
        <v>0.1285</v>
      </c>
      <c r="H36">
        <v>9.83</v>
      </c>
      <c r="I36">
        <v>5.5599999999999997E-2</v>
      </c>
      <c r="J36">
        <v>0.49070000000000003</v>
      </c>
      <c r="K36">
        <v>0</v>
      </c>
      <c r="L36">
        <v>57.57</v>
      </c>
      <c r="M36">
        <v>0.11550000000000001</v>
      </c>
      <c r="N36">
        <v>102.8826</v>
      </c>
      <c r="O36" t="s">
        <v>343</v>
      </c>
      <c r="Q36">
        <f t="shared" si="0"/>
        <v>67.400000000000006</v>
      </c>
      <c r="R36">
        <f>I36-(K36*Standards!$I$15)</f>
        <v>5.5599999999999997E-2</v>
      </c>
      <c r="S36">
        <f t="shared" si="1"/>
        <v>2.4919999999999998E-2</v>
      </c>
      <c r="T36" t="s">
        <v>24</v>
      </c>
    </row>
    <row r="37" spans="1:20">
      <c r="A37">
        <v>83</v>
      </c>
      <c r="B37">
        <v>0</v>
      </c>
      <c r="C37">
        <v>2.3300000000000001E-2</v>
      </c>
      <c r="D37">
        <v>34.93</v>
      </c>
      <c r="E37">
        <v>4.7899999999999998E-2</v>
      </c>
      <c r="F37">
        <v>0</v>
      </c>
      <c r="G37">
        <v>0.13089999999999999</v>
      </c>
      <c r="H37">
        <v>11.56</v>
      </c>
      <c r="I37">
        <v>1.09E-2</v>
      </c>
      <c r="J37">
        <v>1.1900000000000001E-2</v>
      </c>
      <c r="K37">
        <v>0</v>
      </c>
      <c r="L37">
        <v>56.49</v>
      </c>
      <c r="M37">
        <v>0.12609999999999999</v>
      </c>
      <c r="N37">
        <v>103.331</v>
      </c>
      <c r="O37" t="s">
        <v>343</v>
      </c>
      <c r="Q37">
        <f t="shared" si="0"/>
        <v>68.05</v>
      </c>
      <c r="R37">
        <f>I37-(K37*Standards!$I$15)</f>
        <v>1.09E-2</v>
      </c>
      <c r="S37">
        <f t="shared" si="1"/>
        <v>2.2755000000000001E-2</v>
      </c>
      <c r="T37" t="s">
        <v>24</v>
      </c>
    </row>
    <row r="38" spans="1:20">
      <c r="A38">
        <v>84</v>
      </c>
      <c r="B38">
        <v>0</v>
      </c>
      <c r="C38">
        <v>2.4899999999999999E-2</v>
      </c>
      <c r="D38">
        <v>34.64</v>
      </c>
      <c r="E38">
        <v>5.5199999999999999E-2</v>
      </c>
      <c r="F38">
        <v>1.7000000000000001E-2</v>
      </c>
      <c r="G38">
        <v>0.12520000000000001</v>
      </c>
      <c r="H38">
        <v>11.59</v>
      </c>
      <c r="I38">
        <v>5.1000000000000004E-3</v>
      </c>
      <c r="J38">
        <v>8.5599999999999996E-2</v>
      </c>
      <c r="K38">
        <v>0</v>
      </c>
      <c r="L38">
        <v>56.12</v>
      </c>
      <c r="M38">
        <v>0.10249999999999999</v>
      </c>
      <c r="N38">
        <v>102.7654</v>
      </c>
      <c r="O38" t="s">
        <v>343</v>
      </c>
      <c r="Q38">
        <f t="shared" si="0"/>
        <v>67.709999999999994</v>
      </c>
      <c r="R38">
        <f>I38-(K38*Standards!$I$15)</f>
        <v>5.1000000000000004E-3</v>
      </c>
      <c r="S38">
        <f t="shared" si="1"/>
        <v>2.4645E-2</v>
      </c>
      <c r="T38" t="s">
        <v>24</v>
      </c>
    </row>
    <row r="39" spans="1:20">
      <c r="A39">
        <v>82</v>
      </c>
      <c r="B39">
        <v>0</v>
      </c>
      <c r="C39">
        <v>1.47E-2</v>
      </c>
      <c r="D39">
        <v>34.68</v>
      </c>
      <c r="E39">
        <v>5.8299999999999998E-2</v>
      </c>
      <c r="F39">
        <v>0</v>
      </c>
      <c r="G39">
        <v>0.12130000000000001</v>
      </c>
      <c r="H39">
        <v>11.8</v>
      </c>
      <c r="I39">
        <v>4.0000000000000001E-3</v>
      </c>
      <c r="J39">
        <v>1.89E-2</v>
      </c>
      <c r="K39">
        <v>0</v>
      </c>
      <c r="L39">
        <v>56.07</v>
      </c>
      <c r="M39">
        <v>0.1033</v>
      </c>
      <c r="N39">
        <v>102.87050000000001</v>
      </c>
      <c r="O39" t="s">
        <v>343</v>
      </c>
      <c r="Q39">
        <f t="shared" si="0"/>
        <v>67.87</v>
      </c>
      <c r="R39">
        <f>I39-(K39*Standards!$I$15)</f>
        <v>4.0000000000000001E-3</v>
      </c>
      <c r="S39">
        <f t="shared" si="1"/>
        <v>1.4499999999999999E-2</v>
      </c>
      <c r="T39" t="s">
        <v>24</v>
      </c>
    </row>
    <row r="40" spans="1:20">
      <c r="A40">
        <v>111</v>
      </c>
      <c r="B40">
        <v>0</v>
      </c>
      <c r="C40">
        <v>1.8800000000000001E-2</v>
      </c>
      <c r="D40">
        <v>34.479999999999997</v>
      </c>
      <c r="E40">
        <v>7.3499999999999996E-2</v>
      </c>
      <c r="F40">
        <v>0</v>
      </c>
      <c r="G40">
        <v>0.12939999999999999</v>
      </c>
      <c r="H40">
        <v>10.63</v>
      </c>
      <c r="I40">
        <v>4.1999999999999997E-3</v>
      </c>
      <c r="J40">
        <v>0.34499999999999997</v>
      </c>
      <c r="K40">
        <v>0</v>
      </c>
      <c r="L40">
        <v>56.93</v>
      </c>
      <c r="M40">
        <v>0.1145</v>
      </c>
      <c r="N40">
        <v>102.7253</v>
      </c>
      <c r="O40" t="s">
        <v>344</v>
      </c>
      <c r="Q40">
        <f t="shared" si="0"/>
        <v>67.56</v>
      </c>
      <c r="R40">
        <f>I40-(K40*Standards!$I$15)</f>
        <v>4.1999999999999997E-3</v>
      </c>
      <c r="S40">
        <f t="shared" si="1"/>
        <v>1.8590000000000002E-2</v>
      </c>
      <c r="T40" t="s">
        <v>24</v>
      </c>
    </row>
    <row r="41" spans="1:20">
      <c r="A41">
        <v>97</v>
      </c>
      <c r="B41">
        <v>0</v>
      </c>
      <c r="C41">
        <v>3.3399999999999999E-2</v>
      </c>
      <c r="D41">
        <v>34.49</v>
      </c>
      <c r="E41">
        <v>5.8700000000000002E-2</v>
      </c>
      <c r="F41">
        <v>0</v>
      </c>
      <c r="G41">
        <v>0.13450000000000001</v>
      </c>
      <c r="H41">
        <v>9.74</v>
      </c>
      <c r="I41">
        <v>1.01E-2</v>
      </c>
      <c r="J41">
        <v>1.07</v>
      </c>
      <c r="K41">
        <v>0</v>
      </c>
      <c r="L41">
        <v>56.91</v>
      </c>
      <c r="M41">
        <v>0.1142</v>
      </c>
      <c r="N41">
        <v>102.5608</v>
      </c>
      <c r="O41" t="s">
        <v>344</v>
      </c>
      <c r="Q41">
        <f t="shared" si="0"/>
        <v>66.649999999999991</v>
      </c>
      <c r="R41">
        <f>I41-(K41*Standards!$I$15)</f>
        <v>1.01E-2</v>
      </c>
      <c r="S41">
        <f t="shared" si="1"/>
        <v>3.2895000000000001E-2</v>
      </c>
      <c r="T41" t="s">
        <v>24</v>
      </c>
    </row>
    <row r="42" spans="1:20">
      <c r="A42">
        <v>86</v>
      </c>
      <c r="B42">
        <v>0</v>
      </c>
      <c r="C42">
        <v>3.3799999999999997E-2</v>
      </c>
      <c r="D42">
        <v>34.72</v>
      </c>
      <c r="E42">
        <v>6.2300000000000001E-2</v>
      </c>
      <c r="F42">
        <v>0</v>
      </c>
      <c r="G42">
        <v>0.12559999999999999</v>
      </c>
      <c r="H42">
        <v>11.23</v>
      </c>
      <c r="I42">
        <v>7.6E-3</v>
      </c>
      <c r="J42">
        <v>0.13850000000000001</v>
      </c>
      <c r="K42">
        <v>0</v>
      </c>
      <c r="L42">
        <v>56.76</v>
      </c>
      <c r="M42">
        <v>0.1047</v>
      </c>
      <c r="N42">
        <v>103.1824</v>
      </c>
      <c r="O42" t="s">
        <v>344</v>
      </c>
      <c r="Q42">
        <f t="shared" si="0"/>
        <v>67.989999999999995</v>
      </c>
      <c r="R42">
        <f>I42-(K42*Standards!$I$15)</f>
        <v>7.6E-3</v>
      </c>
      <c r="S42">
        <f t="shared" si="1"/>
        <v>3.3419999999999998E-2</v>
      </c>
      <c r="T42" t="s">
        <v>24</v>
      </c>
    </row>
    <row r="43" spans="1:20">
      <c r="A43">
        <v>103</v>
      </c>
      <c r="B43">
        <v>0</v>
      </c>
      <c r="C43">
        <v>2.9399999999999999E-2</v>
      </c>
      <c r="D43">
        <v>34.67</v>
      </c>
      <c r="E43">
        <v>5.5100000000000003E-2</v>
      </c>
      <c r="F43">
        <v>0</v>
      </c>
      <c r="G43">
        <v>0.1331</v>
      </c>
      <c r="H43">
        <v>11.01</v>
      </c>
      <c r="I43">
        <v>6.1999999999999998E-3</v>
      </c>
      <c r="J43">
        <v>0.46860000000000002</v>
      </c>
      <c r="K43">
        <v>0</v>
      </c>
      <c r="L43">
        <v>56.45</v>
      </c>
      <c r="M43">
        <v>0.1051</v>
      </c>
      <c r="N43">
        <v>102.92749999999999</v>
      </c>
      <c r="O43" t="s">
        <v>344</v>
      </c>
      <c r="Q43">
        <f t="shared" si="0"/>
        <v>67.460000000000008</v>
      </c>
      <c r="R43">
        <f>I43-(K43*Standards!$I$15)</f>
        <v>6.1999999999999998E-3</v>
      </c>
      <c r="S43">
        <f t="shared" si="1"/>
        <v>2.9089999999999998E-2</v>
      </c>
      <c r="T43" t="s">
        <v>24</v>
      </c>
    </row>
    <row r="44" spans="1:20">
      <c r="A44">
        <v>98</v>
      </c>
      <c r="B44">
        <v>0</v>
      </c>
      <c r="C44">
        <v>3.4799999999999998E-2</v>
      </c>
      <c r="D44">
        <v>34.68</v>
      </c>
      <c r="E44">
        <v>6.9699999999999998E-2</v>
      </c>
      <c r="F44">
        <v>3.0999999999999999E-3</v>
      </c>
      <c r="G44">
        <v>0.13089999999999999</v>
      </c>
      <c r="H44">
        <v>10.54</v>
      </c>
      <c r="I44">
        <v>1.04E-2</v>
      </c>
      <c r="J44">
        <v>0.57210000000000005</v>
      </c>
      <c r="K44">
        <v>0</v>
      </c>
      <c r="L44">
        <v>56.36</v>
      </c>
      <c r="M44">
        <v>0.11509999999999999</v>
      </c>
      <c r="N44">
        <v>102.51600000000001</v>
      </c>
      <c r="O44" t="s">
        <v>344</v>
      </c>
      <c r="Q44">
        <f t="shared" si="0"/>
        <v>66.900000000000006</v>
      </c>
      <c r="R44">
        <f>I44-(K44*Standards!$I$15)</f>
        <v>1.04E-2</v>
      </c>
      <c r="S44">
        <f t="shared" si="1"/>
        <v>3.4279999999999998E-2</v>
      </c>
      <c r="T44" t="s">
        <v>24</v>
      </c>
    </row>
    <row r="45" spans="1:20">
      <c r="A45">
        <v>100</v>
      </c>
      <c r="B45">
        <v>0</v>
      </c>
      <c r="C45">
        <v>3.5200000000000002E-2</v>
      </c>
      <c r="D45">
        <v>34.54</v>
      </c>
      <c r="E45">
        <v>6.7500000000000004E-2</v>
      </c>
      <c r="F45">
        <v>0</v>
      </c>
      <c r="G45">
        <v>0.12870000000000001</v>
      </c>
      <c r="H45">
        <v>10.91</v>
      </c>
      <c r="I45">
        <v>1.09E-2</v>
      </c>
      <c r="J45">
        <v>0.46829999999999999</v>
      </c>
      <c r="K45">
        <v>0</v>
      </c>
      <c r="L45">
        <v>56.36</v>
      </c>
      <c r="M45">
        <v>0.1386</v>
      </c>
      <c r="N45">
        <v>102.6591</v>
      </c>
      <c r="O45" t="s">
        <v>344</v>
      </c>
      <c r="Q45">
        <f t="shared" si="0"/>
        <v>67.27</v>
      </c>
      <c r="R45">
        <f>I45-(K45*Standards!$I$15)</f>
        <v>1.09E-2</v>
      </c>
      <c r="S45">
        <f t="shared" si="1"/>
        <v>3.4655000000000005E-2</v>
      </c>
      <c r="T45" t="s">
        <v>24</v>
      </c>
    </row>
    <row r="46" spans="1:20">
      <c r="A46">
        <v>109</v>
      </c>
      <c r="B46">
        <v>0</v>
      </c>
      <c r="C46">
        <v>3.04E-2</v>
      </c>
      <c r="D46">
        <v>34.630000000000003</v>
      </c>
      <c r="E46">
        <v>7.6399999999999996E-2</v>
      </c>
      <c r="F46">
        <v>1.1999999999999999E-3</v>
      </c>
      <c r="G46">
        <v>0.12529999999999999</v>
      </c>
      <c r="H46">
        <v>11.55</v>
      </c>
      <c r="I46">
        <v>0</v>
      </c>
      <c r="J46">
        <v>0.20030000000000001</v>
      </c>
      <c r="K46">
        <v>0</v>
      </c>
      <c r="L46">
        <v>56.36</v>
      </c>
      <c r="M46">
        <v>0.11459999999999999</v>
      </c>
      <c r="N46">
        <v>103.0882</v>
      </c>
      <c r="O46" t="s">
        <v>344</v>
      </c>
      <c r="Q46">
        <f t="shared" si="0"/>
        <v>67.91</v>
      </c>
      <c r="R46">
        <f>I46-(K46*Standards!$I$15)</f>
        <v>0</v>
      </c>
      <c r="S46">
        <f t="shared" si="1"/>
        <v>3.04E-2</v>
      </c>
      <c r="T46" t="s">
        <v>24</v>
      </c>
    </row>
    <row r="47" spans="1:20">
      <c r="A47">
        <v>96</v>
      </c>
      <c r="B47">
        <v>0</v>
      </c>
      <c r="C47">
        <v>2.23E-2</v>
      </c>
      <c r="D47">
        <v>34.520000000000003</v>
      </c>
      <c r="E47">
        <v>6.6699999999999995E-2</v>
      </c>
      <c r="F47">
        <v>0</v>
      </c>
      <c r="G47">
        <v>0.12759999999999999</v>
      </c>
      <c r="H47">
        <v>11.47</v>
      </c>
      <c r="I47">
        <v>7.1000000000000004E-3</v>
      </c>
      <c r="J47">
        <v>0.22570000000000001</v>
      </c>
      <c r="K47">
        <v>0</v>
      </c>
      <c r="L47">
        <v>56.33</v>
      </c>
      <c r="M47">
        <v>0.1036</v>
      </c>
      <c r="N47">
        <v>102.873</v>
      </c>
      <c r="O47" t="s">
        <v>344</v>
      </c>
      <c r="Q47">
        <f t="shared" si="0"/>
        <v>67.8</v>
      </c>
      <c r="R47">
        <f>I47-(K47*Standards!$I$15)</f>
        <v>7.1000000000000004E-3</v>
      </c>
      <c r="S47">
        <f t="shared" si="1"/>
        <v>2.1944999999999999E-2</v>
      </c>
      <c r="T47" t="s">
        <v>24</v>
      </c>
    </row>
    <row r="48" spans="1:20">
      <c r="A48">
        <v>99</v>
      </c>
      <c r="B48">
        <v>0</v>
      </c>
      <c r="C48">
        <v>2.3099999999999999E-2</v>
      </c>
      <c r="D48">
        <v>34.65</v>
      </c>
      <c r="E48">
        <v>6.54E-2</v>
      </c>
      <c r="F48">
        <v>1.03E-2</v>
      </c>
      <c r="G48">
        <v>0.12920000000000001</v>
      </c>
      <c r="H48">
        <v>11.14</v>
      </c>
      <c r="I48">
        <v>1.0500000000000001E-2</v>
      </c>
      <c r="J48">
        <v>0.3896</v>
      </c>
      <c r="K48">
        <v>0</v>
      </c>
      <c r="L48">
        <v>56.32</v>
      </c>
      <c r="M48">
        <v>0.1239</v>
      </c>
      <c r="N48">
        <v>102.86190000000001</v>
      </c>
      <c r="O48" t="s">
        <v>344</v>
      </c>
      <c r="Q48">
        <f t="shared" si="0"/>
        <v>67.460000000000008</v>
      </c>
      <c r="R48">
        <f>I48-(K48*Standards!$I$15)</f>
        <v>1.0500000000000001E-2</v>
      </c>
      <c r="S48">
        <f t="shared" si="1"/>
        <v>2.2574999999999998E-2</v>
      </c>
      <c r="T48" t="s">
        <v>24</v>
      </c>
    </row>
    <row r="49" spans="1:20">
      <c r="A49">
        <v>93</v>
      </c>
      <c r="B49">
        <v>0</v>
      </c>
      <c r="C49">
        <v>2.8899999999999999E-2</v>
      </c>
      <c r="D49">
        <v>34.68</v>
      </c>
      <c r="E49">
        <v>4.9500000000000002E-2</v>
      </c>
      <c r="F49">
        <v>0</v>
      </c>
      <c r="G49">
        <v>0.1246</v>
      </c>
      <c r="H49">
        <v>11.6</v>
      </c>
      <c r="I49">
        <v>3.0000000000000001E-3</v>
      </c>
      <c r="J49">
        <v>4.2599999999999999E-2</v>
      </c>
      <c r="K49">
        <v>0</v>
      </c>
      <c r="L49">
        <v>56.29</v>
      </c>
      <c r="M49">
        <v>9.7199999999999995E-2</v>
      </c>
      <c r="N49">
        <v>102.9157</v>
      </c>
      <c r="O49" t="s">
        <v>344</v>
      </c>
      <c r="Q49">
        <f t="shared" si="0"/>
        <v>67.89</v>
      </c>
      <c r="R49">
        <f>I49-(K49*Standards!$I$15)</f>
        <v>3.0000000000000001E-3</v>
      </c>
      <c r="S49">
        <f t="shared" si="1"/>
        <v>2.8749999999999998E-2</v>
      </c>
      <c r="T49" t="s">
        <v>24</v>
      </c>
    </row>
    <row r="50" spans="1:20">
      <c r="A50">
        <v>113</v>
      </c>
      <c r="B50">
        <v>0</v>
      </c>
      <c r="C50">
        <v>2.58E-2</v>
      </c>
      <c r="D50">
        <v>34.64</v>
      </c>
      <c r="E50">
        <v>7.9699999999999993E-2</v>
      </c>
      <c r="F50">
        <v>0</v>
      </c>
      <c r="G50">
        <v>0.1303</v>
      </c>
      <c r="H50">
        <v>10.57</v>
      </c>
      <c r="I50">
        <v>3.8999999999999998E-3</v>
      </c>
      <c r="J50">
        <v>0.89429999999999998</v>
      </c>
      <c r="K50">
        <v>0</v>
      </c>
      <c r="L50">
        <v>56.27</v>
      </c>
      <c r="M50">
        <v>0.1149</v>
      </c>
      <c r="N50">
        <v>102.72880000000001</v>
      </c>
      <c r="O50" t="s">
        <v>344</v>
      </c>
      <c r="Q50">
        <f t="shared" si="0"/>
        <v>66.84</v>
      </c>
      <c r="R50">
        <f>I50-(K50*Standards!$I$15)</f>
        <v>3.8999999999999998E-3</v>
      </c>
      <c r="S50">
        <f t="shared" si="1"/>
        <v>2.5604999999999999E-2</v>
      </c>
      <c r="T50" t="s">
        <v>24</v>
      </c>
    </row>
    <row r="51" spans="1:20">
      <c r="A51">
        <v>94</v>
      </c>
      <c r="B51">
        <v>0</v>
      </c>
      <c r="C51">
        <v>2.69E-2</v>
      </c>
      <c r="D51">
        <v>34.450000000000003</v>
      </c>
      <c r="E51">
        <v>5.9499999999999997E-2</v>
      </c>
      <c r="F51">
        <v>5.9999999999999995E-4</v>
      </c>
      <c r="G51">
        <v>0.128</v>
      </c>
      <c r="H51">
        <v>11.47</v>
      </c>
      <c r="I51">
        <v>7.3000000000000001E-3</v>
      </c>
      <c r="J51">
        <v>2.2599999999999999E-2</v>
      </c>
      <c r="K51">
        <v>0</v>
      </c>
      <c r="L51">
        <v>56.23</v>
      </c>
      <c r="M51">
        <v>0.1198</v>
      </c>
      <c r="N51">
        <v>102.5146</v>
      </c>
      <c r="O51" t="s">
        <v>344</v>
      </c>
      <c r="Q51">
        <f t="shared" si="0"/>
        <v>67.7</v>
      </c>
      <c r="R51">
        <f>I51-(K51*Standards!$I$15)</f>
        <v>7.3000000000000001E-3</v>
      </c>
      <c r="S51">
        <f t="shared" si="1"/>
        <v>2.6535E-2</v>
      </c>
      <c r="T51" t="s">
        <v>24</v>
      </c>
    </row>
    <row r="52" spans="1:20">
      <c r="A52">
        <v>102</v>
      </c>
      <c r="B52">
        <v>0</v>
      </c>
      <c r="C52">
        <v>2.8199999999999999E-2</v>
      </c>
      <c r="D52">
        <v>34.58</v>
      </c>
      <c r="E52">
        <v>4.7699999999999999E-2</v>
      </c>
      <c r="F52">
        <v>0</v>
      </c>
      <c r="G52">
        <v>0.13350000000000001</v>
      </c>
      <c r="H52">
        <v>11.24</v>
      </c>
      <c r="I52">
        <v>6.1000000000000004E-3</v>
      </c>
      <c r="J52">
        <v>0.49530000000000002</v>
      </c>
      <c r="K52">
        <v>0</v>
      </c>
      <c r="L52">
        <v>56.22</v>
      </c>
      <c r="M52">
        <v>0.1222</v>
      </c>
      <c r="N52">
        <v>102.8729</v>
      </c>
      <c r="O52" t="s">
        <v>344</v>
      </c>
      <c r="Q52">
        <f t="shared" si="0"/>
        <v>67.459999999999994</v>
      </c>
      <c r="R52">
        <f>I52-(K52*Standards!$I$15)</f>
        <v>6.1000000000000004E-3</v>
      </c>
      <c r="S52">
        <f t="shared" si="1"/>
        <v>2.7895E-2</v>
      </c>
      <c r="T52" t="s">
        <v>24</v>
      </c>
    </row>
    <row r="53" spans="1:20">
      <c r="A53">
        <v>87</v>
      </c>
      <c r="B53">
        <v>0</v>
      </c>
      <c r="C53">
        <v>2.5499999999999998E-2</v>
      </c>
      <c r="D53">
        <v>34.6</v>
      </c>
      <c r="E53">
        <v>5.8500000000000003E-2</v>
      </c>
      <c r="F53">
        <v>0</v>
      </c>
      <c r="G53">
        <v>0.12540000000000001</v>
      </c>
      <c r="H53">
        <v>11.63</v>
      </c>
      <c r="I53">
        <v>2.5000000000000001E-3</v>
      </c>
      <c r="J53">
        <v>0.14530000000000001</v>
      </c>
      <c r="K53">
        <v>0</v>
      </c>
      <c r="L53">
        <v>56.2</v>
      </c>
      <c r="M53">
        <v>0.1205</v>
      </c>
      <c r="N53">
        <v>102.9076</v>
      </c>
      <c r="O53" t="s">
        <v>344</v>
      </c>
      <c r="Q53">
        <f t="shared" si="0"/>
        <v>67.83</v>
      </c>
      <c r="R53">
        <f>I53-(K53*Standards!$I$15)</f>
        <v>2.5000000000000001E-3</v>
      </c>
      <c r="S53">
        <f t="shared" si="1"/>
        <v>2.5374999999999998E-2</v>
      </c>
      <c r="T53" t="s">
        <v>24</v>
      </c>
    </row>
    <row r="54" spans="1:20">
      <c r="A54">
        <v>108</v>
      </c>
      <c r="B54">
        <v>0</v>
      </c>
      <c r="C54">
        <v>3.2199999999999999E-2</v>
      </c>
      <c r="D54">
        <v>34.64</v>
      </c>
      <c r="E54">
        <v>7.3499999999999996E-2</v>
      </c>
      <c r="F54">
        <v>1.9699999999999999E-2</v>
      </c>
      <c r="G54">
        <v>0.13139999999999999</v>
      </c>
      <c r="H54">
        <v>11.26</v>
      </c>
      <c r="I54">
        <v>6.1000000000000004E-3</v>
      </c>
      <c r="J54">
        <v>0.35099999999999998</v>
      </c>
      <c r="K54">
        <v>0</v>
      </c>
      <c r="L54">
        <v>56.2</v>
      </c>
      <c r="M54">
        <v>0.11890000000000001</v>
      </c>
      <c r="N54">
        <v>102.8327</v>
      </c>
      <c r="O54" t="s">
        <v>344</v>
      </c>
      <c r="Q54">
        <f t="shared" si="0"/>
        <v>67.460000000000008</v>
      </c>
      <c r="R54">
        <f>I54-(K54*Standards!$I$15)</f>
        <v>6.1000000000000004E-3</v>
      </c>
      <c r="S54">
        <f t="shared" si="1"/>
        <v>3.1895E-2</v>
      </c>
      <c r="T54" t="s">
        <v>24</v>
      </c>
    </row>
    <row r="55" spans="1:20">
      <c r="A55">
        <v>95</v>
      </c>
      <c r="B55">
        <v>0</v>
      </c>
      <c r="C55">
        <v>3.1899999999999998E-2</v>
      </c>
      <c r="D55">
        <v>34.64</v>
      </c>
      <c r="E55">
        <v>4.7399999999999998E-2</v>
      </c>
      <c r="F55">
        <v>0</v>
      </c>
      <c r="G55">
        <v>0.13059999999999999</v>
      </c>
      <c r="H55">
        <v>11.08</v>
      </c>
      <c r="I55">
        <v>3.0999999999999999E-3</v>
      </c>
      <c r="J55">
        <v>0.15479999999999999</v>
      </c>
      <c r="K55">
        <v>0</v>
      </c>
      <c r="L55">
        <v>56.15</v>
      </c>
      <c r="M55">
        <v>0.1273</v>
      </c>
      <c r="N55">
        <v>102.3651</v>
      </c>
      <c r="O55" t="s">
        <v>344</v>
      </c>
      <c r="Q55">
        <f t="shared" si="0"/>
        <v>67.23</v>
      </c>
      <c r="R55">
        <f>I55-(K55*Standards!$I$15)</f>
        <v>3.0999999999999999E-3</v>
      </c>
      <c r="S55">
        <f t="shared" si="1"/>
        <v>3.1744999999999995E-2</v>
      </c>
      <c r="T55" t="s">
        <v>24</v>
      </c>
    </row>
    <row r="56" spans="1:20">
      <c r="A56">
        <v>104</v>
      </c>
      <c r="B56">
        <v>0</v>
      </c>
      <c r="C56">
        <v>1.6299999999999999E-2</v>
      </c>
      <c r="D56">
        <v>34.64</v>
      </c>
      <c r="E56">
        <v>5.28E-2</v>
      </c>
      <c r="F56">
        <v>0</v>
      </c>
      <c r="G56">
        <v>0.13100000000000001</v>
      </c>
      <c r="H56">
        <v>11.55</v>
      </c>
      <c r="I56">
        <v>9.2999999999999992E-3</v>
      </c>
      <c r="J56">
        <v>7.0099999999999996E-2</v>
      </c>
      <c r="K56">
        <v>0</v>
      </c>
      <c r="L56">
        <v>56.15</v>
      </c>
      <c r="M56">
        <v>0.1221</v>
      </c>
      <c r="N56">
        <v>102.7415</v>
      </c>
      <c r="O56" t="s">
        <v>344</v>
      </c>
      <c r="Q56">
        <f t="shared" si="0"/>
        <v>67.7</v>
      </c>
      <c r="R56">
        <f>I56-(K56*Standards!$I$15)</f>
        <v>9.2999999999999992E-3</v>
      </c>
      <c r="S56">
        <f t="shared" si="1"/>
        <v>1.5834999999999998E-2</v>
      </c>
      <c r="T56" t="s">
        <v>24</v>
      </c>
    </row>
    <row r="57" spans="1:20">
      <c r="A57">
        <v>110</v>
      </c>
      <c r="B57">
        <v>0</v>
      </c>
      <c r="C57">
        <v>3.3300000000000003E-2</v>
      </c>
      <c r="D57">
        <v>34.65</v>
      </c>
      <c r="E57">
        <v>7.1499999999999994E-2</v>
      </c>
      <c r="F57">
        <v>6.4999999999999997E-3</v>
      </c>
      <c r="G57">
        <v>0.1376</v>
      </c>
      <c r="H57">
        <v>11.28</v>
      </c>
      <c r="I57">
        <v>8.0000000000000002E-3</v>
      </c>
      <c r="J57">
        <v>0.1525</v>
      </c>
      <c r="K57">
        <v>0</v>
      </c>
      <c r="L57">
        <v>56.1</v>
      </c>
      <c r="M57">
        <v>0.12280000000000001</v>
      </c>
      <c r="N57">
        <v>102.5621</v>
      </c>
      <c r="O57" t="s">
        <v>344</v>
      </c>
      <c r="Q57">
        <f t="shared" si="0"/>
        <v>67.38</v>
      </c>
      <c r="R57">
        <f>I57-(K57*Standards!$I$15)</f>
        <v>8.0000000000000002E-3</v>
      </c>
      <c r="S57">
        <f t="shared" si="1"/>
        <v>3.2900000000000006E-2</v>
      </c>
      <c r="T57" t="s">
        <v>24</v>
      </c>
    </row>
    <row r="58" spans="1:20">
      <c r="A58">
        <v>92</v>
      </c>
      <c r="B58">
        <v>0</v>
      </c>
      <c r="C58">
        <v>2.7099999999999999E-2</v>
      </c>
      <c r="D58">
        <v>34.85</v>
      </c>
      <c r="E58">
        <v>5.6000000000000001E-2</v>
      </c>
      <c r="F58">
        <v>0</v>
      </c>
      <c r="G58">
        <v>0.127</v>
      </c>
      <c r="H58">
        <v>11.86</v>
      </c>
      <c r="I58">
        <v>6.6E-3</v>
      </c>
      <c r="J58">
        <v>4.99E-2</v>
      </c>
      <c r="K58">
        <v>0</v>
      </c>
      <c r="L58">
        <v>56.08</v>
      </c>
      <c r="M58">
        <v>9.4799999999999995E-2</v>
      </c>
      <c r="N58">
        <v>103.15130000000001</v>
      </c>
      <c r="O58" t="s">
        <v>344</v>
      </c>
      <c r="Q58">
        <f t="shared" si="0"/>
        <v>67.94</v>
      </c>
      <c r="R58">
        <f>I58-(K58*Standards!$I$15)</f>
        <v>6.6E-3</v>
      </c>
      <c r="S58">
        <f t="shared" si="1"/>
        <v>2.6769999999999999E-2</v>
      </c>
      <c r="T58" t="s">
        <v>24</v>
      </c>
    </row>
    <row r="59" spans="1:20">
      <c r="A59">
        <v>89</v>
      </c>
      <c r="B59">
        <v>0</v>
      </c>
      <c r="C59">
        <v>2.7099999999999999E-2</v>
      </c>
      <c r="D59">
        <v>34.54</v>
      </c>
      <c r="E59">
        <v>4.2099999999999999E-2</v>
      </c>
      <c r="F59">
        <v>0</v>
      </c>
      <c r="G59">
        <v>0.12659999999999999</v>
      </c>
      <c r="H59">
        <v>11.67</v>
      </c>
      <c r="I59">
        <v>5.3E-3</v>
      </c>
      <c r="J59">
        <v>0.10249999999999999</v>
      </c>
      <c r="K59">
        <v>0</v>
      </c>
      <c r="L59">
        <v>56.06</v>
      </c>
      <c r="M59">
        <v>0.1183</v>
      </c>
      <c r="N59">
        <v>102.6918</v>
      </c>
      <c r="O59" t="s">
        <v>344</v>
      </c>
      <c r="Q59">
        <f t="shared" si="0"/>
        <v>67.73</v>
      </c>
      <c r="R59">
        <f>I59-(K59*Standards!$I$15)</f>
        <v>5.3E-3</v>
      </c>
      <c r="S59">
        <f t="shared" si="1"/>
        <v>2.6834999999999998E-2</v>
      </c>
      <c r="T59" t="s">
        <v>24</v>
      </c>
    </row>
    <row r="60" spans="1:20">
      <c r="A60">
        <v>101</v>
      </c>
      <c r="B60">
        <v>0</v>
      </c>
      <c r="C60">
        <v>2.81E-2</v>
      </c>
      <c r="D60">
        <v>34.67</v>
      </c>
      <c r="E60">
        <v>5.3499999999999999E-2</v>
      </c>
      <c r="F60">
        <v>5.0000000000000001E-4</v>
      </c>
      <c r="G60">
        <v>0.1203</v>
      </c>
      <c r="H60">
        <v>11.57</v>
      </c>
      <c r="I60">
        <v>1.9E-3</v>
      </c>
      <c r="J60">
        <v>0.1643</v>
      </c>
      <c r="K60">
        <v>0</v>
      </c>
      <c r="L60">
        <v>56.01</v>
      </c>
      <c r="M60">
        <v>0.12180000000000001</v>
      </c>
      <c r="N60">
        <v>102.7403</v>
      </c>
      <c r="O60" t="s">
        <v>344</v>
      </c>
      <c r="Q60">
        <f t="shared" si="0"/>
        <v>67.58</v>
      </c>
      <c r="R60">
        <f>I60-(K60*Standards!$I$15)</f>
        <v>1.9E-3</v>
      </c>
      <c r="S60">
        <f t="shared" si="1"/>
        <v>2.8004999999999999E-2</v>
      </c>
      <c r="T60" t="s">
        <v>24</v>
      </c>
    </row>
    <row r="61" spans="1:20">
      <c r="A61">
        <v>106</v>
      </c>
      <c r="B61">
        <v>0</v>
      </c>
      <c r="C61">
        <v>2.86E-2</v>
      </c>
      <c r="D61">
        <v>35.08</v>
      </c>
      <c r="E61">
        <v>6.0199999999999997E-2</v>
      </c>
      <c r="F61">
        <v>0</v>
      </c>
      <c r="G61">
        <v>0.13109999999999999</v>
      </c>
      <c r="H61">
        <v>11.67</v>
      </c>
      <c r="I61">
        <v>8.9999999999999993E-3</v>
      </c>
      <c r="J61">
        <v>9.6600000000000005E-2</v>
      </c>
      <c r="K61">
        <v>0</v>
      </c>
      <c r="L61">
        <v>55.99</v>
      </c>
      <c r="M61">
        <v>0.1129</v>
      </c>
      <c r="N61">
        <v>103.1784</v>
      </c>
      <c r="O61" t="s">
        <v>344</v>
      </c>
      <c r="Q61">
        <f t="shared" si="0"/>
        <v>67.66</v>
      </c>
      <c r="R61">
        <f>I61-(K61*Standards!$I$15)</f>
        <v>8.9999999999999993E-3</v>
      </c>
      <c r="S61">
        <f t="shared" si="1"/>
        <v>2.8150000000000001E-2</v>
      </c>
      <c r="T61" t="s">
        <v>24</v>
      </c>
    </row>
    <row r="62" spans="1:20">
      <c r="A62">
        <v>85</v>
      </c>
      <c r="B62">
        <v>0</v>
      </c>
      <c r="C62">
        <v>2.1499999999999998E-2</v>
      </c>
      <c r="D62">
        <v>34.549999999999997</v>
      </c>
      <c r="E62">
        <v>6.2899999999999998E-2</v>
      </c>
      <c r="F62">
        <v>1.6999999999999999E-3</v>
      </c>
      <c r="G62">
        <v>0.1201</v>
      </c>
      <c r="H62">
        <v>11.83</v>
      </c>
      <c r="I62">
        <v>4.7000000000000002E-3</v>
      </c>
      <c r="J62">
        <v>0.17180000000000001</v>
      </c>
      <c r="K62">
        <v>0</v>
      </c>
      <c r="L62">
        <v>55.92</v>
      </c>
      <c r="M62">
        <v>0.1014</v>
      </c>
      <c r="N62">
        <v>102.78400000000001</v>
      </c>
      <c r="O62" t="s">
        <v>344</v>
      </c>
      <c r="Q62">
        <f t="shared" si="0"/>
        <v>67.75</v>
      </c>
      <c r="R62">
        <f>I62-(K62*Standards!$I$15)</f>
        <v>4.7000000000000002E-3</v>
      </c>
      <c r="S62">
        <f t="shared" si="1"/>
        <v>2.1264999999999999E-2</v>
      </c>
      <c r="T62" t="s">
        <v>24</v>
      </c>
    </row>
    <row r="63" spans="1:20">
      <c r="A63">
        <v>105</v>
      </c>
      <c r="B63">
        <v>0</v>
      </c>
      <c r="C63">
        <v>2.6700000000000002E-2</v>
      </c>
      <c r="D63">
        <v>34.64</v>
      </c>
      <c r="E63">
        <v>7.3400000000000007E-2</v>
      </c>
      <c r="F63">
        <v>3.8999999999999998E-3</v>
      </c>
      <c r="G63">
        <v>0.1331</v>
      </c>
      <c r="H63">
        <v>11.6</v>
      </c>
      <c r="I63">
        <v>8.9999999999999998E-4</v>
      </c>
      <c r="J63">
        <v>9.7900000000000001E-2</v>
      </c>
      <c r="K63">
        <v>0</v>
      </c>
      <c r="L63">
        <v>55.77</v>
      </c>
      <c r="M63">
        <v>0.1273</v>
      </c>
      <c r="N63">
        <v>102.4731</v>
      </c>
      <c r="O63" t="s">
        <v>344</v>
      </c>
      <c r="Q63">
        <f t="shared" si="0"/>
        <v>67.37</v>
      </c>
      <c r="R63">
        <f>I63-(K63*Standards!$I$15)</f>
        <v>8.9999999999999998E-4</v>
      </c>
      <c r="S63">
        <f t="shared" si="1"/>
        <v>2.6655000000000002E-2</v>
      </c>
      <c r="T63" t="s">
        <v>24</v>
      </c>
    </row>
    <row r="64" spans="1:20">
      <c r="A64">
        <v>107</v>
      </c>
      <c r="B64">
        <v>0</v>
      </c>
      <c r="C64">
        <v>2.9499999999999998E-2</v>
      </c>
      <c r="D64">
        <v>34.69</v>
      </c>
      <c r="E64">
        <v>6.1499999999999999E-2</v>
      </c>
      <c r="F64">
        <v>1.52E-2</v>
      </c>
      <c r="G64">
        <v>0.13789999999999999</v>
      </c>
      <c r="H64">
        <v>12.01</v>
      </c>
      <c r="I64">
        <v>4.0000000000000001E-3</v>
      </c>
      <c r="J64">
        <v>6.3600000000000004E-2</v>
      </c>
      <c r="K64">
        <v>0</v>
      </c>
      <c r="L64">
        <v>55.61</v>
      </c>
      <c r="M64">
        <v>0.1215</v>
      </c>
      <c r="N64">
        <v>102.7431</v>
      </c>
      <c r="O64" t="s">
        <v>344</v>
      </c>
      <c r="Q64">
        <f t="shared" si="0"/>
        <v>67.62</v>
      </c>
      <c r="R64">
        <f>I64-(K64*Standards!$I$15)</f>
        <v>4.0000000000000001E-3</v>
      </c>
      <c r="S64">
        <f t="shared" si="1"/>
        <v>2.93E-2</v>
      </c>
      <c r="T64" t="s">
        <v>24</v>
      </c>
    </row>
    <row r="65" spans="1:20">
      <c r="A65">
        <v>114</v>
      </c>
      <c r="B65">
        <v>0</v>
      </c>
      <c r="C65">
        <v>1.21E-2</v>
      </c>
      <c r="D65">
        <v>34.65</v>
      </c>
      <c r="E65">
        <v>6.7599999999999993E-2</v>
      </c>
      <c r="F65">
        <v>0</v>
      </c>
      <c r="G65">
        <v>0.13400000000000001</v>
      </c>
      <c r="H65">
        <v>11.15</v>
      </c>
      <c r="I65">
        <v>3.0999999999999999E-3</v>
      </c>
      <c r="J65">
        <v>1.0900000000000001</v>
      </c>
      <c r="K65">
        <v>0</v>
      </c>
      <c r="L65">
        <v>55.58</v>
      </c>
      <c r="M65">
        <v>0.12659999999999999</v>
      </c>
      <c r="N65">
        <v>102.8134</v>
      </c>
      <c r="O65" t="s">
        <v>344</v>
      </c>
      <c r="Q65">
        <f t="shared" si="0"/>
        <v>66.73</v>
      </c>
      <c r="R65">
        <f>I65-(K65*Standards!$I$15)</f>
        <v>3.0999999999999999E-3</v>
      </c>
      <c r="S65">
        <f t="shared" si="1"/>
        <v>1.1944999999999999E-2</v>
      </c>
      <c r="T65" t="s">
        <v>24</v>
      </c>
    </row>
    <row r="66" spans="1:20">
      <c r="A66">
        <v>76</v>
      </c>
      <c r="B66">
        <v>0</v>
      </c>
      <c r="C66">
        <v>5.4300000000000001E-2</v>
      </c>
      <c r="D66">
        <v>33.950000000000003</v>
      </c>
      <c r="E66">
        <v>4.2700000000000002E-2</v>
      </c>
      <c r="F66">
        <v>0</v>
      </c>
      <c r="G66">
        <v>0.15129999999999999</v>
      </c>
      <c r="H66">
        <v>9.31</v>
      </c>
      <c r="I66">
        <v>7.2599999999999998E-2</v>
      </c>
      <c r="J66">
        <v>6.1699999999999998E-2</v>
      </c>
      <c r="K66">
        <v>0</v>
      </c>
      <c r="L66">
        <v>56.73</v>
      </c>
      <c r="M66">
        <v>9.0300000000000005E-2</v>
      </c>
      <c r="N66">
        <v>100.4629</v>
      </c>
      <c r="O66" t="s">
        <v>345</v>
      </c>
      <c r="Q66">
        <f t="shared" si="0"/>
        <v>66.039999999999992</v>
      </c>
      <c r="R66">
        <f>I66-(K66*Standards!$I$15)</f>
        <v>7.2599999999999998E-2</v>
      </c>
      <c r="S66">
        <f t="shared" si="1"/>
        <v>5.067E-2</v>
      </c>
      <c r="T66" t="s">
        <v>24</v>
      </c>
    </row>
    <row r="67" spans="1:20">
      <c r="A67">
        <v>82</v>
      </c>
      <c r="B67">
        <v>0</v>
      </c>
      <c r="C67">
        <v>4.3900000000000002E-2</v>
      </c>
      <c r="D67">
        <v>34.11</v>
      </c>
      <c r="E67">
        <v>4.3900000000000002E-2</v>
      </c>
      <c r="F67">
        <v>0</v>
      </c>
      <c r="G67">
        <v>0.15210000000000001</v>
      </c>
      <c r="H67">
        <v>9.11</v>
      </c>
      <c r="I67">
        <v>7.0800000000000002E-2</v>
      </c>
      <c r="J67">
        <v>3.9699999999999999E-2</v>
      </c>
      <c r="K67">
        <v>0</v>
      </c>
      <c r="L67">
        <v>57.95</v>
      </c>
      <c r="M67">
        <v>7.1400000000000005E-2</v>
      </c>
      <c r="N67">
        <v>101.59180000000001</v>
      </c>
      <c r="O67" t="s">
        <v>346</v>
      </c>
      <c r="Q67">
        <f t="shared" ref="Q67:Q130" si="2">H67+L67</f>
        <v>67.06</v>
      </c>
      <c r="R67">
        <f>I67-(K67*Standards!$I$15)</f>
        <v>7.0800000000000002E-2</v>
      </c>
      <c r="S67">
        <f t="shared" ref="S67:S130" si="3">C67-(I67*0.05)</f>
        <v>4.036E-2</v>
      </c>
      <c r="T67" t="s">
        <v>24</v>
      </c>
    </row>
    <row r="68" spans="1:20">
      <c r="A68">
        <v>80</v>
      </c>
      <c r="B68">
        <v>0</v>
      </c>
      <c r="C68">
        <v>4.6399999999999997E-2</v>
      </c>
      <c r="D68">
        <v>33.9</v>
      </c>
      <c r="E68">
        <v>5.3999999999999999E-2</v>
      </c>
      <c r="F68">
        <v>0</v>
      </c>
      <c r="G68">
        <v>0.14799999999999999</v>
      </c>
      <c r="H68">
        <v>9.2200000000000006</v>
      </c>
      <c r="I68">
        <v>7.51E-2</v>
      </c>
      <c r="J68">
        <v>2.1299999999999999E-2</v>
      </c>
      <c r="K68">
        <v>0</v>
      </c>
      <c r="L68">
        <v>57.84</v>
      </c>
      <c r="M68">
        <v>8.8200000000000001E-2</v>
      </c>
      <c r="N68">
        <v>101.393</v>
      </c>
      <c r="O68" t="s">
        <v>346</v>
      </c>
      <c r="Q68">
        <f t="shared" si="2"/>
        <v>67.06</v>
      </c>
      <c r="R68">
        <f>I68-(K68*Standards!$I$15)</f>
        <v>7.51E-2</v>
      </c>
      <c r="S68">
        <f t="shared" si="3"/>
        <v>4.2644999999999995E-2</v>
      </c>
      <c r="T68" t="s">
        <v>24</v>
      </c>
    </row>
    <row r="69" spans="1:20">
      <c r="A69">
        <v>72</v>
      </c>
      <c r="B69">
        <v>0</v>
      </c>
      <c r="C69">
        <v>4.6100000000000002E-2</v>
      </c>
      <c r="D69">
        <v>34.090000000000003</v>
      </c>
      <c r="E69">
        <v>5.6599999999999998E-2</v>
      </c>
      <c r="F69">
        <v>0</v>
      </c>
      <c r="G69">
        <v>0.1482</v>
      </c>
      <c r="H69">
        <v>9.4700000000000006</v>
      </c>
      <c r="I69">
        <v>7.4499999999999997E-2</v>
      </c>
      <c r="J69">
        <v>3.27E-2</v>
      </c>
      <c r="K69">
        <v>0</v>
      </c>
      <c r="L69">
        <v>57.68</v>
      </c>
      <c r="M69">
        <v>7.4300000000000005E-2</v>
      </c>
      <c r="N69">
        <v>101.67230000000001</v>
      </c>
      <c r="O69" t="s">
        <v>346</v>
      </c>
      <c r="Q69">
        <f t="shared" si="2"/>
        <v>67.150000000000006</v>
      </c>
      <c r="R69">
        <f>I69-(K69*Standards!$I$15)</f>
        <v>7.4499999999999997E-2</v>
      </c>
      <c r="S69">
        <f t="shared" si="3"/>
        <v>4.2375000000000003E-2</v>
      </c>
      <c r="T69" t="s">
        <v>24</v>
      </c>
    </row>
    <row r="70" spans="1:20">
      <c r="A70">
        <v>73</v>
      </c>
      <c r="B70">
        <v>0</v>
      </c>
      <c r="C70">
        <v>4.7300000000000002E-2</v>
      </c>
      <c r="D70">
        <v>34.049999999999997</v>
      </c>
      <c r="E70">
        <v>4.8500000000000001E-2</v>
      </c>
      <c r="F70">
        <v>2.0400000000000001E-2</v>
      </c>
      <c r="G70">
        <v>0.1394</v>
      </c>
      <c r="H70">
        <v>9.26</v>
      </c>
      <c r="I70">
        <v>7.46E-2</v>
      </c>
      <c r="J70">
        <v>1.9400000000000001E-2</v>
      </c>
      <c r="K70">
        <v>0</v>
      </c>
      <c r="L70">
        <v>57.66</v>
      </c>
      <c r="M70">
        <v>7.1800000000000003E-2</v>
      </c>
      <c r="N70">
        <v>101.3913</v>
      </c>
      <c r="O70" t="s">
        <v>346</v>
      </c>
      <c r="Q70">
        <f t="shared" si="2"/>
        <v>66.92</v>
      </c>
      <c r="R70">
        <f>I70-(K70*Standards!$I$15)</f>
        <v>7.46E-2</v>
      </c>
      <c r="S70">
        <f t="shared" si="3"/>
        <v>4.3570000000000005E-2</v>
      </c>
      <c r="T70" t="s">
        <v>24</v>
      </c>
    </row>
    <row r="71" spans="1:20">
      <c r="A71">
        <v>95</v>
      </c>
      <c r="B71">
        <v>0</v>
      </c>
      <c r="C71">
        <v>3.9699999999999999E-2</v>
      </c>
      <c r="D71">
        <v>33.9</v>
      </c>
      <c r="E71">
        <v>6.0299999999999999E-2</v>
      </c>
      <c r="F71">
        <v>0</v>
      </c>
      <c r="G71">
        <v>0.1515</v>
      </c>
      <c r="H71">
        <v>9.06</v>
      </c>
      <c r="I71">
        <v>7.7299999999999994E-2</v>
      </c>
      <c r="J71">
        <v>2.5700000000000001E-2</v>
      </c>
      <c r="K71">
        <v>0</v>
      </c>
      <c r="L71">
        <v>57.66</v>
      </c>
      <c r="M71">
        <v>8.4599999999999995E-2</v>
      </c>
      <c r="N71">
        <v>101.0591</v>
      </c>
      <c r="O71" t="s">
        <v>346</v>
      </c>
      <c r="Q71">
        <f t="shared" si="2"/>
        <v>66.72</v>
      </c>
      <c r="R71">
        <f>I71-(K71*Standards!$I$15)</f>
        <v>7.7299999999999994E-2</v>
      </c>
      <c r="S71">
        <f t="shared" si="3"/>
        <v>3.5834999999999999E-2</v>
      </c>
      <c r="T71" t="s">
        <v>24</v>
      </c>
    </row>
    <row r="72" spans="1:20">
      <c r="A72">
        <v>96</v>
      </c>
      <c r="B72">
        <v>0</v>
      </c>
      <c r="C72">
        <v>4.3299999999999998E-2</v>
      </c>
      <c r="D72">
        <v>34</v>
      </c>
      <c r="E72">
        <v>6.7799999999999999E-2</v>
      </c>
      <c r="F72">
        <v>0</v>
      </c>
      <c r="G72">
        <v>0.15140000000000001</v>
      </c>
      <c r="H72">
        <v>9.07</v>
      </c>
      <c r="I72">
        <v>7.6499999999999999E-2</v>
      </c>
      <c r="J72">
        <v>2.2599999999999999E-2</v>
      </c>
      <c r="K72">
        <v>0</v>
      </c>
      <c r="L72">
        <v>57.64</v>
      </c>
      <c r="M72">
        <v>0.1013</v>
      </c>
      <c r="N72">
        <v>101.1728</v>
      </c>
      <c r="O72" t="s">
        <v>346</v>
      </c>
      <c r="Q72">
        <f t="shared" si="2"/>
        <v>66.710000000000008</v>
      </c>
      <c r="R72">
        <f>I72-(K72*Standards!$I$15)</f>
        <v>7.6499999999999999E-2</v>
      </c>
      <c r="S72">
        <f t="shared" si="3"/>
        <v>3.9474999999999996E-2</v>
      </c>
      <c r="T72" t="s">
        <v>24</v>
      </c>
    </row>
    <row r="73" spans="1:20">
      <c r="A73">
        <v>100</v>
      </c>
      <c r="B73">
        <v>0</v>
      </c>
      <c r="C73">
        <v>3.2399999999999998E-2</v>
      </c>
      <c r="D73">
        <v>33.950000000000003</v>
      </c>
      <c r="E73">
        <v>5.21E-2</v>
      </c>
      <c r="F73">
        <v>0</v>
      </c>
      <c r="G73">
        <v>0.14779999999999999</v>
      </c>
      <c r="H73">
        <v>9.1</v>
      </c>
      <c r="I73">
        <v>7.0900000000000005E-2</v>
      </c>
      <c r="J73">
        <v>1E-3</v>
      </c>
      <c r="K73">
        <v>0</v>
      </c>
      <c r="L73">
        <v>57.63</v>
      </c>
      <c r="M73">
        <v>0.10199999999999999</v>
      </c>
      <c r="N73">
        <v>101.08620000000001</v>
      </c>
      <c r="O73" t="s">
        <v>346</v>
      </c>
      <c r="Q73">
        <f t="shared" si="2"/>
        <v>66.73</v>
      </c>
      <c r="R73">
        <f>I73-(K73*Standards!$I$15)</f>
        <v>7.0900000000000005E-2</v>
      </c>
      <c r="S73">
        <f t="shared" si="3"/>
        <v>2.8854999999999999E-2</v>
      </c>
      <c r="T73" t="s">
        <v>24</v>
      </c>
    </row>
    <row r="74" spans="1:20">
      <c r="A74">
        <v>88</v>
      </c>
      <c r="B74">
        <v>0</v>
      </c>
      <c r="C74">
        <v>4.4699999999999997E-2</v>
      </c>
      <c r="D74">
        <v>34.049999999999997</v>
      </c>
      <c r="E74">
        <v>4.3400000000000001E-2</v>
      </c>
      <c r="F74">
        <v>5.7000000000000002E-3</v>
      </c>
      <c r="G74">
        <v>0.14630000000000001</v>
      </c>
      <c r="H74">
        <v>9.4600000000000009</v>
      </c>
      <c r="I74">
        <v>8.6400000000000005E-2</v>
      </c>
      <c r="J74">
        <v>3.5999999999999999E-3</v>
      </c>
      <c r="K74">
        <v>0</v>
      </c>
      <c r="L74">
        <v>57.62</v>
      </c>
      <c r="M74">
        <v>0.1066</v>
      </c>
      <c r="N74">
        <v>101.56659999999999</v>
      </c>
      <c r="O74" t="s">
        <v>346</v>
      </c>
      <c r="Q74">
        <f t="shared" si="2"/>
        <v>67.08</v>
      </c>
      <c r="R74">
        <f>I74-(K74*Standards!$I$15)</f>
        <v>8.6400000000000005E-2</v>
      </c>
      <c r="S74">
        <f t="shared" si="3"/>
        <v>4.0379999999999999E-2</v>
      </c>
      <c r="T74" t="s">
        <v>24</v>
      </c>
    </row>
    <row r="75" spans="1:20">
      <c r="A75">
        <v>97</v>
      </c>
      <c r="B75">
        <v>0</v>
      </c>
      <c r="C75">
        <v>5.2999999999999999E-2</v>
      </c>
      <c r="D75">
        <v>33.99</v>
      </c>
      <c r="E75">
        <v>5.4699999999999999E-2</v>
      </c>
      <c r="F75">
        <v>0</v>
      </c>
      <c r="G75">
        <v>0.15310000000000001</v>
      </c>
      <c r="H75">
        <v>8.93</v>
      </c>
      <c r="I75">
        <v>7.85E-2</v>
      </c>
      <c r="J75">
        <v>2.06E-2</v>
      </c>
      <c r="K75">
        <v>0</v>
      </c>
      <c r="L75">
        <v>57.58</v>
      </c>
      <c r="M75">
        <v>9.9400000000000002E-2</v>
      </c>
      <c r="N75">
        <v>100.9593</v>
      </c>
      <c r="O75" t="s">
        <v>346</v>
      </c>
      <c r="Q75">
        <f t="shared" si="2"/>
        <v>66.509999999999991</v>
      </c>
      <c r="R75">
        <f>I75-(K75*Standards!$I$15)</f>
        <v>7.85E-2</v>
      </c>
      <c r="S75">
        <f t="shared" si="3"/>
        <v>4.9075000000000001E-2</v>
      </c>
      <c r="T75" t="s">
        <v>24</v>
      </c>
    </row>
    <row r="76" spans="1:20">
      <c r="A76">
        <v>74</v>
      </c>
      <c r="B76">
        <v>0</v>
      </c>
      <c r="C76">
        <v>4.5400000000000003E-2</v>
      </c>
      <c r="D76">
        <v>34.01</v>
      </c>
      <c r="E76">
        <v>4.0300000000000002E-2</v>
      </c>
      <c r="F76">
        <v>0</v>
      </c>
      <c r="G76">
        <v>0.13700000000000001</v>
      </c>
      <c r="H76">
        <v>8.83</v>
      </c>
      <c r="I76">
        <v>7.1400000000000005E-2</v>
      </c>
      <c r="J76">
        <v>0.29049999999999998</v>
      </c>
      <c r="K76">
        <v>0</v>
      </c>
      <c r="L76">
        <v>57.53</v>
      </c>
      <c r="M76">
        <v>8.3000000000000004E-2</v>
      </c>
      <c r="N76">
        <v>101.03749999999999</v>
      </c>
      <c r="O76" t="s">
        <v>346</v>
      </c>
      <c r="Q76">
        <f t="shared" si="2"/>
        <v>66.36</v>
      </c>
      <c r="R76">
        <f>I76-(K76*Standards!$I$15)</f>
        <v>7.1400000000000005E-2</v>
      </c>
      <c r="S76">
        <f t="shared" si="3"/>
        <v>4.1830000000000006E-2</v>
      </c>
      <c r="T76" t="s">
        <v>24</v>
      </c>
    </row>
    <row r="77" spans="1:20">
      <c r="A77">
        <v>71</v>
      </c>
      <c r="B77">
        <v>0</v>
      </c>
      <c r="C77">
        <v>5.16E-2</v>
      </c>
      <c r="D77">
        <v>34.04</v>
      </c>
      <c r="E77">
        <v>4.1399999999999999E-2</v>
      </c>
      <c r="F77">
        <v>8.0999999999999996E-3</v>
      </c>
      <c r="G77">
        <v>0.1439</v>
      </c>
      <c r="H77">
        <v>9.6</v>
      </c>
      <c r="I77">
        <v>7.22E-2</v>
      </c>
      <c r="J77">
        <v>1.95E-2</v>
      </c>
      <c r="K77">
        <v>0</v>
      </c>
      <c r="L77">
        <v>57.47</v>
      </c>
      <c r="M77">
        <v>0.1123</v>
      </c>
      <c r="N77">
        <v>101.55889999999999</v>
      </c>
      <c r="O77" t="s">
        <v>346</v>
      </c>
      <c r="Q77">
        <f t="shared" si="2"/>
        <v>67.069999999999993</v>
      </c>
      <c r="R77">
        <f>I77-(K77*Standards!$I$15)</f>
        <v>7.22E-2</v>
      </c>
      <c r="S77">
        <f t="shared" si="3"/>
        <v>4.7989999999999998E-2</v>
      </c>
      <c r="T77" t="s">
        <v>24</v>
      </c>
    </row>
    <row r="78" spans="1:20">
      <c r="A78">
        <v>87</v>
      </c>
      <c r="B78">
        <v>0</v>
      </c>
      <c r="C78">
        <v>4.3400000000000001E-2</v>
      </c>
      <c r="D78">
        <v>34.42</v>
      </c>
      <c r="E78">
        <v>5.2900000000000003E-2</v>
      </c>
      <c r="F78">
        <v>9.9000000000000008E-3</v>
      </c>
      <c r="G78">
        <v>0.1434</v>
      </c>
      <c r="H78">
        <v>9.2899999999999991</v>
      </c>
      <c r="I78">
        <v>8.4000000000000005E-2</v>
      </c>
      <c r="J78">
        <v>4.1799999999999997E-2</v>
      </c>
      <c r="K78">
        <v>0</v>
      </c>
      <c r="L78">
        <v>57.46</v>
      </c>
      <c r="M78">
        <v>8.9499999999999996E-2</v>
      </c>
      <c r="N78">
        <v>101.6348</v>
      </c>
      <c r="O78" t="s">
        <v>346</v>
      </c>
      <c r="Q78">
        <f t="shared" si="2"/>
        <v>66.75</v>
      </c>
      <c r="R78">
        <f>I78-(K78*Standards!$I$15)</f>
        <v>8.4000000000000005E-2</v>
      </c>
      <c r="S78">
        <f t="shared" si="3"/>
        <v>3.9199999999999999E-2</v>
      </c>
      <c r="T78" t="s">
        <v>24</v>
      </c>
    </row>
    <row r="79" spans="1:20">
      <c r="A79">
        <v>90</v>
      </c>
      <c r="B79">
        <v>0</v>
      </c>
      <c r="C79">
        <v>6.4399999999999999E-2</v>
      </c>
      <c r="D79">
        <v>34.090000000000003</v>
      </c>
      <c r="E79">
        <v>3.9699999999999999E-2</v>
      </c>
      <c r="F79">
        <v>0</v>
      </c>
      <c r="G79">
        <v>0.15210000000000001</v>
      </c>
      <c r="H79">
        <v>9.19</v>
      </c>
      <c r="I79">
        <v>7.4700000000000003E-2</v>
      </c>
      <c r="J79">
        <v>1.1900000000000001E-2</v>
      </c>
      <c r="K79">
        <v>0</v>
      </c>
      <c r="L79">
        <v>57.46</v>
      </c>
      <c r="M79">
        <v>0.105</v>
      </c>
      <c r="N79">
        <v>101.18770000000001</v>
      </c>
      <c r="O79" t="s">
        <v>346</v>
      </c>
      <c r="Q79">
        <f t="shared" si="2"/>
        <v>66.650000000000006</v>
      </c>
      <c r="R79">
        <f>I79-(K79*Standards!$I$15)</f>
        <v>7.4700000000000003E-2</v>
      </c>
      <c r="S79">
        <f t="shared" si="3"/>
        <v>6.0664999999999997E-2</v>
      </c>
      <c r="T79" t="s">
        <v>24</v>
      </c>
    </row>
    <row r="80" spans="1:20">
      <c r="A80">
        <v>79</v>
      </c>
      <c r="B80">
        <v>0</v>
      </c>
      <c r="C80">
        <v>4.2200000000000001E-2</v>
      </c>
      <c r="D80">
        <v>34.07</v>
      </c>
      <c r="E80">
        <v>5.1799999999999999E-2</v>
      </c>
      <c r="F80">
        <v>0</v>
      </c>
      <c r="G80">
        <v>0.14760000000000001</v>
      </c>
      <c r="H80">
        <v>9.3699999999999992</v>
      </c>
      <c r="I80">
        <v>7.5899999999999995E-2</v>
      </c>
      <c r="J80">
        <v>1.2999999999999999E-2</v>
      </c>
      <c r="K80">
        <v>0</v>
      </c>
      <c r="L80">
        <v>57.43</v>
      </c>
      <c r="M80">
        <v>9.1499999999999998E-2</v>
      </c>
      <c r="N80">
        <v>101.2919</v>
      </c>
      <c r="O80" t="s">
        <v>346</v>
      </c>
      <c r="Q80">
        <f t="shared" si="2"/>
        <v>66.8</v>
      </c>
      <c r="R80">
        <f>I80-(K80*Standards!$I$15)</f>
        <v>7.5899999999999995E-2</v>
      </c>
      <c r="S80">
        <f t="shared" si="3"/>
        <v>3.8405000000000002E-2</v>
      </c>
      <c r="T80" t="s">
        <v>24</v>
      </c>
    </row>
    <row r="81" spans="1:31">
      <c r="A81">
        <v>97</v>
      </c>
      <c r="B81">
        <v>0</v>
      </c>
      <c r="C81">
        <v>9.9599999999999994E-2</v>
      </c>
      <c r="D81">
        <v>33.049999999999997</v>
      </c>
      <c r="E81">
        <v>0</v>
      </c>
      <c r="F81">
        <v>0</v>
      </c>
      <c r="G81">
        <v>0.12709999999999999</v>
      </c>
      <c r="H81">
        <v>4.7699999999999996</v>
      </c>
      <c r="I81">
        <v>1.0900000000000001</v>
      </c>
      <c r="J81">
        <v>7.27</v>
      </c>
      <c r="K81">
        <v>0</v>
      </c>
      <c r="L81">
        <v>54.63</v>
      </c>
      <c r="M81">
        <v>7.85E-2</v>
      </c>
      <c r="N81">
        <v>101.1152</v>
      </c>
      <c r="O81" t="s">
        <v>347</v>
      </c>
      <c r="Q81">
        <f t="shared" si="2"/>
        <v>59.400000000000006</v>
      </c>
      <c r="R81">
        <f>I81-(K81*Standards!$I$15)</f>
        <v>1.0900000000000001</v>
      </c>
      <c r="S81">
        <f t="shared" si="3"/>
        <v>4.5099999999999987E-2</v>
      </c>
      <c r="T81" t="s">
        <v>24</v>
      </c>
    </row>
    <row r="82" spans="1:31">
      <c r="A82">
        <v>96</v>
      </c>
      <c r="B82">
        <v>0</v>
      </c>
      <c r="C82">
        <v>9.7900000000000001E-2</v>
      </c>
      <c r="D82">
        <v>34.049999999999997</v>
      </c>
      <c r="E82">
        <v>0</v>
      </c>
      <c r="F82">
        <v>0</v>
      </c>
      <c r="G82">
        <v>0.13289999999999999</v>
      </c>
      <c r="H82">
        <v>6.37</v>
      </c>
      <c r="I82">
        <v>1.2</v>
      </c>
      <c r="J82">
        <v>4.76</v>
      </c>
      <c r="K82">
        <v>0</v>
      </c>
      <c r="L82">
        <v>54.25</v>
      </c>
      <c r="M82">
        <v>7.7200000000000005E-2</v>
      </c>
      <c r="N82">
        <v>100.938</v>
      </c>
      <c r="O82" t="s">
        <v>347</v>
      </c>
      <c r="Q82">
        <f t="shared" si="2"/>
        <v>60.62</v>
      </c>
      <c r="R82">
        <f>I82-(K82*Standards!$I$15)</f>
        <v>1.2</v>
      </c>
      <c r="S82">
        <f t="shared" si="3"/>
        <v>3.7900000000000003E-2</v>
      </c>
      <c r="T82" t="s">
        <v>24</v>
      </c>
    </row>
    <row r="83" spans="1:31">
      <c r="A83">
        <v>89</v>
      </c>
      <c r="B83">
        <v>0</v>
      </c>
      <c r="C83">
        <v>0.1033</v>
      </c>
      <c r="D83">
        <v>34.04</v>
      </c>
      <c r="E83">
        <v>0</v>
      </c>
      <c r="F83">
        <v>0</v>
      </c>
      <c r="G83">
        <v>0.14080000000000001</v>
      </c>
      <c r="H83">
        <v>6.31</v>
      </c>
      <c r="I83">
        <v>1.36</v>
      </c>
      <c r="J83">
        <v>4.99</v>
      </c>
      <c r="K83">
        <v>0</v>
      </c>
      <c r="L83">
        <v>54.23</v>
      </c>
      <c r="M83">
        <v>6.2E-2</v>
      </c>
      <c r="N83">
        <v>101.236</v>
      </c>
      <c r="O83" t="s">
        <v>347</v>
      </c>
      <c r="Q83">
        <f t="shared" si="2"/>
        <v>60.54</v>
      </c>
      <c r="R83">
        <f>I83-(K83*Standards!$I$15)</f>
        <v>1.36</v>
      </c>
      <c r="S83">
        <f t="shared" si="3"/>
        <v>3.5299999999999998E-2</v>
      </c>
      <c r="T83" t="s">
        <v>24</v>
      </c>
    </row>
    <row r="84" spans="1:31">
      <c r="A84">
        <v>90</v>
      </c>
      <c r="B84">
        <v>0</v>
      </c>
      <c r="C84">
        <v>0.1217</v>
      </c>
      <c r="D84">
        <v>33.28</v>
      </c>
      <c r="E84">
        <v>0</v>
      </c>
      <c r="F84">
        <v>0</v>
      </c>
      <c r="G84">
        <v>0.13300000000000001</v>
      </c>
      <c r="H84">
        <v>5.24</v>
      </c>
      <c r="I84">
        <v>1.42</v>
      </c>
      <c r="J84">
        <v>6.94</v>
      </c>
      <c r="K84">
        <v>0</v>
      </c>
      <c r="L84">
        <v>53.61</v>
      </c>
      <c r="M84">
        <v>4.6600000000000003E-2</v>
      </c>
      <c r="N84">
        <v>100.7912</v>
      </c>
      <c r="O84" t="s">
        <v>347</v>
      </c>
      <c r="Q84">
        <f t="shared" si="2"/>
        <v>58.85</v>
      </c>
      <c r="R84">
        <f>I84-(K84*Standards!$I$15)</f>
        <v>1.42</v>
      </c>
      <c r="S84">
        <f t="shared" si="3"/>
        <v>5.0700000000000009E-2</v>
      </c>
      <c r="T84" t="s">
        <v>24</v>
      </c>
    </row>
    <row r="85" spans="1:31">
      <c r="A85">
        <v>27</v>
      </c>
      <c r="B85">
        <v>0</v>
      </c>
      <c r="C85">
        <v>6.3E-2</v>
      </c>
      <c r="D85">
        <v>32.07</v>
      </c>
      <c r="E85">
        <v>0.16950000000000001</v>
      </c>
      <c r="F85">
        <v>0</v>
      </c>
      <c r="G85">
        <v>0.37490000000000001</v>
      </c>
      <c r="H85">
        <v>0.1076</v>
      </c>
      <c r="I85">
        <v>0</v>
      </c>
      <c r="J85">
        <v>0</v>
      </c>
      <c r="K85">
        <v>0</v>
      </c>
      <c r="L85">
        <v>69.06</v>
      </c>
      <c r="M85">
        <v>0.1048</v>
      </c>
      <c r="N85">
        <v>101.94970000000001</v>
      </c>
      <c r="O85" t="s">
        <v>348</v>
      </c>
      <c r="Q85">
        <f t="shared" si="2"/>
        <v>69.167600000000007</v>
      </c>
      <c r="R85">
        <f>I85-(K85*Standards!$I$15)</f>
        <v>0</v>
      </c>
      <c r="S85">
        <f t="shared" si="3"/>
        <v>6.3E-2</v>
      </c>
      <c r="T85" t="s">
        <v>157</v>
      </c>
      <c r="U85">
        <f>COUNT(R85:R102)</f>
        <v>18</v>
      </c>
      <c r="V85">
        <f>MAX(H85:H102)</f>
        <v>0.43219999999999997</v>
      </c>
      <c r="W85">
        <f>AVERAGE(H85:H102)</f>
        <v>0.1789611111111111</v>
      </c>
      <c r="X85">
        <f>MAX(J85:J102)</f>
        <v>0.33489999999999998</v>
      </c>
      <c r="Y85">
        <f>AVERAGE(J85:J102)</f>
        <v>3.9322222222222224E-2</v>
      </c>
      <c r="Z85">
        <f>10000*MAX(R85:R102)</f>
        <v>97</v>
      </c>
      <c r="AA85">
        <f>10000*AVERAGE(R85:R102)</f>
        <v>15.999999999999998</v>
      </c>
      <c r="AB85">
        <f>10000*MAX(G85:G102)</f>
        <v>4928</v>
      </c>
      <c r="AC85">
        <f>10000*AVERAGE(G85:G102)</f>
        <v>4088.4444444444453</v>
      </c>
      <c r="AD85">
        <f>10000*MAX(S85:S102)</f>
        <v>630</v>
      </c>
      <c r="AE85">
        <f>10000*AVERAGE(S85:S102)</f>
        <v>467.5888888888889</v>
      </c>
    </row>
    <row r="86" spans="1:31">
      <c r="A86">
        <v>25</v>
      </c>
      <c r="B86">
        <v>0</v>
      </c>
      <c r="C86">
        <v>3.56E-2</v>
      </c>
      <c r="D86">
        <v>34.07</v>
      </c>
      <c r="E86">
        <v>0.23080000000000001</v>
      </c>
      <c r="F86">
        <v>3.8E-3</v>
      </c>
      <c r="G86">
        <v>0.45179999999999998</v>
      </c>
      <c r="H86">
        <v>0.1447</v>
      </c>
      <c r="I86">
        <v>0</v>
      </c>
      <c r="J86">
        <v>0</v>
      </c>
      <c r="K86">
        <v>0</v>
      </c>
      <c r="L86">
        <v>68</v>
      </c>
      <c r="M86">
        <v>0.13139999999999999</v>
      </c>
      <c r="N86">
        <v>103.068</v>
      </c>
      <c r="O86" t="s">
        <v>348</v>
      </c>
      <c r="Q86">
        <f t="shared" si="2"/>
        <v>68.1447</v>
      </c>
      <c r="R86">
        <f>I86-(K86*Standards!$I$15)</f>
        <v>0</v>
      </c>
      <c r="S86">
        <f t="shared" si="3"/>
        <v>3.56E-2</v>
      </c>
      <c r="T86" t="s">
        <v>157</v>
      </c>
    </row>
    <row r="87" spans="1:31">
      <c r="A87">
        <v>17</v>
      </c>
      <c r="B87">
        <v>0</v>
      </c>
      <c r="C87">
        <v>3.3700000000000001E-2</v>
      </c>
      <c r="D87">
        <v>34.200000000000003</v>
      </c>
      <c r="E87">
        <v>0.20419999999999999</v>
      </c>
      <c r="F87">
        <v>0</v>
      </c>
      <c r="G87">
        <v>0.40579999999999999</v>
      </c>
      <c r="H87">
        <v>0.15989999999999999</v>
      </c>
      <c r="I87">
        <v>0</v>
      </c>
      <c r="J87">
        <v>0</v>
      </c>
      <c r="K87">
        <v>0</v>
      </c>
      <c r="L87">
        <v>67.97</v>
      </c>
      <c r="M87">
        <v>0.1489</v>
      </c>
      <c r="N87">
        <v>103.1225</v>
      </c>
      <c r="O87" t="s">
        <v>348</v>
      </c>
      <c r="Q87">
        <f t="shared" si="2"/>
        <v>68.129899999999992</v>
      </c>
      <c r="R87">
        <f>I87-(K87*Standards!$I$15)</f>
        <v>0</v>
      </c>
      <c r="S87">
        <f t="shared" si="3"/>
        <v>3.3700000000000001E-2</v>
      </c>
      <c r="T87" t="s">
        <v>157</v>
      </c>
    </row>
    <row r="88" spans="1:31">
      <c r="A88">
        <v>13</v>
      </c>
      <c r="B88">
        <v>0</v>
      </c>
      <c r="C88">
        <v>3.8800000000000001E-2</v>
      </c>
      <c r="D88">
        <v>33.9</v>
      </c>
      <c r="E88">
        <v>0.24759999999999999</v>
      </c>
      <c r="F88">
        <v>0</v>
      </c>
      <c r="G88">
        <v>0.49280000000000002</v>
      </c>
      <c r="H88">
        <v>0.13619999999999999</v>
      </c>
      <c r="I88">
        <v>5.0000000000000001E-4</v>
      </c>
      <c r="J88">
        <v>0</v>
      </c>
      <c r="K88">
        <v>0</v>
      </c>
      <c r="L88">
        <v>67.900000000000006</v>
      </c>
      <c r="M88">
        <v>0.15060000000000001</v>
      </c>
      <c r="N88">
        <v>102.8664</v>
      </c>
      <c r="O88" t="s">
        <v>348</v>
      </c>
      <c r="Q88">
        <f t="shared" si="2"/>
        <v>68.036200000000008</v>
      </c>
      <c r="R88">
        <f>I88-(K88*Standards!$I$15)</f>
        <v>5.0000000000000001E-4</v>
      </c>
      <c r="S88">
        <f t="shared" si="3"/>
        <v>3.8775000000000004E-2</v>
      </c>
      <c r="T88" t="s">
        <v>157</v>
      </c>
    </row>
    <row r="89" spans="1:31">
      <c r="A89">
        <v>26</v>
      </c>
      <c r="B89">
        <v>0</v>
      </c>
      <c r="C89">
        <v>3.6499999999999998E-2</v>
      </c>
      <c r="D89">
        <v>34.049999999999997</v>
      </c>
      <c r="E89">
        <v>0.2215</v>
      </c>
      <c r="F89">
        <v>0</v>
      </c>
      <c r="G89">
        <v>0.43930000000000002</v>
      </c>
      <c r="H89">
        <v>0.1021</v>
      </c>
      <c r="I89">
        <v>0</v>
      </c>
      <c r="J89">
        <v>0</v>
      </c>
      <c r="K89">
        <v>0</v>
      </c>
      <c r="L89">
        <v>67.84</v>
      </c>
      <c r="M89">
        <v>0.15770000000000001</v>
      </c>
      <c r="N89">
        <v>102.84699999999999</v>
      </c>
      <c r="O89" t="s">
        <v>348</v>
      </c>
      <c r="Q89">
        <f t="shared" si="2"/>
        <v>67.942099999999996</v>
      </c>
      <c r="R89">
        <f>I89-(K89*Standards!$I$15)</f>
        <v>0</v>
      </c>
      <c r="S89">
        <f t="shared" si="3"/>
        <v>3.6499999999999998E-2</v>
      </c>
      <c r="T89" t="s">
        <v>157</v>
      </c>
    </row>
    <row r="90" spans="1:31">
      <c r="A90">
        <v>22</v>
      </c>
      <c r="B90">
        <v>0</v>
      </c>
      <c r="C90">
        <v>4.9000000000000002E-2</v>
      </c>
      <c r="D90">
        <v>34.049999999999997</v>
      </c>
      <c r="E90">
        <v>0.17730000000000001</v>
      </c>
      <c r="F90">
        <v>0</v>
      </c>
      <c r="G90">
        <v>0.3639</v>
      </c>
      <c r="H90">
        <v>0.1003</v>
      </c>
      <c r="I90">
        <v>2.0000000000000001E-4</v>
      </c>
      <c r="J90">
        <v>8.8999999999999999E-3</v>
      </c>
      <c r="K90">
        <v>0</v>
      </c>
      <c r="L90">
        <v>67.819999999999993</v>
      </c>
      <c r="M90">
        <v>0.13089999999999999</v>
      </c>
      <c r="N90">
        <v>102.7004</v>
      </c>
      <c r="O90" t="s">
        <v>348</v>
      </c>
      <c r="Q90">
        <f t="shared" si="2"/>
        <v>67.920299999999997</v>
      </c>
      <c r="R90">
        <f>I90-(K90*Standards!$I$15)</f>
        <v>2.0000000000000001E-4</v>
      </c>
      <c r="S90">
        <f t="shared" si="3"/>
        <v>4.8989999999999999E-2</v>
      </c>
      <c r="T90" t="s">
        <v>157</v>
      </c>
    </row>
    <row r="91" spans="1:31">
      <c r="A91">
        <v>19</v>
      </c>
      <c r="B91">
        <v>0</v>
      </c>
      <c r="C91">
        <v>4.5100000000000001E-2</v>
      </c>
      <c r="D91">
        <v>34.409999999999997</v>
      </c>
      <c r="E91">
        <v>0.22359999999999999</v>
      </c>
      <c r="F91">
        <v>0</v>
      </c>
      <c r="G91">
        <v>0.44729999999999998</v>
      </c>
      <c r="H91">
        <v>0.11600000000000001</v>
      </c>
      <c r="I91">
        <v>5.0000000000000001E-3</v>
      </c>
      <c r="J91">
        <v>9.1999999999999998E-3</v>
      </c>
      <c r="K91">
        <v>0</v>
      </c>
      <c r="L91">
        <v>67.790000000000006</v>
      </c>
      <c r="M91">
        <v>0.15959999999999999</v>
      </c>
      <c r="N91">
        <v>103.20569999999999</v>
      </c>
      <c r="O91" t="s">
        <v>348</v>
      </c>
      <c r="Q91">
        <f t="shared" si="2"/>
        <v>67.906000000000006</v>
      </c>
      <c r="R91">
        <f>I91-(K91*Standards!$I$15)</f>
        <v>5.0000000000000001E-3</v>
      </c>
      <c r="S91">
        <f t="shared" si="3"/>
        <v>4.4850000000000001E-2</v>
      </c>
      <c r="T91" t="s">
        <v>157</v>
      </c>
    </row>
    <row r="92" spans="1:31">
      <c r="A92">
        <v>28</v>
      </c>
      <c r="B92">
        <v>0</v>
      </c>
      <c r="C92">
        <v>4.2900000000000001E-2</v>
      </c>
      <c r="D92">
        <v>33.99</v>
      </c>
      <c r="E92">
        <v>0.152</v>
      </c>
      <c r="F92">
        <v>0</v>
      </c>
      <c r="G92">
        <v>0.36309999999999998</v>
      </c>
      <c r="H92">
        <v>0.1153</v>
      </c>
      <c r="I92">
        <v>0</v>
      </c>
      <c r="J92">
        <v>0</v>
      </c>
      <c r="K92">
        <v>0</v>
      </c>
      <c r="L92">
        <v>67.7</v>
      </c>
      <c r="M92">
        <v>0.14949999999999999</v>
      </c>
      <c r="N92">
        <v>102.5127</v>
      </c>
      <c r="O92" t="s">
        <v>348</v>
      </c>
      <c r="Q92">
        <f t="shared" si="2"/>
        <v>67.815300000000008</v>
      </c>
      <c r="R92">
        <f>I92-(K92*Standards!$I$15)</f>
        <v>0</v>
      </c>
      <c r="S92">
        <f t="shared" si="3"/>
        <v>4.2900000000000001E-2</v>
      </c>
      <c r="T92" t="s">
        <v>157</v>
      </c>
    </row>
    <row r="93" spans="1:31">
      <c r="A93">
        <v>24</v>
      </c>
      <c r="B93">
        <v>0</v>
      </c>
      <c r="C93">
        <v>3.6200000000000003E-2</v>
      </c>
      <c r="D93">
        <v>34.24</v>
      </c>
      <c r="E93">
        <v>0.23050000000000001</v>
      </c>
      <c r="F93">
        <v>8.9999999999999993E-3</v>
      </c>
      <c r="G93">
        <v>0.43730000000000002</v>
      </c>
      <c r="H93">
        <v>0.1595</v>
      </c>
      <c r="I93">
        <v>0</v>
      </c>
      <c r="J93">
        <v>5.7999999999999996E-3</v>
      </c>
      <c r="K93">
        <v>0</v>
      </c>
      <c r="L93">
        <v>67.680000000000007</v>
      </c>
      <c r="M93">
        <v>0.1323</v>
      </c>
      <c r="N93">
        <v>102.93049999999999</v>
      </c>
      <c r="O93" t="s">
        <v>348</v>
      </c>
      <c r="Q93">
        <f t="shared" si="2"/>
        <v>67.839500000000001</v>
      </c>
      <c r="R93">
        <f>I93-(K93*Standards!$I$15)</f>
        <v>0</v>
      </c>
      <c r="S93">
        <f t="shared" si="3"/>
        <v>3.6200000000000003E-2</v>
      </c>
      <c r="T93" t="s">
        <v>157</v>
      </c>
    </row>
    <row r="94" spans="1:31">
      <c r="A94">
        <v>12</v>
      </c>
      <c r="B94">
        <v>0</v>
      </c>
      <c r="C94">
        <v>5.1700000000000003E-2</v>
      </c>
      <c r="D94">
        <v>34.06</v>
      </c>
      <c r="E94">
        <v>0.17230000000000001</v>
      </c>
      <c r="F94">
        <v>1.1999999999999999E-3</v>
      </c>
      <c r="G94">
        <v>0.36059999999999998</v>
      </c>
      <c r="H94">
        <v>0.43219999999999997</v>
      </c>
      <c r="I94">
        <v>0</v>
      </c>
      <c r="J94">
        <v>0.33489999999999998</v>
      </c>
      <c r="K94">
        <v>0</v>
      </c>
      <c r="L94">
        <v>67.650000000000006</v>
      </c>
      <c r="M94">
        <v>0.15579999999999999</v>
      </c>
      <c r="N94">
        <v>103.2187</v>
      </c>
      <c r="O94" t="s">
        <v>348</v>
      </c>
      <c r="Q94">
        <f t="shared" si="2"/>
        <v>68.0822</v>
      </c>
      <c r="R94">
        <f>I94-(K94*Standards!$I$15)</f>
        <v>0</v>
      </c>
      <c r="S94">
        <f t="shared" si="3"/>
        <v>5.1700000000000003E-2</v>
      </c>
      <c r="T94" t="s">
        <v>157</v>
      </c>
    </row>
    <row r="95" spans="1:31">
      <c r="A95">
        <v>31</v>
      </c>
      <c r="B95">
        <v>0</v>
      </c>
      <c r="C95">
        <v>4.4400000000000002E-2</v>
      </c>
      <c r="D95">
        <v>34.01</v>
      </c>
      <c r="E95">
        <v>0.1641</v>
      </c>
      <c r="F95">
        <v>0</v>
      </c>
      <c r="G95">
        <v>0.36909999999999998</v>
      </c>
      <c r="H95">
        <v>0.18970000000000001</v>
      </c>
      <c r="I95">
        <v>1.1000000000000001E-3</v>
      </c>
      <c r="J95">
        <v>4.1000000000000003E-3</v>
      </c>
      <c r="K95">
        <v>0</v>
      </c>
      <c r="L95">
        <v>67.63</v>
      </c>
      <c r="M95">
        <v>0.11840000000000001</v>
      </c>
      <c r="N95">
        <v>102.5308</v>
      </c>
      <c r="O95" t="s">
        <v>348</v>
      </c>
      <c r="Q95">
        <f t="shared" si="2"/>
        <v>67.819699999999997</v>
      </c>
      <c r="R95">
        <f>I95-(K95*Standards!$I$15)</f>
        <v>1.1000000000000001E-3</v>
      </c>
      <c r="S95">
        <f t="shared" si="3"/>
        <v>4.4345000000000002E-2</v>
      </c>
      <c r="T95" t="s">
        <v>157</v>
      </c>
    </row>
    <row r="96" spans="1:31">
      <c r="A96">
        <v>23</v>
      </c>
      <c r="B96">
        <v>0</v>
      </c>
      <c r="C96">
        <v>5.9700000000000003E-2</v>
      </c>
      <c r="D96">
        <v>34.03</v>
      </c>
      <c r="E96">
        <v>0.22989999999999999</v>
      </c>
      <c r="F96">
        <v>0</v>
      </c>
      <c r="G96">
        <v>0.43809999999999999</v>
      </c>
      <c r="H96">
        <v>0.16059999999999999</v>
      </c>
      <c r="I96">
        <v>2.8999999999999998E-3</v>
      </c>
      <c r="J96">
        <v>0</v>
      </c>
      <c r="K96">
        <v>0</v>
      </c>
      <c r="L96">
        <v>67.62</v>
      </c>
      <c r="M96">
        <v>0.15920000000000001</v>
      </c>
      <c r="N96">
        <v>102.7003</v>
      </c>
      <c r="O96" t="s">
        <v>348</v>
      </c>
      <c r="Q96">
        <f t="shared" si="2"/>
        <v>67.780600000000007</v>
      </c>
      <c r="R96">
        <f>I96-(K96*Standards!$I$15)</f>
        <v>2.8999999999999998E-3</v>
      </c>
      <c r="S96">
        <f t="shared" si="3"/>
        <v>5.9555000000000004E-2</v>
      </c>
      <c r="T96" t="s">
        <v>157</v>
      </c>
    </row>
    <row r="97" spans="1:31">
      <c r="A97">
        <v>16</v>
      </c>
      <c r="B97">
        <v>0</v>
      </c>
      <c r="C97">
        <v>5.0099999999999999E-2</v>
      </c>
      <c r="D97">
        <v>34.159999999999997</v>
      </c>
      <c r="E97">
        <v>0.20349999999999999</v>
      </c>
      <c r="F97">
        <v>0</v>
      </c>
      <c r="G97">
        <v>0.39029999999999998</v>
      </c>
      <c r="H97">
        <v>0.13100000000000001</v>
      </c>
      <c r="I97">
        <v>0</v>
      </c>
      <c r="J97">
        <v>0</v>
      </c>
      <c r="K97">
        <v>0</v>
      </c>
      <c r="L97">
        <v>67.55</v>
      </c>
      <c r="M97">
        <v>0.12989999999999999</v>
      </c>
      <c r="N97">
        <v>102.6147</v>
      </c>
      <c r="O97" t="s">
        <v>348</v>
      </c>
      <c r="Q97">
        <f t="shared" si="2"/>
        <v>67.680999999999997</v>
      </c>
      <c r="R97">
        <f>I97-(K97*Standards!$I$15)</f>
        <v>0</v>
      </c>
      <c r="S97">
        <f t="shared" si="3"/>
        <v>5.0099999999999999E-2</v>
      </c>
      <c r="T97" t="s">
        <v>157</v>
      </c>
    </row>
    <row r="98" spans="1:31">
      <c r="A98">
        <v>14</v>
      </c>
      <c r="B98">
        <v>0</v>
      </c>
      <c r="C98">
        <v>4.87E-2</v>
      </c>
      <c r="D98">
        <v>34.07</v>
      </c>
      <c r="E98">
        <v>0.219</v>
      </c>
      <c r="F98">
        <v>0</v>
      </c>
      <c r="G98">
        <v>0.4259</v>
      </c>
      <c r="H98">
        <v>0.18720000000000001</v>
      </c>
      <c r="I98">
        <v>2.3E-3</v>
      </c>
      <c r="J98">
        <v>0</v>
      </c>
      <c r="K98">
        <v>0</v>
      </c>
      <c r="L98">
        <v>67.540000000000006</v>
      </c>
      <c r="M98">
        <v>0.1002</v>
      </c>
      <c r="N98">
        <v>102.5932</v>
      </c>
      <c r="O98" t="s">
        <v>348</v>
      </c>
      <c r="Q98">
        <f t="shared" si="2"/>
        <v>67.727200000000011</v>
      </c>
      <c r="R98">
        <f>I98-(K98*Standards!$I$15)</f>
        <v>2.3E-3</v>
      </c>
      <c r="S98">
        <f t="shared" si="3"/>
        <v>4.8585000000000003E-2</v>
      </c>
      <c r="T98" t="s">
        <v>157</v>
      </c>
    </row>
    <row r="99" spans="1:31">
      <c r="A99">
        <v>15</v>
      </c>
      <c r="B99">
        <v>0</v>
      </c>
      <c r="C99">
        <v>5.45E-2</v>
      </c>
      <c r="D99">
        <v>34.07</v>
      </c>
      <c r="E99">
        <v>0.24640000000000001</v>
      </c>
      <c r="F99">
        <v>0</v>
      </c>
      <c r="G99">
        <v>0.48670000000000002</v>
      </c>
      <c r="H99">
        <v>0.1928</v>
      </c>
      <c r="I99">
        <v>9.7000000000000003E-3</v>
      </c>
      <c r="J99">
        <v>0</v>
      </c>
      <c r="K99">
        <v>0</v>
      </c>
      <c r="L99">
        <v>67.489999999999995</v>
      </c>
      <c r="M99">
        <v>0.13789999999999999</v>
      </c>
      <c r="N99">
        <v>102.6879</v>
      </c>
      <c r="O99" t="s">
        <v>348</v>
      </c>
      <c r="Q99">
        <f t="shared" si="2"/>
        <v>67.6828</v>
      </c>
      <c r="R99">
        <f>I99-(K99*Standards!$I$15)</f>
        <v>9.7000000000000003E-3</v>
      </c>
      <c r="S99">
        <f t="shared" si="3"/>
        <v>5.4015000000000001E-2</v>
      </c>
      <c r="T99" t="s">
        <v>157</v>
      </c>
    </row>
    <row r="100" spans="1:31">
      <c r="A100">
        <v>18</v>
      </c>
      <c r="B100">
        <v>0</v>
      </c>
      <c r="C100">
        <v>5.0099999999999999E-2</v>
      </c>
      <c r="D100">
        <v>34.19</v>
      </c>
      <c r="E100">
        <v>0.1792</v>
      </c>
      <c r="F100">
        <v>0</v>
      </c>
      <c r="G100">
        <v>0.38200000000000001</v>
      </c>
      <c r="H100">
        <v>0.15379999999999999</v>
      </c>
      <c r="I100">
        <v>0</v>
      </c>
      <c r="J100">
        <v>0</v>
      </c>
      <c r="K100">
        <v>0</v>
      </c>
      <c r="L100">
        <v>67.48</v>
      </c>
      <c r="M100">
        <v>0.16189999999999999</v>
      </c>
      <c r="N100">
        <v>102.59699999999999</v>
      </c>
      <c r="O100" t="s">
        <v>348</v>
      </c>
      <c r="Q100">
        <f t="shared" si="2"/>
        <v>67.633800000000008</v>
      </c>
      <c r="R100">
        <f>I100-(K100*Standards!$I$15)</f>
        <v>0</v>
      </c>
      <c r="S100">
        <f t="shared" si="3"/>
        <v>5.0099999999999999E-2</v>
      </c>
      <c r="T100" t="s">
        <v>157</v>
      </c>
    </row>
    <row r="101" spans="1:31">
      <c r="A101">
        <v>30</v>
      </c>
      <c r="B101">
        <v>0</v>
      </c>
      <c r="C101">
        <v>5.3499999999999999E-2</v>
      </c>
      <c r="D101">
        <v>34.17</v>
      </c>
      <c r="E101">
        <v>0.1782</v>
      </c>
      <c r="F101">
        <v>0</v>
      </c>
      <c r="G101">
        <v>0.36149999999999999</v>
      </c>
      <c r="H101">
        <v>0.24660000000000001</v>
      </c>
      <c r="I101">
        <v>7.1000000000000004E-3</v>
      </c>
      <c r="J101">
        <v>0.13020000000000001</v>
      </c>
      <c r="K101">
        <v>0</v>
      </c>
      <c r="L101">
        <v>67.39</v>
      </c>
      <c r="M101">
        <v>0.11509999999999999</v>
      </c>
      <c r="N101">
        <v>102.6521</v>
      </c>
      <c r="O101" t="s">
        <v>348</v>
      </c>
      <c r="Q101">
        <f t="shared" si="2"/>
        <v>67.636600000000001</v>
      </c>
      <c r="R101">
        <f>I101-(K101*Standards!$I$15)</f>
        <v>7.1000000000000004E-3</v>
      </c>
      <c r="S101">
        <f t="shared" si="3"/>
        <v>5.3144999999999998E-2</v>
      </c>
      <c r="T101" t="s">
        <v>157</v>
      </c>
    </row>
    <row r="102" spans="1:31">
      <c r="A102">
        <v>29</v>
      </c>
      <c r="B102">
        <v>0</v>
      </c>
      <c r="C102">
        <v>4.9599999999999998E-2</v>
      </c>
      <c r="D102">
        <v>34.020000000000003</v>
      </c>
      <c r="E102">
        <v>0.16039999999999999</v>
      </c>
      <c r="F102">
        <v>0</v>
      </c>
      <c r="G102">
        <v>0.36880000000000002</v>
      </c>
      <c r="H102">
        <v>0.38579999999999998</v>
      </c>
      <c r="I102">
        <v>0</v>
      </c>
      <c r="J102">
        <v>0.2147</v>
      </c>
      <c r="K102">
        <v>0</v>
      </c>
      <c r="L102">
        <v>67.28</v>
      </c>
      <c r="M102">
        <v>0.1123</v>
      </c>
      <c r="N102">
        <v>102.5915</v>
      </c>
      <c r="O102" t="s">
        <v>348</v>
      </c>
      <c r="Q102">
        <f t="shared" si="2"/>
        <v>67.665800000000004</v>
      </c>
      <c r="R102">
        <f>I102-(K102*Standards!$I$15)</f>
        <v>0</v>
      </c>
      <c r="S102">
        <f t="shared" si="3"/>
        <v>4.9599999999999998E-2</v>
      </c>
      <c r="T102" t="s">
        <v>157</v>
      </c>
    </row>
    <row r="103" spans="1:31">
      <c r="A103">
        <v>161</v>
      </c>
      <c r="B103">
        <v>0</v>
      </c>
      <c r="C103">
        <v>3.4599999999999999E-2</v>
      </c>
      <c r="D103">
        <v>34.200000000000003</v>
      </c>
      <c r="E103">
        <v>0.1009</v>
      </c>
      <c r="F103">
        <v>0</v>
      </c>
      <c r="G103">
        <v>0.20949999999999999</v>
      </c>
      <c r="H103">
        <v>5.75</v>
      </c>
      <c r="I103">
        <v>6.54E-2</v>
      </c>
      <c r="J103">
        <v>1.46</v>
      </c>
      <c r="K103">
        <v>0</v>
      </c>
      <c r="L103">
        <v>60.2</v>
      </c>
      <c r="M103">
        <v>0.1135</v>
      </c>
      <c r="N103">
        <v>102.1339</v>
      </c>
      <c r="O103" t="s">
        <v>349</v>
      </c>
      <c r="Q103">
        <f t="shared" si="2"/>
        <v>65.95</v>
      </c>
      <c r="R103">
        <f>I103-(K103*Standards!$I$15)</f>
        <v>6.54E-2</v>
      </c>
      <c r="S103">
        <f t="shared" si="3"/>
        <v>3.1329999999999997E-2</v>
      </c>
      <c r="T103" t="s">
        <v>38</v>
      </c>
      <c r="U103">
        <f>COUNT(R103:R147)</f>
        <v>45</v>
      </c>
      <c r="V103">
        <f>MAX(H103:H147)</f>
        <v>11.83</v>
      </c>
      <c r="W103">
        <f>AVERAGE(H103:H147)</f>
        <v>10.475111111111111</v>
      </c>
      <c r="X103">
        <f>MAX(J103:J147)</f>
        <v>4.3899999999999997</v>
      </c>
      <c r="Y103">
        <f>AVERAGE(J103:J147)</f>
        <v>0.55967111111111123</v>
      </c>
      <c r="Z103">
        <f>10000*MAX(R103:R147)</f>
        <v>839</v>
      </c>
      <c r="AA103">
        <f>10000*AVERAGE(R103:R147)</f>
        <v>263.11111111111114</v>
      </c>
      <c r="AB103">
        <f>10000*MAX(G103:G147)</f>
        <v>2095</v>
      </c>
      <c r="AC103">
        <f>10000*AVERAGE(G103:G147)</f>
        <v>1440.0222222222219</v>
      </c>
      <c r="AD103">
        <f>10000*MAX(S103:S147)</f>
        <v>396.40000000000003</v>
      </c>
      <c r="AE103">
        <f>10000*AVERAGE(S103:S147)</f>
        <v>260.68888888888887</v>
      </c>
    </row>
    <row r="104" spans="1:31">
      <c r="A104">
        <v>160</v>
      </c>
      <c r="B104">
        <v>0</v>
      </c>
      <c r="C104">
        <v>4.3799999999999999E-2</v>
      </c>
      <c r="D104">
        <v>34.03</v>
      </c>
      <c r="E104">
        <v>9.74E-2</v>
      </c>
      <c r="F104">
        <v>0</v>
      </c>
      <c r="G104">
        <v>0.20380000000000001</v>
      </c>
      <c r="H104">
        <v>4.92</v>
      </c>
      <c r="I104">
        <v>8.3199999999999996E-2</v>
      </c>
      <c r="J104">
        <v>2.79</v>
      </c>
      <c r="K104">
        <v>0</v>
      </c>
      <c r="L104">
        <v>59.52</v>
      </c>
      <c r="M104">
        <v>0.12670000000000001</v>
      </c>
      <c r="N104">
        <v>101.81480000000001</v>
      </c>
      <c r="O104" t="s">
        <v>349</v>
      </c>
      <c r="Q104">
        <f t="shared" si="2"/>
        <v>64.44</v>
      </c>
      <c r="R104">
        <f>I104-(K104*Standards!$I$15)</f>
        <v>8.3199999999999996E-2</v>
      </c>
      <c r="S104">
        <f t="shared" si="3"/>
        <v>3.9640000000000002E-2</v>
      </c>
      <c r="T104" t="s">
        <v>38</v>
      </c>
    </row>
    <row r="105" spans="1:31">
      <c r="A105">
        <v>133</v>
      </c>
      <c r="B105">
        <v>0</v>
      </c>
      <c r="C105">
        <v>3.32E-2</v>
      </c>
      <c r="D105">
        <v>33.96</v>
      </c>
      <c r="E105">
        <v>8.9200000000000002E-2</v>
      </c>
      <c r="F105">
        <v>0</v>
      </c>
      <c r="G105">
        <v>0.1721</v>
      </c>
      <c r="H105">
        <v>5.27</v>
      </c>
      <c r="I105">
        <v>2.92E-2</v>
      </c>
      <c r="J105">
        <v>3.82</v>
      </c>
      <c r="K105">
        <v>0</v>
      </c>
      <c r="L105">
        <v>58.51</v>
      </c>
      <c r="M105">
        <v>8.7300000000000003E-2</v>
      </c>
      <c r="N105">
        <v>101.9709</v>
      </c>
      <c r="O105" t="s">
        <v>349</v>
      </c>
      <c r="Q105">
        <f t="shared" si="2"/>
        <v>63.78</v>
      </c>
      <c r="R105">
        <f>I105-(K105*Standards!$I$15)</f>
        <v>2.92E-2</v>
      </c>
      <c r="S105">
        <f t="shared" si="3"/>
        <v>3.1739999999999997E-2</v>
      </c>
      <c r="T105" t="s">
        <v>38</v>
      </c>
    </row>
    <row r="106" spans="1:31">
      <c r="A106">
        <v>157</v>
      </c>
      <c r="B106">
        <v>0</v>
      </c>
      <c r="C106">
        <v>3.3599999999999998E-2</v>
      </c>
      <c r="D106">
        <v>34.29</v>
      </c>
      <c r="E106">
        <v>5.2299999999999999E-2</v>
      </c>
      <c r="F106">
        <v>0</v>
      </c>
      <c r="G106">
        <v>0.1125</v>
      </c>
      <c r="H106">
        <v>9.57</v>
      </c>
      <c r="I106">
        <v>8.3900000000000002E-2</v>
      </c>
      <c r="J106">
        <v>2.98E-2</v>
      </c>
      <c r="K106">
        <v>0</v>
      </c>
      <c r="L106">
        <v>57.96</v>
      </c>
      <c r="M106">
        <v>0.1004</v>
      </c>
      <c r="N106">
        <v>102.2324</v>
      </c>
      <c r="O106" t="s">
        <v>349</v>
      </c>
      <c r="Q106">
        <f t="shared" si="2"/>
        <v>67.53</v>
      </c>
      <c r="R106">
        <f>I106-(K106*Standards!$I$15)</f>
        <v>8.3900000000000002E-2</v>
      </c>
      <c r="S106">
        <f t="shared" si="3"/>
        <v>2.9404999999999997E-2</v>
      </c>
      <c r="T106" t="s">
        <v>38</v>
      </c>
    </row>
    <row r="107" spans="1:31">
      <c r="A107">
        <v>127</v>
      </c>
      <c r="B107">
        <v>0</v>
      </c>
      <c r="C107">
        <v>2.8299999999999999E-2</v>
      </c>
      <c r="D107">
        <v>34.26</v>
      </c>
      <c r="E107">
        <v>9.0800000000000006E-2</v>
      </c>
      <c r="F107">
        <v>0</v>
      </c>
      <c r="G107">
        <v>0.18240000000000001</v>
      </c>
      <c r="H107">
        <v>8.18</v>
      </c>
      <c r="I107">
        <v>4.4999999999999997E-3</v>
      </c>
      <c r="J107">
        <v>1.54</v>
      </c>
      <c r="K107">
        <v>0</v>
      </c>
      <c r="L107">
        <v>57.84</v>
      </c>
      <c r="M107">
        <v>0.1106</v>
      </c>
      <c r="N107">
        <v>102.2366</v>
      </c>
      <c r="O107" t="s">
        <v>349</v>
      </c>
      <c r="Q107">
        <f t="shared" si="2"/>
        <v>66.02000000000001</v>
      </c>
      <c r="R107">
        <f>I107-(K107*Standards!$I$15)</f>
        <v>4.4999999999999997E-3</v>
      </c>
      <c r="S107">
        <f t="shared" si="3"/>
        <v>2.8074999999999999E-2</v>
      </c>
      <c r="T107" t="s">
        <v>38</v>
      </c>
    </row>
    <row r="108" spans="1:31">
      <c r="A108">
        <v>149</v>
      </c>
      <c r="B108">
        <v>0</v>
      </c>
      <c r="C108">
        <v>2.4899999999999999E-2</v>
      </c>
      <c r="D108">
        <v>33.71</v>
      </c>
      <c r="E108">
        <v>0.125</v>
      </c>
      <c r="F108">
        <v>0</v>
      </c>
      <c r="G108">
        <v>0.19539999999999999</v>
      </c>
      <c r="H108">
        <v>5.35</v>
      </c>
      <c r="I108">
        <v>7.5300000000000006E-2</v>
      </c>
      <c r="J108">
        <v>4</v>
      </c>
      <c r="K108">
        <v>0</v>
      </c>
      <c r="L108">
        <v>57.49</v>
      </c>
      <c r="M108">
        <v>0.1142</v>
      </c>
      <c r="N108">
        <v>101.0847</v>
      </c>
      <c r="O108" t="s">
        <v>349</v>
      </c>
      <c r="Q108">
        <f t="shared" si="2"/>
        <v>62.84</v>
      </c>
      <c r="R108">
        <f>I108-(K108*Standards!$I$15)</f>
        <v>7.5300000000000006E-2</v>
      </c>
      <c r="S108">
        <f t="shared" si="3"/>
        <v>2.1134999999999998E-2</v>
      </c>
      <c r="T108" t="s">
        <v>38</v>
      </c>
    </row>
    <row r="109" spans="1:31">
      <c r="A109">
        <v>128</v>
      </c>
      <c r="B109">
        <v>0</v>
      </c>
      <c r="C109">
        <v>0.04</v>
      </c>
      <c r="D109">
        <v>34.130000000000003</v>
      </c>
      <c r="E109">
        <v>7.7700000000000005E-2</v>
      </c>
      <c r="F109">
        <v>0</v>
      </c>
      <c r="G109">
        <v>0.1593</v>
      </c>
      <c r="H109">
        <v>9.06</v>
      </c>
      <c r="I109">
        <v>1.0699999999999999E-2</v>
      </c>
      <c r="J109">
        <v>1.1100000000000001</v>
      </c>
      <c r="K109">
        <v>0</v>
      </c>
      <c r="L109">
        <v>57.18</v>
      </c>
      <c r="M109">
        <v>0.114</v>
      </c>
      <c r="N109">
        <v>101.8817</v>
      </c>
      <c r="O109" t="s">
        <v>349</v>
      </c>
      <c r="Q109">
        <f t="shared" si="2"/>
        <v>66.239999999999995</v>
      </c>
      <c r="R109">
        <f>I109-(K109*Standards!$I$15)</f>
        <v>1.0699999999999999E-2</v>
      </c>
      <c r="S109">
        <f t="shared" si="3"/>
        <v>3.9465E-2</v>
      </c>
      <c r="T109" t="s">
        <v>38</v>
      </c>
    </row>
    <row r="110" spans="1:31">
      <c r="A110">
        <v>134</v>
      </c>
      <c r="B110">
        <v>0</v>
      </c>
      <c r="C110">
        <v>3.9899999999999998E-2</v>
      </c>
      <c r="D110">
        <v>34.18</v>
      </c>
      <c r="E110">
        <v>6.3899999999999998E-2</v>
      </c>
      <c r="F110">
        <v>0</v>
      </c>
      <c r="G110">
        <v>0.1226</v>
      </c>
      <c r="H110">
        <v>10.199999999999999</v>
      </c>
      <c r="I110">
        <v>4.0300000000000002E-2</v>
      </c>
      <c r="J110">
        <v>2.9999999999999997E-4</v>
      </c>
      <c r="K110">
        <v>0</v>
      </c>
      <c r="L110">
        <v>56.81</v>
      </c>
      <c r="M110">
        <v>0.11749999999999999</v>
      </c>
      <c r="N110">
        <v>101.5744</v>
      </c>
      <c r="O110" t="s">
        <v>349</v>
      </c>
      <c r="Q110">
        <f t="shared" si="2"/>
        <v>67.010000000000005</v>
      </c>
      <c r="R110">
        <f>I110-(K110*Standards!$I$15)</f>
        <v>4.0300000000000002E-2</v>
      </c>
      <c r="S110">
        <f t="shared" si="3"/>
        <v>3.7884999999999995E-2</v>
      </c>
      <c r="T110" t="s">
        <v>38</v>
      </c>
    </row>
    <row r="111" spans="1:31">
      <c r="A111">
        <v>159</v>
      </c>
      <c r="B111">
        <v>0</v>
      </c>
      <c r="C111">
        <v>2.1000000000000001E-2</v>
      </c>
      <c r="D111">
        <v>34.25</v>
      </c>
      <c r="E111">
        <v>6.93E-2</v>
      </c>
      <c r="F111">
        <v>0</v>
      </c>
      <c r="G111">
        <v>0.15190000000000001</v>
      </c>
      <c r="H111">
        <v>7.81</v>
      </c>
      <c r="I111">
        <v>1.67E-2</v>
      </c>
      <c r="J111">
        <v>2.68</v>
      </c>
      <c r="K111">
        <v>0</v>
      </c>
      <c r="L111">
        <v>56.54</v>
      </c>
      <c r="M111">
        <v>9.9599999999999994E-2</v>
      </c>
      <c r="N111">
        <v>101.63849999999999</v>
      </c>
      <c r="O111" t="s">
        <v>349</v>
      </c>
      <c r="Q111">
        <f t="shared" si="2"/>
        <v>64.349999999999994</v>
      </c>
      <c r="R111">
        <f>I111-(K111*Standards!$I$15)</f>
        <v>1.67E-2</v>
      </c>
      <c r="S111">
        <f t="shared" si="3"/>
        <v>2.0165000000000002E-2</v>
      </c>
      <c r="T111" t="s">
        <v>38</v>
      </c>
    </row>
    <row r="112" spans="1:31">
      <c r="A112">
        <v>186</v>
      </c>
      <c r="B112">
        <v>0</v>
      </c>
      <c r="C112">
        <v>2.1100000000000001E-2</v>
      </c>
      <c r="D112">
        <v>34.29</v>
      </c>
      <c r="E112">
        <v>5.8200000000000002E-2</v>
      </c>
      <c r="F112">
        <v>0</v>
      </c>
      <c r="G112">
        <v>0.1338</v>
      </c>
      <c r="H112">
        <v>11.04</v>
      </c>
      <c r="I112">
        <v>1.7899999999999999E-2</v>
      </c>
      <c r="J112">
        <v>2.7699999999999999E-2</v>
      </c>
      <c r="K112">
        <v>0</v>
      </c>
      <c r="L112">
        <v>56.11</v>
      </c>
      <c r="M112">
        <v>0.1246</v>
      </c>
      <c r="N112">
        <v>101.8232</v>
      </c>
      <c r="O112" t="s">
        <v>349</v>
      </c>
      <c r="Q112">
        <f t="shared" si="2"/>
        <v>67.150000000000006</v>
      </c>
      <c r="R112">
        <f>I112-(K112*Standards!$I$15)</f>
        <v>1.7899999999999999E-2</v>
      </c>
      <c r="S112">
        <f t="shared" si="3"/>
        <v>2.0205000000000001E-2</v>
      </c>
      <c r="T112" t="s">
        <v>38</v>
      </c>
    </row>
    <row r="113" spans="1:20">
      <c r="A113">
        <v>170</v>
      </c>
      <c r="B113">
        <v>0</v>
      </c>
      <c r="C113">
        <v>3.0599999999999999E-2</v>
      </c>
      <c r="D113">
        <v>34.229999999999997</v>
      </c>
      <c r="E113">
        <v>5.57E-2</v>
      </c>
      <c r="F113">
        <v>0</v>
      </c>
      <c r="G113">
        <v>0.14799999999999999</v>
      </c>
      <c r="H113">
        <v>11.03</v>
      </c>
      <c r="I113">
        <v>1.0699999999999999E-2</v>
      </c>
      <c r="J113">
        <v>0.25440000000000002</v>
      </c>
      <c r="K113">
        <v>0</v>
      </c>
      <c r="L113">
        <v>56.06</v>
      </c>
      <c r="M113">
        <v>0.1087</v>
      </c>
      <c r="N113">
        <v>101.928</v>
      </c>
      <c r="O113" t="s">
        <v>349</v>
      </c>
      <c r="Q113">
        <f t="shared" si="2"/>
        <v>67.09</v>
      </c>
      <c r="R113">
        <f>I113-(K113*Standards!$I$15)</f>
        <v>1.0699999999999999E-2</v>
      </c>
      <c r="S113">
        <f t="shared" si="3"/>
        <v>3.0064999999999998E-2</v>
      </c>
      <c r="T113" t="s">
        <v>38</v>
      </c>
    </row>
    <row r="114" spans="1:20">
      <c r="A114">
        <v>184</v>
      </c>
      <c r="B114">
        <v>0</v>
      </c>
      <c r="C114">
        <v>3.0099999999999998E-2</v>
      </c>
      <c r="D114">
        <v>34.39</v>
      </c>
      <c r="E114">
        <v>7.0199999999999999E-2</v>
      </c>
      <c r="F114">
        <v>0</v>
      </c>
      <c r="G114">
        <v>0.1404</v>
      </c>
      <c r="H114">
        <v>11.19</v>
      </c>
      <c r="I114">
        <v>2.3E-2</v>
      </c>
      <c r="J114">
        <v>7.1000000000000004E-3</v>
      </c>
      <c r="K114">
        <v>0</v>
      </c>
      <c r="L114">
        <v>56.05</v>
      </c>
      <c r="M114">
        <v>0.1227</v>
      </c>
      <c r="N114">
        <v>102.0235</v>
      </c>
      <c r="O114" t="s">
        <v>349</v>
      </c>
      <c r="Q114">
        <f t="shared" si="2"/>
        <v>67.239999999999995</v>
      </c>
      <c r="R114">
        <f>I114-(K114*Standards!$I$15)</f>
        <v>2.3E-2</v>
      </c>
      <c r="S114">
        <f t="shared" si="3"/>
        <v>2.8949999999999997E-2</v>
      </c>
      <c r="T114" t="s">
        <v>38</v>
      </c>
    </row>
    <row r="115" spans="1:20">
      <c r="A115">
        <v>131</v>
      </c>
      <c r="B115">
        <v>0</v>
      </c>
      <c r="C115">
        <v>2.9100000000000001E-2</v>
      </c>
      <c r="D115">
        <v>34.43</v>
      </c>
      <c r="E115">
        <v>5.6099999999999997E-2</v>
      </c>
      <c r="F115">
        <v>0</v>
      </c>
      <c r="G115">
        <v>0.14760000000000001</v>
      </c>
      <c r="H115">
        <v>11.44</v>
      </c>
      <c r="I115">
        <v>2.2100000000000002E-2</v>
      </c>
      <c r="J115">
        <v>0.1212</v>
      </c>
      <c r="K115">
        <v>0</v>
      </c>
      <c r="L115">
        <v>55.95</v>
      </c>
      <c r="M115">
        <v>0.11600000000000001</v>
      </c>
      <c r="N115">
        <v>102.312</v>
      </c>
      <c r="O115" t="s">
        <v>349</v>
      </c>
      <c r="Q115">
        <f t="shared" si="2"/>
        <v>67.39</v>
      </c>
      <c r="R115">
        <f>I115-(K115*Standards!$I$15)</f>
        <v>2.2100000000000002E-2</v>
      </c>
      <c r="S115">
        <f t="shared" si="3"/>
        <v>2.7994999999999999E-2</v>
      </c>
      <c r="T115" t="s">
        <v>38</v>
      </c>
    </row>
    <row r="116" spans="1:20">
      <c r="A116">
        <v>137</v>
      </c>
      <c r="B116">
        <v>0</v>
      </c>
      <c r="C116">
        <v>2.5899999999999999E-2</v>
      </c>
      <c r="D116">
        <v>34.33</v>
      </c>
      <c r="E116">
        <v>7.1999999999999995E-2</v>
      </c>
      <c r="F116">
        <v>0</v>
      </c>
      <c r="G116">
        <v>0.13389999999999999</v>
      </c>
      <c r="H116">
        <v>11.25</v>
      </c>
      <c r="I116">
        <v>1.8599999999999998E-2</v>
      </c>
      <c r="J116">
        <v>3.15E-2</v>
      </c>
      <c r="K116">
        <v>0</v>
      </c>
      <c r="L116">
        <v>55.94</v>
      </c>
      <c r="M116">
        <v>0.12620000000000001</v>
      </c>
      <c r="N116">
        <v>101.928</v>
      </c>
      <c r="O116" t="s">
        <v>349</v>
      </c>
      <c r="Q116">
        <f t="shared" si="2"/>
        <v>67.19</v>
      </c>
      <c r="R116">
        <f>I116-(K116*Standards!$I$15)</f>
        <v>1.8599999999999998E-2</v>
      </c>
      <c r="S116">
        <f t="shared" si="3"/>
        <v>2.4969999999999999E-2</v>
      </c>
      <c r="T116" t="s">
        <v>38</v>
      </c>
    </row>
    <row r="117" spans="1:20">
      <c r="A117">
        <v>126</v>
      </c>
      <c r="B117">
        <v>0</v>
      </c>
      <c r="C117">
        <v>1.7500000000000002E-2</v>
      </c>
      <c r="D117">
        <v>34.58</v>
      </c>
      <c r="E117">
        <v>7.2300000000000003E-2</v>
      </c>
      <c r="F117">
        <v>0</v>
      </c>
      <c r="G117">
        <v>0.14099999999999999</v>
      </c>
      <c r="H117">
        <v>11.26</v>
      </c>
      <c r="I117">
        <v>6.0000000000000001E-3</v>
      </c>
      <c r="J117">
        <v>9.1499999999999998E-2</v>
      </c>
      <c r="K117">
        <v>0</v>
      </c>
      <c r="L117">
        <v>55.85</v>
      </c>
      <c r="M117">
        <v>0.10680000000000001</v>
      </c>
      <c r="N117">
        <v>102.125</v>
      </c>
      <c r="O117" t="s">
        <v>349</v>
      </c>
      <c r="Q117">
        <f t="shared" si="2"/>
        <v>67.11</v>
      </c>
      <c r="R117">
        <f>I117-(K117*Standards!$I$15)</f>
        <v>6.0000000000000001E-3</v>
      </c>
      <c r="S117">
        <f t="shared" si="3"/>
        <v>1.72E-2</v>
      </c>
      <c r="T117" t="s">
        <v>38</v>
      </c>
    </row>
    <row r="118" spans="1:20">
      <c r="A118">
        <v>146</v>
      </c>
      <c r="B118">
        <v>0</v>
      </c>
      <c r="C118">
        <v>4.0800000000000003E-2</v>
      </c>
      <c r="D118">
        <v>34.25</v>
      </c>
      <c r="E118">
        <v>6.0299999999999999E-2</v>
      </c>
      <c r="F118">
        <v>0</v>
      </c>
      <c r="G118">
        <v>0.1348</v>
      </c>
      <c r="H118">
        <v>11.27</v>
      </c>
      <c r="I118">
        <v>2.7400000000000001E-2</v>
      </c>
      <c r="J118">
        <v>1.5599999999999999E-2</v>
      </c>
      <c r="K118">
        <v>0</v>
      </c>
      <c r="L118">
        <v>55.85</v>
      </c>
      <c r="M118">
        <v>0.1138</v>
      </c>
      <c r="N118">
        <v>101.76260000000001</v>
      </c>
      <c r="O118" t="s">
        <v>349</v>
      </c>
      <c r="Q118">
        <f t="shared" si="2"/>
        <v>67.12</v>
      </c>
      <c r="R118">
        <f>I118-(K118*Standards!$I$15)</f>
        <v>2.7400000000000001E-2</v>
      </c>
      <c r="S118">
        <f t="shared" si="3"/>
        <v>3.943E-2</v>
      </c>
      <c r="T118" t="s">
        <v>38</v>
      </c>
    </row>
    <row r="119" spans="1:20">
      <c r="A119">
        <v>122</v>
      </c>
      <c r="B119">
        <v>0</v>
      </c>
      <c r="C119">
        <v>3.1300000000000001E-2</v>
      </c>
      <c r="D119">
        <v>34.340000000000003</v>
      </c>
      <c r="E119">
        <v>6.5000000000000002E-2</v>
      </c>
      <c r="F119">
        <v>0</v>
      </c>
      <c r="G119">
        <v>0.1389</v>
      </c>
      <c r="H119">
        <v>11.28</v>
      </c>
      <c r="I119">
        <v>1.3299999999999999E-2</v>
      </c>
      <c r="J119">
        <v>0.1298</v>
      </c>
      <c r="K119">
        <v>0</v>
      </c>
      <c r="L119">
        <v>55.84</v>
      </c>
      <c r="M119">
        <v>0.1014</v>
      </c>
      <c r="N119">
        <v>101.9397</v>
      </c>
      <c r="O119" t="s">
        <v>349</v>
      </c>
      <c r="Q119">
        <f t="shared" si="2"/>
        <v>67.12</v>
      </c>
      <c r="R119">
        <f>I119-(K119*Standards!$I$15)</f>
        <v>1.3299999999999999E-2</v>
      </c>
      <c r="S119">
        <f t="shared" si="3"/>
        <v>3.0635000000000003E-2</v>
      </c>
      <c r="T119" t="s">
        <v>38</v>
      </c>
    </row>
    <row r="120" spans="1:20">
      <c r="A120">
        <v>190</v>
      </c>
      <c r="B120">
        <v>0</v>
      </c>
      <c r="C120">
        <v>3.2300000000000002E-2</v>
      </c>
      <c r="D120">
        <v>34.43</v>
      </c>
      <c r="E120">
        <v>5.21E-2</v>
      </c>
      <c r="F120">
        <v>0</v>
      </c>
      <c r="G120">
        <v>0.1232</v>
      </c>
      <c r="H120">
        <v>10.79</v>
      </c>
      <c r="I120">
        <v>1.5699999999999999E-2</v>
      </c>
      <c r="J120">
        <v>0.1124</v>
      </c>
      <c r="K120">
        <v>0</v>
      </c>
      <c r="L120">
        <v>55.84</v>
      </c>
      <c r="M120">
        <v>0.1216</v>
      </c>
      <c r="N120">
        <v>101.51730000000001</v>
      </c>
      <c r="O120" t="s">
        <v>349</v>
      </c>
      <c r="Q120">
        <f t="shared" si="2"/>
        <v>66.63</v>
      </c>
      <c r="R120">
        <f>I120-(K120*Standards!$I$15)</f>
        <v>1.5699999999999999E-2</v>
      </c>
      <c r="S120">
        <f t="shared" si="3"/>
        <v>3.1515000000000001E-2</v>
      </c>
      <c r="T120" t="s">
        <v>38</v>
      </c>
    </row>
    <row r="121" spans="1:20">
      <c r="A121">
        <v>136</v>
      </c>
      <c r="B121">
        <v>0</v>
      </c>
      <c r="C121">
        <v>1.7299999999999999E-2</v>
      </c>
      <c r="D121">
        <v>34.46</v>
      </c>
      <c r="E121">
        <v>7.9100000000000004E-2</v>
      </c>
      <c r="F121">
        <v>0</v>
      </c>
      <c r="G121">
        <v>0.13730000000000001</v>
      </c>
      <c r="H121">
        <v>11.51</v>
      </c>
      <c r="I121">
        <v>3.4299999999999997E-2</v>
      </c>
      <c r="J121">
        <v>5.9900000000000002E-2</v>
      </c>
      <c r="K121">
        <v>0</v>
      </c>
      <c r="L121">
        <v>55.82</v>
      </c>
      <c r="M121">
        <v>0.1249</v>
      </c>
      <c r="N121">
        <v>102.2427</v>
      </c>
      <c r="O121" t="s">
        <v>349</v>
      </c>
      <c r="Q121">
        <f t="shared" si="2"/>
        <v>67.33</v>
      </c>
      <c r="R121">
        <f>I121-(K121*Standards!$I$15)</f>
        <v>3.4299999999999997E-2</v>
      </c>
      <c r="S121">
        <f t="shared" si="3"/>
        <v>1.5585E-2</v>
      </c>
      <c r="T121" t="s">
        <v>38</v>
      </c>
    </row>
    <row r="122" spans="1:20">
      <c r="A122">
        <v>155</v>
      </c>
      <c r="B122">
        <v>0</v>
      </c>
      <c r="C122">
        <v>3.3599999999999998E-2</v>
      </c>
      <c r="D122">
        <v>34.229999999999997</v>
      </c>
      <c r="E122">
        <v>6.5500000000000003E-2</v>
      </c>
      <c r="F122">
        <v>0</v>
      </c>
      <c r="G122">
        <v>0.13120000000000001</v>
      </c>
      <c r="H122">
        <v>11.46</v>
      </c>
      <c r="I122">
        <v>2.35E-2</v>
      </c>
      <c r="J122">
        <v>0</v>
      </c>
      <c r="K122">
        <v>0</v>
      </c>
      <c r="L122">
        <v>55.82</v>
      </c>
      <c r="M122">
        <v>9.9000000000000005E-2</v>
      </c>
      <c r="N122">
        <v>101.8627</v>
      </c>
      <c r="O122" t="s">
        <v>349</v>
      </c>
      <c r="Q122">
        <f t="shared" si="2"/>
        <v>67.28</v>
      </c>
      <c r="R122">
        <f>I122-(K122*Standards!$I$15)</f>
        <v>2.35E-2</v>
      </c>
      <c r="S122">
        <f t="shared" si="3"/>
        <v>3.2424999999999995E-2</v>
      </c>
      <c r="T122" t="s">
        <v>38</v>
      </c>
    </row>
    <row r="123" spans="1:20">
      <c r="A123">
        <v>185</v>
      </c>
      <c r="B123">
        <v>0</v>
      </c>
      <c r="C123">
        <v>3.15E-2</v>
      </c>
      <c r="D123">
        <v>34.47</v>
      </c>
      <c r="E123">
        <v>6.5000000000000002E-2</v>
      </c>
      <c r="F123">
        <v>0</v>
      </c>
      <c r="G123">
        <v>0.14069999999999999</v>
      </c>
      <c r="H123">
        <v>11.23</v>
      </c>
      <c r="I123">
        <v>2.4400000000000002E-2</v>
      </c>
      <c r="J123">
        <v>9.7000000000000003E-3</v>
      </c>
      <c r="K123">
        <v>0</v>
      </c>
      <c r="L123">
        <v>55.81</v>
      </c>
      <c r="M123">
        <v>0.1159</v>
      </c>
      <c r="N123">
        <v>101.89709999999999</v>
      </c>
      <c r="O123" t="s">
        <v>349</v>
      </c>
      <c r="Q123">
        <f t="shared" si="2"/>
        <v>67.040000000000006</v>
      </c>
      <c r="R123">
        <f>I123-(K123*Standards!$I$15)</f>
        <v>2.4400000000000002E-2</v>
      </c>
      <c r="S123">
        <f t="shared" si="3"/>
        <v>3.0280000000000001E-2</v>
      </c>
      <c r="T123" t="s">
        <v>38</v>
      </c>
    </row>
    <row r="124" spans="1:20">
      <c r="A124">
        <v>166</v>
      </c>
      <c r="B124">
        <v>0</v>
      </c>
      <c r="C124">
        <v>3.0700000000000002E-2</v>
      </c>
      <c r="D124">
        <v>34.51</v>
      </c>
      <c r="E124">
        <v>4.5600000000000002E-2</v>
      </c>
      <c r="F124">
        <v>1.7000000000000001E-2</v>
      </c>
      <c r="G124">
        <v>0.13420000000000001</v>
      </c>
      <c r="H124">
        <v>11.38</v>
      </c>
      <c r="I124">
        <v>2.4E-2</v>
      </c>
      <c r="J124">
        <v>6.4999999999999997E-3</v>
      </c>
      <c r="K124">
        <v>0</v>
      </c>
      <c r="L124">
        <v>55.8</v>
      </c>
      <c r="M124">
        <v>9.1899999999999996E-2</v>
      </c>
      <c r="N124">
        <v>102.0398</v>
      </c>
      <c r="O124" t="s">
        <v>349</v>
      </c>
      <c r="Q124">
        <f t="shared" si="2"/>
        <v>67.179999999999993</v>
      </c>
      <c r="R124">
        <f>I124-(K124*Standards!$I$15)</f>
        <v>2.4E-2</v>
      </c>
      <c r="S124">
        <f t="shared" si="3"/>
        <v>2.9500000000000002E-2</v>
      </c>
      <c r="T124" t="s">
        <v>38</v>
      </c>
    </row>
    <row r="125" spans="1:20">
      <c r="A125">
        <v>121</v>
      </c>
      <c r="B125">
        <v>0</v>
      </c>
      <c r="C125">
        <v>2.7900000000000001E-2</v>
      </c>
      <c r="D125">
        <v>34.43</v>
      </c>
      <c r="E125">
        <v>7.51E-2</v>
      </c>
      <c r="F125">
        <v>0</v>
      </c>
      <c r="G125">
        <v>0.15129999999999999</v>
      </c>
      <c r="H125">
        <v>11.06</v>
      </c>
      <c r="I125">
        <v>2.3E-3</v>
      </c>
      <c r="J125">
        <v>1.7899999999999999E-2</v>
      </c>
      <c r="K125">
        <v>0</v>
      </c>
      <c r="L125">
        <v>55.78</v>
      </c>
      <c r="M125">
        <v>0.10979999999999999</v>
      </c>
      <c r="N125">
        <v>101.6542</v>
      </c>
      <c r="O125" t="s">
        <v>349</v>
      </c>
      <c r="Q125">
        <f t="shared" si="2"/>
        <v>66.84</v>
      </c>
      <c r="R125">
        <f>I125-(K125*Standards!$I$15)</f>
        <v>2.3E-3</v>
      </c>
      <c r="S125">
        <f t="shared" si="3"/>
        <v>2.7785000000000001E-2</v>
      </c>
      <c r="T125" t="s">
        <v>38</v>
      </c>
    </row>
    <row r="126" spans="1:20">
      <c r="A126">
        <v>169</v>
      </c>
      <c r="B126">
        <v>0</v>
      </c>
      <c r="C126">
        <v>2.1899999999999999E-2</v>
      </c>
      <c r="D126">
        <v>33.979999999999997</v>
      </c>
      <c r="E126">
        <v>6.4600000000000005E-2</v>
      </c>
      <c r="F126">
        <v>0</v>
      </c>
      <c r="G126">
        <v>0.14349999999999999</v>
      </c>
      <c r="H126">
        <v>11.53</v>
      </c>
      <c r="I126">
        <v>6.3E-3</v>
      </c>
      <c r="J126">
        <v>0</v>
      </c>
      <c r="K126">
        <v>0</v>
      </c>
      <c r="L126">
        <v>55.76</v>
      </c>
      <c r="M126">
        <v>0.13600000000000001</v>
      </c>
      <c r="N126">
        <v>101.64230000000001</v>
      </c>
      <c r="O126" t="s">
        <v>349</v>
      </c>
      <c r="Q126">
        <f t="shared" si="2"/>
        <v>67.289999999999992</v>
      </c>
      <c r="R126">
        <f>I126-(K126*Standards!$I$15)</f>
        <v>6.3E-3</v>
      </c>
      <c r="S126">
        <f t="shared" si="3"/>
        <v>2.1585E-2</v>
      </c>
      <c r="T126" t="s">
        <v>38</v>
      </c>
    </row>
    <row r="127" spans="1:20">
      <c r="A127">
        <v>135</v>
      </c>
      <c r="B127">
        <v>0</v>
      </c>
      <c r="C127">
        <v>1.8700000000000001E-2</v>
      </c>
      <c r="D127">
        <v>34.450000000000003</v>
      </c>
      <c r="E127">
        <v>5.4800000000000001E-2</v>
      </c>
      <c r="F127">
        <v>0</v>
      </c>
      <c r="G127">
        <v>0.1341</v>
      </c>
      <c r="H127">
        <v>11.83</v>
      </c>
      <c r="I127">
        <v>1.12E-2</v>
      </c>
      <c r="J127">
        <v>0</v>
      </c>
      <c r="K127">
        <v>0</v>
      </c>
      <c r="L127">
        <v>55.73</v>
      </c>
      <c r="M127">
        <v>0.1239</v>
      </c>
      <c r="N127">
        <v>102.3527</v>
      </c>
      <c r="O127" t="s">
        <v>349</v>
      </c>
      <c r="Q127">
        <f t="shared" si="2"/>
        <v>67.56</v>
      </c>
      <c r="R127">
        <f>I127-(K127*Standards!$I$15)</f>
        <v>1.12E-2</v>
      </c>
      <c r="S127">
        <f t="shared" si="3"/>
        <v>1.814E-2</v>
      </c>
      <c r="T127" t="s">
        <v>38</v>
      </c>
    </row>
    <row r="128" spans="1:20">
      <c r="A128">
        <v>162</v>
      </c>
      <c r="B128">
        <v>0</v>
      </c>
      <c r="C128">
        <v>2.5000000000000001E-2</v>
      </c>
      <c r="D128">
        <v>34.659999999999997</v>
      </c>
      <c r="E128">
        <v>5.1999999999999998E-2</v>
      </c>
      <c r="F128">
        <v>0</v>
      </c>
      <c r="G128">
        <v>0.14030000000000001</v>
      </c>
      <c r="H128">
        <v>11.57</v>
      </c>
      <c r="I128">
        <v>5.5899999999999998E-2</v>
      </c>
      <c r="J128">
        <v>2.3800000000000002E-2</v>
      </c>
      <c r="K128">
        <v>0</v>
      </c>
      <c r="L128">
        <v>55.72</v>
      </c>
      <c r="M128">
        <v>0.12820000000000001</v>
      </c>
      <c r="N128">
        <v>102.3751</v>
      </c>
      <c r="O128" t="s">
        <v>349</v>
      </c>
      <c r="Q128">
        <f t="shared" si="2"/>
        <v>67.289999999999992</v>
      </c>
      <c r="R128">
        <f>I128-(K128*Standards!$I$15)</f>
        <v>5.5899999999999998E-2</v>
      </c>
      <c r="S128">
        <f t="shared" si="3"/>
        <v>2.2205000000000003E-2</v>
      </c>
      <c r="T128" t="s">
        <v>38</v>
      </c>
    </row>
    <row r="129" spans="1:20">
      <c r="A129">
        <v>188</v>
      </c>
      <c r="B129">
        <v>0</v>
      </c>
      <c r="C129">
        <v>2.6700000000000002E-2</v>
      </c>
      <c r="D129">
        <v>34.32</v>
      </c>
      <c r="E129">
        <v>6.1100000000000002E-2</v>
      </c>
      <c r="F129">
        <v>0</v>
      </c>
      <c r="G129">
        <v>0.13320000000000001</v>
      </c>
      <c r="H129">
        <v>11.27</v>
      </c>
      <c r="I129">
        <v>1.8200000000000001E-2</v>
      </c>
      <c r="J129">
        <v>0.2492</v>
      </c>
      <c r="K129">
        <v>0</v>
      </c>
      <c r="L129">
        <v>55.68</v>
      </c>
      <c r="M129">
        <v>9.6799999999999997E-2</v>
      </c>
      <c r="N129">
        <v>101.85509999999999</v>
      </c>
      <c r="O129" t="s">
        <v>349</v>
      </c>
      <c r="Q129">
        <f t="shared" si="2"/>
        <v>66.95</v>
      </c>
      <c r="R129">
        <f>I129-(K129*Standards!$I$15)</f>
        <v>1.8200000000000001E-2</v>
      </c>
      <c r="S129">
        <f t="shared" si="3"/>
        <v>2.579E-2</v>
      </c>
      <c r="T129" t="s">
        <v>38</v>
      </c>
    </row>
    <row r="130" spans="1:20">
      <c r="A130">
        <v>123</v>
      </c>
      <c r="B130">
        <v>0</v>
      </c>
      <c r="C130">
        <v>3.4099999999999998E-2</v>
      </c>
      <c r="D130">
        <v>34.22</v>
      </c>
      <c r="E130">
        <v>7.4800000000000005E-2</v>
      </c>
      <c r="F130">
        <v>0</v>
      </c>
      <c r="G130">
        <v>0.153</v>
      </c>
      <c r="H130">
        <v>11.5</v>
      </c>
      <c r="I130">
        <v>0</v>
      </c>
      <c r="J130">
        <v>2.2599999999999999E-2</v>
      </c>
      <c r="K130">
        <v>0</v>
      </c>
      <c r="L130">
        <v>55.67</v>
      </c>
      <c r="M130">
        <v>0.12230000000000001</v>
      </c>
      <c r="N130">
        <v>101.7967</v>
      </c>
      <c r="O130" t="s">
        <v>349</v>
      </c>
      <c r="Q130">
        <f t="shared" si="2"/>
        <v>67.17</v>
      </c>
      <c r="R130">
        <f>I130-(K130*Standards!$I$15)</f>
        <v>0</v>
      </c>
      <c r="S130">
        <f t="shared" si="3"/>
        <v>3.4099999999999998E-2</v>
      </c>
      <c r="T130" t="s">
        <v>38</v>
      </c>
    </row>
    <row r="131" spans="1:20">
      <c r="A131">
        <v>167</v>
      </c>
      <c r="B131">
        <v>0</v>
      </c>
      <c r="C131">
        <v>1.49E-2</v>
      </c>
      <c r="D131">
        <v>34.32</v>
      </c>
      <c r="E131">
        <v>5.8799999999999998E-2</v>
      </c>
      <c r="F131">
        <v>0</v>
      </c>
      <c r="G131">
        <v>0.13139999999999999</v>
      </c>
      <c r="H131">
        <v>11.53</v>
      </c>
      <c r="I131">
        <v>1.7100000000000001E-2</v>
      </c>
      <c r="J131">
        <v>6.8999999999999999E-3</v>
      </c>
      <c r="K131">
        <v>0</v>
      </c>
      <c r="L131">
        <v>55.64</v>
      </c>
      <c r="M131">
        <v>8.0600000000000005E-2</v>
      </c>
      <c r="N131">
        <v>101.7996</v>
      </c>
      <c r="O131" t="s">
        <v>349</v>
      </c>
      <c r="Q131">
        <f t="shared" ref="Q131:Q194" si="4">H131+L131</f>
        <v>67.17</v>
      </c>
      <c r="R131">
        <f>I131-(K131*Standards!$I$15)</f>
        <v>1.7100000000000001E-2</v>
      </c>
      <c r="S131">
        <f t="shared" ref="S131:S194" si="5">C131-(I131*0.05)</f>
        <v>1.4045E-2</v>
      </c>
      <c r="T131" t="s">
        <v>38</v>
      </c>
    </row>
    <row r="132" spans="1:20">
      <c r="A132">
        <v>158</v>
      </c>
      <c r="B132">
        <v>0</v>
      </c>
      <c r="C132">
        <v>2.7799999999999998E-2</v>
      </c>
      <c r="D132">
        <v>34.659999999999997</v>
      </c>
      <c r="E132">
        <v>7.1199999999999999E-2</v>
      </c>
      <c r="F132">
        <v>0</v>
      </c>
      <c r="G132">
        <v>0.13159999999999999</v>
      </c>
      <c r="H132">
        <v>11.3</v>
      </c>
      <c r="I132">
        <v>2.0899999999999998E-2</v>
      </c>
      <c r="J132">
        <v>1.4500000000000001E-2</v>
      </c>
      <c r="K132">
        <v>0</v>
      </c>
      <c r="L132">
        <v>55.61</v>
      </c>
      <c r="M132">
        <v>8.4599999999999995E-2</v>
      </c>
      <c r="N132">
        <v>101.9205</v>
      </c>
      <c r="O132" t="s">
        <v>349</v>
      </c>
      <c r="Q132">
        <f t="shared" si="4"/>
        <v>66.91</v>
      </c>
      <c r="R132">
        <f>I132-(K132*Standards!$I$15)</f>
        <v>2.0899999999999998E-2</v>
      </c>
      <c r="S132">
        <f t="shared" si="5"/>
        <v>2.6754999999999998E-2</v>
      </c>
      <c r="T132" t="s">
        <v>38</v>
      </c>
    </row>
    <row r="133" spans="1:20">
      <c r="A133">
        <v>148</v>
      </c>
      <c r="B133">
        <v>0</v>
      </c>
      <c r="C133">
        <v>9.1999999999999998E-3</v>
      </c>
      <c r="D133">
        <v>34.22</v>
      </c>
      <c r="E133">
        <v>6.93E-2</v>
      </c>
      <c r="F133">
        <v>0</v>
      </c>
      <c r="G133">
        <v>0.1303</v>
      </c>
      <c r="H133">
        <v>11.4</v>
      </c>
      <c r="I133">
        <v>6.9099999999999995E-2</v>
      </c>
      <c r="J133">
        <v>2.0500000000000001E-2</v>
      </c>
      <c r="K133">
        <v>0</v>
      </c>
      <c r="L133">
        <v>55.59</v>
      </c>
      <c r="M133">
        <v>0.10920000000000001</v>
      </c>
      <c r="N133">
        <v>101.6176</v>
      </c>
      <c r="O133" t="s">
        <v>349</v>
      </c>
      <c r="Q133">
        <f t="shared" si="4"/>
        <v>66.990000000000009</v>
      </c>
      <c r="R133">
        <f>I133-(K133*Standards!$I$15)</f>
        <v>6.9099999999999995E-2</v>
      </c>
      <c r="S133">
        <f t="shared" si="5"/>
        <v>5.7450000000000001E-3</v>
      </c>
      <c r="T133" t="s">
        <v>38</v>
      </c>
    </row>
    <row r="134" spans="1:20">
      <c r="A134">
        <v>138</v>
      </c>
      <c r="B134">
        <v>0</v>
      </c>
      <c r="C134">
        <v>3.0099999999999998E-2</v>
      </c>
      <c r="D134">
        <v>34.369999999999997</v>
      </c>
      <c r="E134">
        <v>5.96E-2</v>
      </c>
      <c r="F134">
        <v>0</v>
      </c>
      <c r="G134">
        <v>0.128</v>
      </c>
      <c r="H134">
        <v>11.49</v>
      </c>
      <c r="I134">
        <v>4.7199999999999999E-2</v>
      </c>
      <c r="J134">
        <v>1.6199999999999999E-2</v>
      </c>
      <c r="K134">
        <v>0</v>
      </c>
      <c r="L134">
        <v>55.58</v>
      </c>
      <c r="M134">
        <v>9.2499999999999999E-2</v>
      </c>
      <c r="N134">
        <v>101.8135</v>
      </c>
      <c r="O134" t="s">
        <v>349</v>
      </c>
      <c r="Q134">
        <f t="shared" si="4"/>
        <v>67.069999999999993</v>
      </c>
      <c r="R134">
        <f>I134-(K134*Standards!$I$15)</f>
        <v>4.7199999999999999E-2</v>
      </c>
      <c r="S134">
        <f t="shared" si="5"/>
        <v>2.7739999999999997E-2</v>
      </c>
      <c r="T134" t="s">
        <v>38</v>
      </c>
    </row>
    <row r="135" spans="1:20">
      <c r="A135">
        <v>145</v>
      </c>
      <c r="B135">
        <v>0</v>
      </c>
      <c r="C135">
        <v>2.7300000000000001E-2</v>
      </c>
      <c r="D135">
        <v>34.369999999999997</v>
      </c>
      <c r="E135">
        <v>6.4699999999999994E-2</v>
      </c>
      <c r="F135">
        <v>0</v>
      </c>
      <c r="G135">
        <v>0.13270000000000001</v>
      </c>
      <c r="H135">
        <v>11.47</v>
      </c>
      <c r="I135">
        <v>2.4E-2</v>
      </c>
      <c r="J135">
        <v>0</v>
      </c>
      <c r="K135">
        <v>0</v>
      </c>
      <c r="L135">
        <v>55.56</v>
      </c>
      <c r="M135">
        <v>0.1195</v>
      </c>
      <c r="N135">
        <v>101.76819999999999</v>
      </c>
      <c r="O135" t="s">
        <v>349</v>
      </c>
      <c r="Q135">
        <f t="shared" si="4"/>
        <v>67.03</v>
      </c>
      <c r="R135">
        <f>I135-(K135*Standards!$I$15)</f>
        <v>2.4E-2</v>
      </c>
      <c r="S135">
        <f t="shared" si="5"/>
        <v>2.6100000000000002E-2</v>
      </c>
      <c r="T135" t="s">
        <v>38</v>
      </c>
    </row>
    <row r="136" spans="1:20">
      <c r="A136">
        <v>156</v>
      </c>
      <c r="B136">
        <v>0</v>
      </c>
      <c r="C136">
        <v>2.4500000000000001E-2</v>
      </c>
      <c r="D136">
        <v>34.159999999999997</v>
      </c>
      <c r="E136">
        <v>6.4100000000000004E-2</v>
      </c>
      <c r="F136">
        <v>0</v>
      </c>
      <c r="G136">
        <v>0.13850000000000001</v>
      </c>
      <c r="H136">
        <v>11.65</v>
      </c>
      <c r="I136">
        <v>6.8999999999999999E-3</v>
      </c>
      <c r="J136">
        <v>4.7100000000000003E-2</v>
      </c>
      <c r="K136">
        <v>0</v>
      </c>
      <c r="L136">
        <v>55.55</v>
      </c>
      <c r="M136">
        <v>0.1048</v>
      </c>
      <c r="N136">
        <v>101.7458</v>
      </c>
      <c r="O136" t="s">
        <v>349</v>
      </c>
      <c r="Q136">
        <f t="shared" si="4"/>
        <v>67.2</v>
      </c>
      <c r="R136">
        <f>I136-(K136*Standards!$I$15)</f>
        <v>6.8999999999999999E-3</v>
      </c>
      <c r="S136">
        <f t="shared" si="5"/>
        <v>2.4154999999999999E-2</v>
      </c>
      <c r="T136" t="s">
        <v>38</v>
      </c>
    </row>
    <row r="137" spans="1:20">
      <c r="A137">
        <v>125</v>
      </c>
      <c r="B137">
        <v>0</v>
      </c>
      <c r="C137">
        <v>2.6700000000000002E-2</v>
      </c>
      <c r="D137">
        <v>34.369999999999997</v>
      </c>
      <c r="E137">
        <v>7.3700000000000002E-2</v>
      </c>
      <c r="F137">
        <v>6.1999999999999998E-3</v>
      </c>
      <c r="G137">
        <v>0.14899999999999999</v>
      </c>
      <c r="H137">
        <v>11.29</v>
      </c>
      <c r="I137">
        <v>0</v>
      </c>
      <c r="J137">
        <v>4.5999999999999999E-3</v>
      </c>
      <c r="K137">
        <v>0</v>
      </c>
      <c r="L137">
        <v>55.54</v>
      </c>
      <c r="M137">
        <v>0.1028</v>
      </c>
      <c r="N137">
        <v>101.5629</v>
      </c>
      <c r="O137" t="s">
        <v>349</v>
      </c>
      <c r="Q137">
        <f t="shared" si="4"/>
        <v>66.83</v>
      </c>
      <c r="R137">
        <f>I137-(K137*Standards!$I$15)</f>
        <v>0</v>
      </c>
      <c r="S137">
        <f t="shared" si="5"/>
        <v>2.6700000000000002E-2</v>
      </c>
      <c r="T137" t="s">
        <v>38</v>
      </c>
    </row>
    <row r="138" spans="1:20">
      <c r="A138">
        <v>124</v>
      </c>
      <c r="B138">
        <v>0</v>
      </c>
      <c r="C138">
        <v>1.9099999999999999E-2</v>
      </c>
      <c r="D138">
        <v>34.340000000000003</v>
      </c>
      <c r="E138">
        <v>7.6399999999999996E-2</v>
      </c>
      <c r="F138">
        <v>0</v>
      </c>
      <c r="G138">
        <v>0.14480000000000001</v>
      </c>
      <c r="H138">
        <v>11.72</v>
      </c>
      <c r="I138">
        <v>0</v>
      </c>
      <c r="J138">
        <v>6.4999999999999997E-3</v>
      </c>
      <c r="K138">
        <v>0</v>
      </c>
      <c r="L138">
        <v>55.52</v>
      </c>
      <c r="M138">
        <v>0.1053</v>
      </c>
      <c r="N138">
        <v>101.932</v>
      </c>
      <c r="O138" t="s">
        <v>349</v>
      </c>
      <c r="Q138">
        <f t="shared" si="4"/>
        <v>67.240000000000009</v>
      </c>
      <c r="R138">
        <f>I138-(K138*Standards!$I$15)</f>
        <v>0</v>
      </c>
      <c r="S138">
        <f t="shared" si="5"/>
        <v>1.9099999999999999E-2</v>
      </c>
      <c r="T138" t="s">
        <v>38</v>
      </c>
    </row>
    <row r="139" spans="1:20">
      <c r="A139">
        <v>168</v>
      </c>
      <c r="B139">
        <v>0</v>
      </c>
      <c r="C139">
        <v>0.02</v>
      </c>
      <c r="D139">
        <v>34.19</v>
      </c>
      <c r="E139">
        <v>5.3499999999999999E-2</v>
      </c>
      <c r="F139">
        <v>0</v>
      </c>
      <c r="G139">
        <v>0.1288</v>
      </c>
      <c r="H139">
        <v>6.77</v>
      </c>
      <c r="I139">
        <v>7.0000000000000001E-3</v>
      </c>
      <c r="J139">
        <v>4.3899999999999997</v>
      </c>
      <c r="K139">
        <v>0</v>
      </c>
      <c r="L139">
        <v>55.52</v>
      </c>
      <c r="M139">
        <v>0.11990000000000001</v>
      </c>
      <c r="N139">
        <v>101.1992</v>
      </c>
      <c r="O139" t="s">
        <v>349</v>
      </c>
      <c r="Q139">
        <f t="shared" si="4"/>
        <v>62.290000000000006</v>
      </c>
      <c r="R139">
        <f>I139-(K139*Standards!$I$15)</f>
        <v>7.0000000000000001E-3</v>
      </c>
      <c r="S139">
        <f t="shared" si="5"/>
        <v>1.9650000000000001E-2</v>
      </c>
      <c r="T139" t="s">
        <v>38</v>
      </c>
    </row>
    <row r="140" spans="1:20">
      <c r="A140">
        <v>150</v>
      </c>
      <c r="B140">
        <v>0</v>
      </c>
      <c r="C140">
        <v>2.4899999999999999E-2</v>
      </c>
      <c r="D140">
        <v>34.299999999999997</v>
      </c>
      <c r="E140">
        <v>5.7099999999999998E-2</v>
      </c>
      <c r="F140">
        <v>0</v>
      </c>
      <c r="G140">
        <v>0.13700000000000001</v>
      </c>
      <c r="H140">
        <v>11.66</v>
      </c>
      <c r="I140">
        <v>3.8699999999999998E-2</v>
      </c>
      <c r="J140">
        <v>3.1899999999999998E-2</v>
      </c>
      <c r="K140">
        <v>0</v>
      </c>
      <c r="L140">
        <v>55.49</v>
      </c>
      <c r="M140">
        <v>0.12709999999999999</v>
      </c>
      <c r="N140">
        <v>101.86660000000001</v>
      </c>
      <c r="O140" t="s">
        <v>349</v>
      </c>
      <c r="Q140">
        <f t="shared" si="4"/>
        <v>67.150000000000006</v>
      </c>
      <c r="R140">
        <f>I140-(K140*Standards!$I$15)</f>
        <v>3.8699999999999998E-2</v>
      </c>
      <c r="S140">
        <f t="shared" si="5"/>
        <v>2.2964999999999999E-2</v>
      </c>
      <c r="T140" t="s">
        <v>38</v>
      </c>
    </row>
    <row r="141" spans="1:20">
      <c r="A141">
        <v>130</v>
      </c>
      <c r="B141">
        <v>0</v>
      </c>
      <c r="C141">
        <v>2.9000000000000001E-2</v>
      </c>
      <c r="D141">
        <v>34.32</v>
      </c>
      <c r="E141">
        <v>6.7900000000000002E-2</v>
      </c>
      <c r="F141">
        <v>9.9000000000000008E-3</v>
      </c>
      <c r="G141">
        <v>0.14610000000000001</v>
      </c>
      <c r="H141">
        <v>11.54</v>
      </c>
      <c r="I141">
        <v>8.0000000000000004E-4</v>
      </c>
      <c r="J141">
        <v>0.51690000000000003</v>
      </c>
      <c r="K141">
        <v>0</v>
      </c>
      <c r="L141">
        <v>55.41</v>
      </c>
      <c r="M141">
        <v>0.1023</v>
      </c>
      <c r="N141">
        <v>102.1429</v>
      </c>
      <c r="O141" t="s">
        <v>349</v>
      </c>
      <c r="Q141">
        <f t="shared" si="4"/>
        <v>66.949999999999989</v>
      </c>
      <c r="R141">
        <f>I141-(K141*Standards!$I$15)</f>
        <v>8.0000000000000004E-4</v>
      </c>
      <c r="S141">
        <f t="shared" si="5"/>
        <v>2.8960000000000003E-2</v>
      </c>
      <c r="T141" t="s">
        <v>38</v>
      </c>
    </row>
    <row r="142" spans="1:20">
      <c r="A142">
        <v>189</v>
      </c>
      <c r="B142">
        <v>0</v>
      </c>
      <c r="C142">
        <v>2.69E-2</v>
      </c>
      <c r="D142">
        <v>34.4</v>
      </c>
      <c r="E142">
        <v>6.3E-2</v>
      </c>
      <c r="F142">
        <v>0</v>
      </c>
      <c r="G142">
        <v>0.13370000000000001</v>
      </c>
      <c r="H142">
        <v>11.46</v>
      </c>
      <c r="I142">
        <v>1.8499999999999999E-2</v>
      </c>
      <c r="J142">
        <v>0.13200000000000001</v>
      </c>
      <c r="K142">
        <v>0</v>
      </c>
      <c r="L142">
        <v>55.36</v>
      </c>
      <c r="M142">
        <v>9.74E-2</v>
      </c>
      <c r="N142">
        <v>101.6914</v>
      </c>
      <c r="O142" t="s">
        <v>349</v>
      </c>
      <c r="Q142">
        <f t="shared" si="4"/>
        <v>66.819999999999993</v>
      </c>
      <c r="R142">
        <f>I142-(K142*Standards!$I$15)</f>
        <v>1.8499999999999999E-2</v>
      </c>
      <c r="S142">
        <f t="shared" si="5"/>
        <v>2.5975000000000002E-2</v>
      </c>
      <c r="T142" t="s">
        <v>38</v>
      </c>
    </row>
    <row r="143" spans="1:20">
      <c r="A143">
        <v>129</v>
      </c>
      <c r="B143">
        <v>0</v>
      </c>
      <c r="C143">
        <v>2.5899999999999999E-2</v>
      </c>
      <c r="D143">
        <v>34.35</v>
      </c>
      <c r="E143">
        <v>6.9500000000000006E-2</v>
      </c>
      <c r="F143">
        <v>0</v>
      </c>
      <c r="G143">
        <v>0.13930000000000001</v>
      </c>
      <c r="H143">
        <v>11.24</v>
      </c>
      <c r="I143">
        <v>3.61E-2</v>
      </c>
      <c r="J143">
        <v>0.56999999999999995</v>
      </c>
      <c r="K143">
        <v>0</v>
      </c>
      <c r="L143">
        <v>55.35</v>
      </c>
      <c r="M143">
        <v>9.6699999999999994E-2</v>
      </c>
      <c r="N143">
        <v>101.87739999999999</v>
      </c>
      <c r="O143" t="s">
        <v>349</v>
      </c>
      <c r="Q143">
        <f t="shared" si="4"/>
        <v>66.59</v>
      </c>
      <c r="R143">
        <f>I143-(K143*Standards!$I$15)</f>
        <v>3.61E-2</v>
      </c>
      <c r="S143">
        <f t="shared" si="5"/>
        <v>2.4094999999999998E-2</v>
      </c>
      <c r="T143" t="s">
        <v>38</v>
      </c>
    </row>
    <row r="144" spans="1:20">
      <c r="A144">
        <v>139</v>
      </c>
      <c r="B144">
        <v>0</v>
      </c>
      <c r="C144">
        <v>2.7199999999999998E-2</v>
      </c>
      <c r="D144">
        <v>34.39</v>
      </c>
      <c r="E144">
        <v>7.5899999999999995E-2</v>
      </c>
      <c r="F144">
        <v>0</v>
      </c>
      <c r="G144">
        <v>0.14030000000000001</v>
      </c>
      <c r="H144">
        <v>11.34</v>
      </c>
      <c r="I144">
        <v>2.4500000000000001E-2</v>
      </c>
      <c r="J144">
        <v>2.8000000000000001E-2</v>
      </c>
      <c r="K144">
        <v>0</v>
      </c>
      <c r="L144">
        <v>55.3</v>
      </c>
      <c r="M144">
        <v>0.11849999999999999</v>
      </c>
      <c r="N144">
        <v>101.4443</v>
      </c>
      <c r="O144" t="s">
        <v>349</v>
      </c>
      <c r="Q144">
        <f t="shared" si="4"/>
        <v>66.64</v>
      </c>
      <c r="R144">
        <f>I144-(K144*Standards!$I$15)</f>
        <v>2.4500000000000001E-2</v>
      </c>
      <c r="S144">
        <f t="shared" si="5"/>
        <v>2.5974999999999998E-2</v>
      </c>
      <c r="T144" t="s">
        <v>38</v>
      </c>
    </row>
    <row r="145" spans="1:31">
      <c r="A145">
        <v>187</v>
      </c>
      <c r="B145">
        <v>0</v>
      </c>
      <c r="C145">
        <v>2.3300000000000001E-2</v>
      </c>
      <c r="D145">
        <v>34.39</v>
      </c>
      <c r="E145">
        <v>6.0199999999999997E-2</v>
      </c>
      <c r="F145">
        <v>0</v>
      </c>
      <c r="G145">
        <v>0.13739999999999999</v>
      </c>
      <c r="H145">
        <v>11.19</v>
      </c>
      <c r="I145">
        <v>2.2700000000000001E-2</v>
      </c>
      <c r="J145">
        <v>0.67490000000000006</v>
      </c>
      <c r="K145">
        <v>0</v>
      </c>
      <c r="L145">
        <v>55.27</v>
      </c>
      <c r="M145">
        <v>0.12470000000000001</v>
      </c>
      <c r="N145">
        <v>101.89319999999999</v>
      </c>
      <c r="O145" t="s">
        <v>349</v>
      </c>
      <c r="Q145">
        <f t="shared" si="4"/>
        <v>66.460000000000008</v>
      </c>
      <c r="R145">
        <f>I145-(K145*Standards!$I$15)</f>
        <v>2.2700000000000001E-2</v>
      </c>
      <c r="S145">
        <f t="shared" si="5"/>
        <v>2.2165000000000001E-2</v>
      </c>
      <c r="T145" t="s">
        <v>38</v>
      </c>
    </row>
    <row r="146" spans="1:31">
      <c r="A146">
        <v>147</v>
      </c>
      <c r="B146">
        <v>0</v>
      </c>
      <c r="C146">
        <v>2.8500000000000001E-2</v>
      </c>
      <c r="D146">
        <v>34.36</v>
      </c>
      <c r="E146">
        <v>6.9099999999999995E-2</v>
      </c>
      <c r="F146">
        <v>4.4999999999999997E-3</v>
      </c>
      <c r="G146">
        <v>0.14360000000000001</v>
      </c>
      <c r="H146">
        <v>11.52</v>
      </c>
      <c r="I146">
        <v>7.0099999999999996E-2</v>
      </c>
      <c r="J146">
        <v>3.7400000000000003E-2</v>
      </c>
      <c r="K146">
        <v>0</v>
      </c>
      <c r="L146">
        <v>55.26</v>
      </c>
      <c r="M146">
        <v>0.1091</v>
      </c>
      <c r="N146">
        <v>101.6022</v>
      </c>
      <c r="O146" t="s">
        <v>349</v>
      </c>
      <c r="Q146">
        <f t="shared" si="4"/>
        <v>66.78</v>
      </c>
      <c r="R146">
        <f>I146-(K146*Standards!$I$15)</f>
        <v>7.0099999999999996E-2</v>
      </c>
      <c r="S146">
        <f t="shared" si="5"/>
        <v>2.4995E-2</v>
      </c>
      <c r="T146" t="s">
        <v>38</v>
      </c>
    </row>
    <row r="147" spans="1:31">
      <c r="A147">
        <v>132</v>
      </c>
      <c r="B147">
        <v>0</v>
      </c>
      <c r="C147">
        <v>2.1600000000000001E-2</v>
      </c>
      <c r="D147">
        <v>34.44</v>
      </c>
      <c r="E147">
        <v>6.1400000000000003E-2</v>
      </c>
      <c r="F147">
        <v>0</v>
      </c>
      <c r="G147">
        <v>0.13769999999999999</v>
      </c>
      <c r="H147">
        <v>11.81</v>
      </c>
      <c r="I147">
        <v>1.6400000000000001E-2</v>
      </c>
      <c r="J147">
        <v>7.6899999999999996E-2</v>
      </c>
      <c r="K147">
        <v>0</v>
      </c>
      <c r="L147">
        <v>55.25</v>
      </c>
      <c r="M147">
        <v>0.11070000000000001</v>
      </c>
      <c r="N147">
        <v>101.9246</v>
      </c>
      <c r="O147" t="s">
        <v>349</v>
      </c>
      <c r="Q147">
        <f t="shared" si="4"/>
        <v>67.06</v>
      </c>
      <c r="R147">
        <f>I147-(K147*Standards!$I$15)</f>
        <v>1.6400000000000001E-2</v>
      </c>
      <c r="S147">
        <f t="shared" si="5"/>
        <v>2.078E-2</v>
      </c>
      <c r="T147" t="s">
        <v>38</v>
      </c>
    </row>
    <row r="148" spans="1:31">
      <c r="A148">
        <v>1</v>
      </c>
      <c r="B148">
        <v>2.5000000000000001E-2</v>
      </c>
      <c r="C148">
        <v>3.4200000000000001E-2</v>
      </c>
      <c r="D148">
        <v>33.99</v>
      </c>
      <c r="E148">
        <v>0.1469</v>
      </c>
      <c r="F148">
        <v>0</v>
      </c>
      <c r="G148">
        <v>0.3337</v>
      </c>
      <c r="H148">
        <v>7.53</v>
      </c>
      <c r="I148">
        <v>8.0199999999999994E-2</v>
      </c>
      <c r="J148">
        <v>3.94</v>
      </c>
      <c r="K148">
        <v>0</v>
      </c>
      <c r="L148">
        <v>57.04</v>
      </c>
      <c r="M148">
        <v>9.9699999999999997E-2</v>
      </c>
      <c r="N148">
        <v>103.2196</v>
      </c>
      <c r="O148" t="s">
        <v>350</v>
      </c>
      <c r="Q148">
        <f t="shared" si="4"/>
        <v>64.569999999999993</v>
      </c>
      <c r="R148">
        <f>I148-(K148*Standards!$I$15)</f>
        <v>8.0199999999999994E-2</v>
      </c>
      <c r="S148">
        <f t="shared" si="5"/>
        <v>3.0190000000000002E-2</v>
      </c>
      <c r="T148" t="s">
        <v>33</v>
      </c>
      <c r="U148">
        <f>COUNT(R148:R150)</f>
        <v>3</v>
      </c>
      <c r="V148">
        <f>MAX(H148:H150)</f>
        <v>7.53</v>
      </c>
      <c r="W148">
        <f>AVERAGE(H148:H150)</f>
        <v>2.8903666666666665</v>
      </c>
      <c r="X148">
        <f>MAX(J148:J150)</f>
        <v>3.94</v>
      </c>
      <c r="Y148">
        <f>AVERAGE(J148:J150)</f>
        <v>1.9345999999999999</v>
      </c>
      <c r="Z148">
        <f>10000*MAX(R148:R150)</f>
        <v>801.99999999999989</v>
      </c>
      <c r="AA148">
        <f>10000*AVERAGE(R148:R150)</f>
        <v>321.46207916666663</v>
      </c>
      <c r="AB148">
        <f>10000*MAX(G148:G150)</f>
        <v>3796</v>
      </c>
      <c r="AC148">
        <f>10000*AVERAGE(G148:G150)</f>
        <v>3215</v>
      </c>
      <c r="AD148">
        <f>10000*MAX(S148:S150)</f>
        <v>434.75</v>
      </c>
      <c r="AE148">
        <f>10000*AVERAGE(S148:S150)</f>
        <v>386.95</v>
      </c>
    </row>
    <row r="149" spans="1:31">
      <c r="A149">
        <v>5</v>
      </c>
      <c r="B149">
        <v>0</v>
      </c>
      <c r="C149">
        <v>4.2900000000000001E-2</v>
      </c>
      <c r="D149">
        <v>33.770000000000003</v>
      </c>
      <c r="E149">
        <v>0.1948</v>
      </c>
      <c r="F149">
        <v>0</v>
      </c>
      <c r="G149">
        <v>0.37959999999999999</v>
      </c>
      <c r="H149">
        <v>0.55079999999999996</v>
      </c>
      <c r="I149">
        <v>9.5999999999999992E-3</v>
      </c>
      <c r="J149">
        <v>0.68379999999999996</v>
      </c>
      <c r="K149">
        <v>0.38700000000000001</v>
      </c>
      <c r="L149">
        <v>67.67</v>
      </c>
      <c r="M149">
        <v>0.1095</v>
      </c>
      <c r="N149">
        <v>103.798</v>
      </c>
      <c r="O149" t="s">
        <v>350</v>
      </c>
      <c r="Q149">
        <f t="shared" si="4"/>
        <v>68.220799999999997</v>
      </c>
      <c r="R149">
        <f>I149-(K149*Standards!$I$15)</f>
        <v>8.7437624999999984E-3</v>
      </c>
      <c r="S149">
        <f t="shared" si="5"/>
        <v>4.2419999999999999E-2</v>
      </c>
      <c r="T149" t="s">
        <v>33</v>
      </c>
    </row>
    <row r="150" spans="1:31">
      <c r="A150">
        <v>24</v>
      </c>
      <c r="B150">
        <v>0</v>
      </c>
      <c r="C150">
        <v>4.3900000000000002E-2</v>
      </c>
      <c r="D150">
        <v>33.590000000000003</v>
      </c>
      <c r="E150">
        <v>0.11</v>
      </c>
      <c r="F150">
        <v>0</v>
      </c>
      <c r="G150">
        <v>0.25119999999999998</v>
      </c>
      <c r="H150">
        <v>0.59030000000000005</v>
      </c>
      <c r="I150">
        <v>8.5000000000000006E-3</v>
      </c>
      <c r="J150">
        <v>1.18</v>
      </c>
      <c r="K150">
        <v>0.45429999999999998</v>
      </c>
      <c r="L150">
        <v>67.89</v>
      </c>
      <c r="M150">
        <v>9.4E-2</v>
      </c>
      <c r="N150">
        <v>104.2122</v>
      </c>
      <c r="O150" t="s">
        <v>351</v>
      </c>
      <c r="Q150">
        <f t="shared" si="4"/>
        <v>68.4803</v>
      </c>
      <c r="R150">
        <f>I150-(K150*Standards!$I$15)</f>
        <v>7.4948612500000001E-3</v>
      </c>
      <c r="S150">
        <f t="shared" si="5"/>
        <v>4.3475E-2</v>
      </c>
      <c r="T150" t="s">
        <v>33</v>
      </c>
    </row>
    <row r="151" spans="1:31">
      <c r="A151">
        <v>42</v>
      </c>
      <c r="B151">
        <v>0</v>
      </c>
      <c r="C151">
        <v>5.6000000000000001E-2</v>
      </c>
      <c r="D151">
        <v>33.979999999999997</v>
      </c>
      <c r="E151">
        <v>5.79E-2</v>
      </c>
      <c r="F151">
        <v>0</v>
      </c>
      <c r="G151">
        <v>0.16589999999999999</v>
      </c>
      <c r="H151">
        <v>1.1399999999999999</v>
      </c>
      <c r="I151">
        <v>0</v>
      </c>
      <c r="J151">
        <v>1.34E-2</v>
      </c>
      <c r="K151">
        <v>0</v>
      </c>
      <c r="L151">
        <v>66.650000000000006</v>
      </c>
      <c r="M151">
        <v>9.1800000000000007E-2</v>
      </c>
      <c r="N151">
        <v>102.1549</v>
      </c>
      <c r="O151" t="s">
        <v>352</v>
      </c>
      <c r="Q151">
        <f t="shared" si="4"/>
        <v>67.790000000000006</v>
      </c>
      <c r="R151">
        <f>I151-(K151*Standards!$I$15)</f>
        <v>0</v>
      </c>
      <c r="S151">
        <f t="shared" si="5"/>
        <v>5.6000000000000001E-2</v>
      </c>
      <c r="T151" t="s">
        <v>36</v>
      </c>
      <c r="U151">
        <f>COUNT(R151:R181)</f>
        <v>31</v>
      </c>
      <c r="V151">
        <f>MAX(H151:H181)</f>
        <v>5.78</v>
      </c>
      <c r="W151">
        <f>AVERAGE(H151:H181)</f>
        <v>2.4458064516129037</v>
      </c>
      <c r="X151">
        <f>MAX(J151:J181)</f>
        <v>0.52710000000000001</v>
      </c>
      <c r="Y151">
        <f>AVERAGE(J151:J181)</f>
        <v>0.15783870967741936</v>
      </c>
      <c r="Z151">
        <f>10000*MAX(R151:R181)</f>
        <v>34</v>
      </c>
      <c r="AA151">
        <f>10000*AVERAGE(R151:R181)</f>
        <v>7.2510620967741941</v>
      </c>
      <c r="AB151">
        <f>10000*MAX(G151:G181)</f>
        <v>6892</v>
      </c>
      <c r="AC151">
        <f>10000*AVERAGE(G151:G181)</f>
        <v>2311.322580645161</v>
      </c>
      <c r="AD151">
        <f>10000*MAX(S151:S181)</f>
        <v>583.90000000000009</v>
      </c>
      <c r="AE151">
        <f>10000*AVERAGE(S151:S181)</f>
        <v>490.59677419354847</v>
      </c>
    </row>
    <row r="152" spans="1:31">
      <c r="A152">
        <v>9</v>
      </c>
      <c r="B152">
        <v>0</v>
      </c>
      <c r="C152">
        <v>4.9599999999999998E-2</v>
      </c>
      <c r="D152">
        <v>34.35</v>
      </c>
      <c r="E152">
        <v>8.6599999999999996E-2</v>
      </c>
      <c r="F152">
        <v>4.7000000000000002E-3</v>
      </c>
      <c r="G152">
        <v>0.18440000000000001</v>
      </c>
      <c r="H152">
        <v>1.37</v>
      </c>
      <c r="I152">
        <v>0</v>
      </c>
      <c r="J152">
        <v>0.17549999999999999</v>
      </c>
      <c r="K152">
        <v>1.0999999999999999E-2</v>
      </c>
      <c r="L152">
        <v>66.569999999999993</v>
      </c>
      <c r="M152">
        <v>0.14149999999999999</v>
      </c>
      <c r="N152">
        <v>102.9432</v>
      </c>
      <c r="O152" t="s">
        <v>352</v>
      </c>
      <c r="Q152">
        <f t="shared" si="4"/>
        <v>67.94</v>
      </c>
      <c r="R152">
        <f>I152-(K152*Standards!$I$15)</f>
        <v>-2.4337499999999999E-5</v>
      </c>
      <c r="S152">
        <f t="shared" si="5"/>
        <v>4.9599999999999998E-2</v>
      </c>
      <c r="T152" t="s">
        <v>36</v>
      </c>
    </row>
    <row r="153" spans="1:31">
      <c r="A153">
        <v>45</v>
      </c>
      <c r="B153">
        <v>0</v>
      </c>
      <c r="C153">
        <v>5.6300000000000003E-2</v>
      </c>
      <c r="D153">
        <v>34.1</v>
      </c>
      <c r="E153">
        <v>5.0500000000000003E-2</v>
      </c>
      <c r="F153">
        <v>0</v>
      </c>
      <c r="G153">
        <v>0.1459</v>
      </c>
      <c r="H153">
        <v>1.33</v>
      </c>
      <c r="I153">
        <v>2.5999999999999999E-3</v>
      </c>
      <c r="J153">
        <v>3.32E-2</v>
      </c>
      <c r="K153">
        <v>0</v>
      </c>
      <c r="L153">
        <v>66.44</v>
      </c>
      <c r="M153">
        <v>8.9700000000000002E-2</v>
      </c>
      <c r="N153">
        <v>102.2482</v>
      </c>
      <c r="O153" t="s">
        <v>352</v>
      </c>
      <c r="Q153">
        <f t="shared" si="4"/>
        <v>67.77</v>
      </c>
      <c r="R153">
        <f>I153-(K153*Standards!$I$15)</f>
        <v>2.5999999999999999E-3</v>
      </c>
      <c r="S153">
        <f t="shared" si="5"/>
        <v>5.6170000000000005E-2</v>
      </c>
      <c r="T153" t="s">
        <v>36</v>
      </c>
    </row>
    <row r="154" spans="1:31">
      <c r="A154">
        <v>43</v>
      </c>
      <c r="B154">
        <v>0</v>
      </c>
      <c r="C154">
        <v>4.8599999999999997E-2</v>
      </c>
      <c r="D154">
        <v>33.97</v>
      </c>
      <c r="E154">
        <v>7.5399999999999995E-2</v>
      </c>
      <c r="F154">
        <v>0</v>
      </c>
      <c r="G154">
        <v>0.18099999999999999</v>
      </c>
      <c r="H154">
        <v>1.1299999999999999</v>
      </c>
      <c r="I154">
        <v>0</v>
      </c>
      <c r="J154">
        <v>2.0299999999999999E-2</v>
      </c>
      <c r="K154">
        <v>0</v>
      </c>
      <c r="L154">
        <v>66.39</v>
      </c>
      <c r="M154">
        <v>0.1066</v>
      </c>
      <c r="N154">
        <v>101.92189999999999</v>
      </c>
      <c r="O154" t="s">
        <v>352</v>
      </c>
      <c r="Q154">
        <f t="shared" si="4"/>
        <v>67.52</v>
      </c>
      <c r="R154">
        <f>I154-(K154*Standards!$I$15)</f>
        <v>0</v>
      </c>
      <c r="S154">
        <f t="shared" si="5"/>
        <v>4.8599999999999997E-2</v>
      </c>
      <c r="T154" t="s">
        <v>36</v>
      </c>
    </row>
    <row r="155" spans="1:31">
      <c r="A155">
        <v>135</v>
      </c>
      <c r="B155">
        <v>0</v>
      </c>
      <c r="C155">
        <v>5.2900000000000003E-2</v>
      </c>
      <c r="D155">
        <v>34.07</v>
      </c>
      <c r="E155">
        <v>6.4299999999999996E-2</v>
      </c>
      <c r="F155">
        <v>0</v>
      </c>
      <c r="G155">
        <v>0.16209999999999999</v>
      </c>
      <c r="H155">
        <v>1.05</v>
      </c>
      <c r="I155">
        <v>0</v>
      </c>
      <c r="J155">
        <v>0.51380000000000003</v>
      </c>
      <c r="K155">
        <v>0</v>
      </c>
      <c r="L155">
        <v>66.27</v>
      </c>
      <c r="M155">
        <v>8.09E-2</v>
      </c>
      <c r="N155">
        <v>102.26390000000001</v>
      </c>
      <c r="O155" t="s">
        <v>353</v>
      </c>
      <c r="Q155">
        <f t="shared" si="4"/>
        <v>67.319999999999993</v>
      </c>
      <c r="R155">
        <f>I155-(K155*Standards!$I$15)</f>
        <v>0</v>
      </c>
      <c r="S155">
        <f t="shared" si="5"/>
        <v>5.2900000000000003E-2</v>
      </c>
      <c r="T155" t="s">
        <v>36</v>
      </c>
    </row>
    <row r="156" spans="1:31">
      <c r="A156">
        <v>6</v>
      </c>
      <c r="B156">
        <v>0</v>
      </c>
      <c r="C156">
        <v>4.2999999999999997E-2</v>
      </c>
      <c r="D156">
        <v>33.99</v>
      </c>
      <c r="E156">
        <v>9.4600000000000004E-2</v>
      </c>
      <c r="F156">
        <v>4.0000000000000001E-3</v>
      </c>
      <c r="G156">
        <v>0.17050000000000001</v>
      </c>
      <c r="H156">
        <v>1.72</v>
      </c>
      <c r="I156">
        <v>0</v>
      </c>
      <c r="J156">
        <v>0.16470000000000001</v>
      </c>
      <c r="K156">
        <v>4.0599999999999997E-2</v>
      </c>
      <c r="L156">
        <v>66.23</v>
      </c>
      <c r="M156">
        <v>9.2700000000000005E-2</v>
      </c>
      <c r="N156">
        <v>102.5501</v>
      </c>
      <c r="O156" t="s">
        <v>352</v>
      </c>
      <c r="Q156">
        <f t="shared" si="4"/>
        <v>67.95</v>
      </c>
      <c r="R156">
        <f>I156-(K156*Standards!$I$15)</f>
        <v>-8.98275E-5</v>
      </c>
      <c r="S156">
        <f t="shared" si="5"/>
        <v>4.2999999999999997E-2</v>
      </c>
      <c r="T156" t="s">
        <v>36</v>
      </c>
    </row>
    <row r="157" spans="1:31">
      <c r="A157">
        <v>44</v>
      </c>
      <c r="B157">
        <v>0</v>
      </c>
      <c r="C157">
        <v>4.8800000000000003E-2</v>
      </c>
      <c r="D157">
        <v>34.01</v>
      </c>
      <c r="E157">
        <v>6.1800000000000001E-2</v>
      </c>
      <c r="F157">
        <v>0</v>
      </c>
      <c r="G157">
        <v>0.15809999999999999</v>
      </c>
      <c r="H157">
        <v>1.25</v>
      </c>
      <c r="I157">
        <v>3.2000000000000002E-3</v>
      </c>
      <c r="J157">
        <v>0.15440000000000001</v>
      </c>
      <c r="K157">
        <v>0</v>
      </c>
      <c r="L157">
        <v>66.23</v>
      </c>
      <c r="M157">
        <v>9.11E-2</v>
      </c>
      <c r="N157">
        <v>102.0074</v>
      </c>
      <c r="O157" t="s">
        <v>352</v>
      </c>
      <c r="Q157">
        <f t="shared" si="4"/>
        <v>67.48</v>
      </c>
      <c r="R157">
        <f>I157-(K157*Standards!$I$15)</f>
        <v>3.2000000000000002E-3</v>
      </c>
      <c r="S157">
        <f t="shared" si="5"/>
        <v>4.8640000000000003E-2</v>
      </c>
      <c r="T157" t="s">
        <v>36</v>
      </c>
    </row>
    <row r="158" spans="1:31">
      <c r="A158">
        <v>36</v>
      </c>
      <c r="B158">
        <v>0</v>
      </c>
      <c r="C158">
        <v>5.2999999999999999E-2</v>
      </c>
      <c r="D158">
        <v>33.94</v>
      </c>
      <c r="E158">
        <v>6.6400000000000001E-2</v>
      </c>
      <c r="F158">
        <v>2.8999999999999998E-3</v>
      </c>
      <c r="G158">
        <v>0.1701</v>
      </c>
      <c r="H158">
        <v>1.84</v>
      </c>
      <c r="I158">
        <v>1.5E-3</v>
      </c>
      <c r="J158">
        <v>1.3899999999999999E-2</v>
      </c>
      <c r="K158">
        <v>0</v>
      </c>
      <c r="L158">
        <v>66.11</v>
      </c>
      <c r="M158">
        <v>8.5199999999999998E-2</v>
      </c>
      <c r="N158">
        <v>102.2829</v>
      </c>
      <c r="O158" t="s">
        <v>352</v>
      </c>
      <c r="Q158">
        <f t="shared" si="4"/>
        <v>67.95</v>
      </c>
      <c r="R158">
        <f>I158-(K158*Standards!$I$15)</f>
        <v>1.5E-3</v>
      </c>
      <c r="S158">
        <f t="shared" si="5"/>
        <v>5.2925E-2</v>
      </c>
      <c r="T158" t="s">
        <v>36</v>
      </c>
    </row>
    <row r="159" spans="1:31">
      <c r="A159">
        <v>23</v>
      </c>
      <c r="B159">
        <v>0</v>
      </c>
      <c r="C159">
        <v>5.2200000000000003E-2</v>
      </c>
      <c r="D159">
        <v>34.33</v>
      </c>
      <c r="E159">
        <v>9.1600000000000001E-2</v>
      </c>
      <c r="F159">
        <v>9.0700000000000003E-2</v>
      </c>
      <c r="G159">
        <v>0.16209999999999999</v>
      </c>
      <c r="H159">
        <v>1.91</v>
      </c>
      <c r="I159">
        <v>0</v>
      </c>
      <c r="J159">
        <v>0.1666</v>
      </c>
      <c r="K159">
        <v>0</v>
      </c>
      <c r="L159">
        <v>66.06</v>
      </c>
      <c r="M159">
        <v>0.104</v>
      </c>
      <c r="N159">
        <v>102.9671</v>
      </c>
      <c r="O159" t="s">
        <v>352</v>
      </c>
      <c r="Q159">
        <f t="shared" si="4"/>
        <v>67.97</v>
      </c>
      <c r="R159">
        <f>I159-(K159*Standards!$I$15)</f>
        <v>0</v>
      </c>
      <c r="S159">
        <f t="shared" si="5"/>
        <v>5.2200000000000003E-2</v>
      </c>
      <c r="T159" t="s">
        <v>36</v>
      </c>
    </row>
    <row r="160" spans="1:31">
      <c r="A160">
        <v>24</v>
      </c>
      <c r="B160">
        <v>0</v>
      </c>
      <c r="C160">
        <v>4.7600000000000003E-2</v>
      </c>
      <c r="D160">
        <v>33.96</v>
      </c>
      <c r="E160">
        <v>5.9200000000000003E-2</v>
      </c>
      <c r="F160">
        <v>0</v>
      </c>
      <c r="G160">
        <v>0.1721</v>
      </c>
      <c r="H160">
        <v>1.87</v>
      </c>
      <c r="I160">
        <v>1E-3</v>
      </c>
      <c r="J160">
        <v>0.15859999999999999</v>
      </c>
      <c r="K160">
        <v>0</v>
      </c>
      <c r="L160">
        <v>65.84</v>
      </c>
      <c r="M160">
        <v>9.98E-2</v>
      </c>
      <c r="N160">
        <v>102.20820000000001</v>
      </c>
      <c r="O160" t="s">
        <v>352</v>
      </c>
      <c r="Q160">
        <f t="shared" si="4"/>
        <v>67.710000000000008</v>
      </c>
      <c r="R160">
        <f>I160-(K160*Standards!$I$15)</f>
        <v>1E-3</v>
      </c>
      <c r="S160">
        <f t="shared" si="5"/>
        <v>4.7550000000000002E-2</v>
      </c>
      <c r="T160" t="s">
        <v>36</v>
      </c>
    </row>
    <row r="161" spans="1:20">
      <c r="A161">
        <v>8</v>
      </c>
      <c r="B161">
        <v>0</v>
      </c>
      <c r="C161">
        <v>4.1300000000000003E-2</v>
      </c>
      <c r="D161">
        <v>34</v>
      </c>
      <c r="E161">
        <v>4.07E-2</v>
      </c>
      <c r="F161">
        <v>0</v>
      </c>
      <c r="G161">
        <v>0.115</v>
      </c>
      <c r="H161">
        <v>2.2200000000000002</v>
      </c>
      <c r="I161">
        <v>0</v>
      </c>
      <c r="J161">
        <v>7.4200000000000002E-2</v>
      </c>
      <c r="K161">
        <v>0</v>
      </c>
      <c r="L161">
        <v>65.81</v>
      </c>
      <c r="M161">
        <v>0.10199999999999999</v>
      </c>
      <c r="N161">
        <v>102.40309999999999</v>
      </c>
      <c r="O161" t="s">
        <v>352</v>
      </c>
      <c r="Q161">
        <f t="shared" si="4"/>
        <v>68.03</v>
      </c>
      <c r="R161">
        <f>I161-(K161*Standards!$I$15)</f>
        <v>0</v>
      </c>
      <c r="S161">
        <f t="shared" si="5"/>
        <v>4.1300000000000003E-2</v>
      </c>
      <c r="T161" t="s">
        <v>36</v>
      </c>
    </row>
    <row r="162" spans="1:20">
      <c r="A162">
        <v>11</v>
      </c>
      <c r="B162">
        <v>0</v>
      </c>
      <c r="C162">
        <v>5.8299999999999998E-2</v>
      </c>
      <c r="D162">
        <v>34.07</v>
      </c>
      <c r="E162">
        <v>8.77E-2</v>
      </c>
      <c r="F162">
        <v>4.7699999999999999E-2</v>
      </c>
      <c r="G162">
        <v>0.16719999999999999</v>
      </c>
      <c r="H162">
        <v>1.86</v>
      </c>
      <c r="I162">
        <v>3.3999999999999998E-3</v>
      </c>
      <c r="J162">
        <v>0.2717</v>
      </c>
      <c r="K162">
        <v>0</v>
      </c>
      <c r="L162">
        <v>65.790000000000006</v>
      </c>
      <c r="M162">
        <v>0.1144</v>
      </c>
      <c r="N162">
        <v>102.4704</v>
      </c>
      <c r="O162" t="s">
        <v>352</v>
      </c>
      <c r="Q162">
        <f t="shared" si="4"/>
        <v>67.650000000000006</v>
      </c>
      <c r="R162">
        <f>I162-(K162*Standards!$I$15)</f>
        <v>3.3999999999999998E-3</v>
      </c>
      <c r="S162">
        <f t="shared" si="5"/>
        <v>5.8130000000000001E-2</v>
      </c>
      <c r="T162" t="s">
        <v>36</v>
      </c>
    </row>
    <row r="163" spans="1:20">
      <c r="A163">
        <v>21</v>
      </c>
      <c r="B163">
        <v>0</v>
      </c>
      <c r="C163">
        <v>5.8500000000000003E-2</v>
      </c>
      <c r="D163">
        <v>34.119999999999997</v>
      </c>
      <c r="E163">
        <v>5.57E-2</v>
      </c>
      <c r="F163">
        <v>3.5000000000000001E-3</v>
      </c>
      <c r="G163">
        <v>0.15210000000000001</v>
      </c>
      <c r="H163">
        <v>2.2200000000000002</v>
      </c>
      <c r="I163">
        <v>2.2000000000000001E-3</v>
      </c>
      <c r="J163">
        <v>6.4899999999999999E-2</v>
      </c>
      <c r="K163">
        <v>0</v>
      </c>
      <c r="L163">
        <v>65.72</v>
      </c>
      <c r="M163">
        <v>8.9800000000000005E-2</v>
      </c>
      <c r="N163">
        <v>102.4866</v>
      </c>
      <c r="O163" t="s">
        <v>352</v>
      </c>
      <c r="Q163">
        <f t="shared" si="4"/>
        <v>67.94</v>
      </c>
      <c r="R163">
        <f>I163-(K163*Standards!$I$15)</f>
        <v>2.2000000000000001E-3</v>
      </c>
      <c r="S163">
        <f t="shared" si="5"/>
        <v>5.8390000000000004E-2</v>
      </c>
      <c r="T163" t="s">
        <v>36</v>
      </c>
    </row>
    <row r="164" spans="1:20">
      <c r="A164">
        <v>28</v>
      </c>
      <c r="B164">
        <v>0</v>
      </c>
      <c r="C164">
        <v>5.62E-2</v>
      </c>
      <c r="D164">
        <v>33.86</v>
      </c>
      <c r="E164">
        <v>0.16880000000000001</v>
      </c>
      <c r="F164">
        <v>0.1026</v>
      </c>
      <c r="G164">
        <v>0.32369999999999999</v>
      </c>
      <c r="H164">
        <v>1.76</v>
      </c>
      <c r="I164">
        <v>0</v>
      </c>
      <c r="J164">
        <v>0.2404</v>
      </c>
      <c r="K164">
        <v>2.8400000000000002E-2</v>
      </c>
      <c r="L164">
        <v>65.72</v>
      </c>
      <c r="M164">
        <v>0.1203</v>
      </c>
      <c r="N164">
        <v>102.38030000000001</v>
      </c>
      <c r="O164" t="s">
        <v>352</v>
      </c>
      <c r="Q164">
        <f t="shared" si="4"/>
        <v>67.48</v>
      </c>
      <c r="R164">
        <f>I164-(K164*Standards!$I$15)</f>
        <v>-6.2835000000000004E-5</v>
      </c>
      <c r="S164">
        <f t="shared" si="5"/>
        <v>5.62E-2</v>
      </c>
      <c r="T164" t="s">
        <v>36</v>
      </c>
    </row>
    <row r="165" spans="1:20">
      <c r="A165">
        <v>5</v>
      </c>
      <c r="B165">
        <v>0</v>
      </c>
      <c r="C165">
        <v>5.7000000000000002E-2</v>
      </c>
      <c r="D165">
        <v>34.1</v>
      </c>
      <c r="E165">
        <v>0.14269999999999999</v>
      </c>
      <c r="F165">
        <v>5.0900000000000001E-2</v>
      </c>
      <c r="G165">
        <v>0.19700000000000001</v>
      </c>
      <c r="H165">
        <v>2.0699999999999998</v>
      </c>
      <c r="I165">
        <v>0</v>
      </c>
      <c r="J165">
        <v>0.18029999999999999</v>
      </c>
      <c r="K165">
        <v>0</v>
      </c>
      <c r="L165">
        <v>65.59</v>
      </c>
      <c r="M165">
        <v>0.11260000000000001</v>
      </c>
      <c r="N165">
        <v>102.5004</v>
      </c>
      <c r="O165" t="s">
        <v>352</v>
      </c>
      <c r="Q165">
        <f t="shared" si="4"/>
        <v>67.66</v>
      </c>
      <c r="R165">
        <f>I165-(K165*Standards!$I$15)</f>
        <v>0</v>
      </c>
      <c r="S165">
        <f t="shared" si="5"/>
        <v>5.7000000000000002E-2</v>
      </c>
      <c r="T165" t="s">
        <v>36</v>
      </c>
    </row>
    <row r="166" spans="1:20">
      <c r="A166">
        <v>32</v>
      </c>
      <c r="B166">
        <v>0</v>
      </c>
      <c r="C166">
        <v>5.2299999999999999E-2</v>
      </c>
      <c r="D166">
        <v>33.96</v>
      </c>
      <c r="E166">
        <v>2.2499999999999999E-2</v>
      </c>
      <c r="F166">
        <v>0</v>
      </c>
      <c r="G166">
        <v>9.4600000000000004E-2</v>
      </c>
      <c r="H166">
        <v>2.31</v>
      </c>
      <c r="I166">
        <v>0</v>
      </c>
      <c r="J166">
        <v>0.13650000000000001</v>
      </c>
      <c r="K166">
        <v>0</v>
      </c>
      <c r="L166">
        <v>65.53</v>
      </c>
      <c r="M166">
        <v>8.3299999999999999E-2</v>
      </c>
      <c r="N166">
        <v>102.1891</v>
      </c>
      <c r="O166" t="s">
        <v>352</v>
      </c>
      <c r="Q166">
        <f t="shared" si="4"/>
        <v>67.84</v>
      </c>
      <c r="R166">
        <f>I166-(K166*Standards!$I$15)</f>
        <v>0</v>
      </c>
      <c r="S166">
        <f t="shared" si="5"/>
        <v>5.2299999999999999E-2</v>
      </c>
      <c r="T166" t="s">
        <v>36</v>
      </c>
    </row>
    <row r="167" spans="1:20">
      <c r="A167">
        <v>17</v>
      </c>
      <c r="B167">
        <v>0</v>
      </c>
      <c r="C167">
        <v>5.0200000000000002E-2</v>
      </c>
      <c r="D167">
        <v>33.93</v>
      </c>
      <c r="E167">
        <v>8.6400000000000005E-2</v>
      </c>
      <c r="F167">
        <v>1.7999999999999999E-2</v>
      </c>
      <c r="G167">
        <v>0.18060000000000001</v>
      </c>
      <c r="H167">
        <v>2.59</v>
      </c>
      <c r="I167">
        <v>2.9999999999999997E-4</v>
      </c>
      <c r="J167">
        <v>0.187</v>
      </c>
      <c r="K167">
        <v>0</v>
      </c>
      <c r="L167">
        <v>65.41</v>
      </c>
      <c r="M167">
        <v>0.12609999999999999</v>
      </c>
      <c r="N167">
        <v>102.57859999999999</v>
      </c>
      <c r="O167" t="s">
        <v>352</v>
      </c>
      <c r="Q167">
        <f t="shared" si="4"/>
        <v>68</v>
      </c>
      <c r="R167">
        <f>I167-(K167*Standards!$I$15)</f>
        <v>2.9999999999999997E-4</v>
      </c>
      <c r="S167">
        <f t="shared" si="5"/>
        <v>5.0185E-2</v>
      </c>
      <c r="T167" t="s">
        <v>36</v>
      </c>
    </row>
    <row r="168" spans="1:20">
      <c r="A168">
        <v>34</v>
      </c>
      <c r="B168">
        <v>0</v>
      </c>
      <c r="C168">
        <v>4.6300000000000001E-2</v>
      </c>
      <c r="D168">
        <v>33.92</v>
      </c>
      <c r="E168">
        <v>2.5700000000000001E-2</v>
      </c>
      <c r="F168">
        <v>0</v>
      </c>
      <c r="G168">
        <v>9.2600000000000002E-2</v>
      </c>
      <c r="H168">
        <v>2.58</v>
      </c>
      <c r="I168">
        <v>3.0999999999999999E-3</v>
      </c>
      <c r="J168">
        <v>6.6299999999999998E-2</v>
      </c>
      <c r="K168">
        <v>0</v>
      </c>
      <c r="L168">
        <v>65.28</v>
      </c>
      <c r="M168">
        <v>8.0600000000000005E-2</v>
      </c>
      <c r="N168">
        <v>102.0945</v>
      </c>
      <c r="O168" t="s">
        <v>352</v>
      </c>
      <c r="Q168">
        <f t="shared" si="4"/>
        <v>67.86</v>
      </c>
      <c r="R168">
        <f>I168-(K168*Standards!$I$15)</f>
        <v>3.0999999999999999E-3</v>
      </c>
      <c r="S168">
        <f t="shared" si="5"/>
        <v>4.6144999999999999E-2</v>
      </c>
      <c r="T168" t="s">
        <v>36</v>
      </c>
    </row>
    <row r="169" spans="1:20">
      <c r="A169">
        <v>29</v>
      </c>
      <c r="B169">
        <v>0</v>
      </c>
      <c r="C169">
        <v>4.2900000000000001E-2</v>
      </c>
      <c r="D169">
        <v>34.14</v>
      </c>
      <c r="E169">
        <v>5.5599999999999997E-2</v>
      </c>
      <c r="F169">
        <v>0</v>
      </c>
      <c r="G169">
        <v>0.11119999999999999</v>
      </c>
      <c r="H169">
        <v>2.46</v>
      </c>
      <c r="I169">
        <v>0</v>
      </c>
      <c r="J169">
        <v>9.6299999999999997E-2</v>
      </c>
      <c r="K169">
        <v>4.8399999999999999E-2</v>
      </c>
      <c r="L169">
        <v>65.25</v>
      </c>
      <c r="M169">
        <v>8.8700000000000001E-2</v>
      </c>
      <c r="N169">
        <v>102.29300000000001</v>
      </c>
      <c r="O169" t="s">
        <v>352</v>
      </c>
      <c r="Q169">
        <f t="shared" si="4"/>
        <v>67.709999999999994</v>
      </c>
      <c r="R169">
        <f>I169-(K169*Standards!$I$15)</f>
        <v>-1.07085E-4</v>
      </c>
      <c r="S169">
        <f t="shared" si="5"/>
        <v>4.2900000000000001E-2</v>
      </c>
      <c r="T169" t="s">
        <v>36</v>
      </c>
    </row>
    <row r="170" spans="1:20">
      <c r="A170">
        <v>10</v>
      </c>
      <c r="B170">
        <v>0</v>
      </c>
      <c r="C170">
        <v>4.24E-2</v>
      </c>
      <c r="D170">
        <v>34.049999999999997</v>
      </c>
      <c r="E170">
        <v>0.1424</v>
      </c>
      <c r="F170">
        <v>4.1200000000000001E-2</v>
      </c>
      <c r="G170">
        <v>0.30109999999999998</v>
      </c>
      <c r="H170">
        <v>2.21</v>
      </c>
      <c r="I170">
        <v>1E-3</v>
      </c>
      <c r="J170">
        <v>0.15720000000000001</v>
      </c>
      <c r="K170">
        <v>0</v>
      </c>
      <c r="L170">
        <v>65.22</v>
      </c>
      <c r="M170">
        <v>0.1148</v>
      </c>
      <c r="N170">
        <v>102.28</v>
      </c>
      <c r="O170" t="s">
        <v>352</v>
      </c>
      <c r="Q170">
        <f t="shared" si="4"/>
        <v>67.429999999999993</v>
      </c>
      <c r="R170">
        <f>I170-(K170*Standards!$I$15)</f>
        <v>1E-3</v>
      </c>
      <c r="S170">
        <f t="shared" si="5"/>
        <v>4.2349999999999999E-2</v>
      </c>
      <c r="T170" t="s">
        <v>36</v>
      </c>
    </row>
    <row r="171" spans="1:20">
      <c r="A171">
        <v>35</v>
      </c>
      <c r="B171">
        <v>0</v>
      </c>
      <c r="C171">
        <v>4.0399999999999998E-2</v>
      </c>
      <c r="D171">
        <v>33.840000000000003</v>
      </c>
      <c r="E171">
        <v>6.8000000000000005E-2</v>
      </c>
      <c r="F171">
        <v>0</v>
      </c>
      <c r="G171">
        <v>0.19919999999999999</v>
      </c>
      <c r="H171">
        <v>2.31</v>
      </c>
      <c r="I171">
        <v>0</v>
      </c>
      <c r="J171">
        <v>1.9099999999999999E-2</v>
      </c>
      <c r="K171">
        <v>0</v>
      </c>
      <c r="L171">
        <v>65.11</v>
      </c>
      <c r="M171">
        <v>9.06E-2</v>
      </c>
      <c r="N171">
        <v>101.6772</v>
      </c>
      <c r="O171" t="s">
        <v>352</v>
      </c>
      <c r="Q171">
        <f t="shared" si="4"/>
        <v>67.42</v>
      </c>
      <c r="R171">
        <f>I171-(K171*Standards!$I$15)</f>
        <v>0</v>
      </c>
      <c r="S171">
        <f t="shared" si="5"/>
        <v>4.0399999999999998E-2</v>
      </c>
      <c r="T171" t="s">
        <v>36</v>
      </c>
    </row>
    <row r="172" spans="1:20">
      <c r="A172">
        <v>14</v>
      </c>
      <c r="B172">
        <v>0</v>
      </c>
      <c r="C172">
        <v>5.7299999999999997E-2</v>
      </c>
      <c r="D172">
        <v>33.89</v>
      </c>
      <c r="E172">
        <v>0.38219999999999998</v>
      </c>
      <c r="F172">
        <v>0.44679999999999997</v>
      </c>
      <c r="G172">
        <v>0.28310000000000002</v>
      </c>
      <c r="H172">
        <v>2.0499999999999998</v>
      </c>
      <c r="I172">
        <v>0</v>
      </c>
      <c r="J172">
        <v>0.52710000000000001</v>
      </c>
      <c r="K172">
        <v>6.3399999999999998E-2</v>
      </c>
      <c r="L172">
        <v>64.98</v>
      </c>
      <c r="M172">
        <v>0.19520000000000001</v>
      </c>
      <c r="N172">
        <v>102.875</v>
      </c>
      <c r="O172" t="s">
        <v>352</v>
      </c>
      <c r="Q172">
        <f t="shared" si="4"/>
        <v>67.03</v>
      </c>
      <c r="R172">
        <f>I172-(K172*Standards!$I$15)</f>
        <v>-1.402725E-4</v>
      </c>
      <c r="S172">
        <f t="shared" si="5"/>
        <v>5.7299999999999997E-2</v>
      </c>
      <c r="T172" t="s">
        <v>36</v>
      </c>
    </row>
    <row r="173" spans="1:20">
      <c r="A173">
        <v>7</v>
      </c>
      <c r="B173">
        <v>0</v>
      </c>
      <c r="C173">
        <v>4.9399999999999999E-2</v>
      </c>
      <c r="D173">
        <v>34.090000000000003</v>
      </c>
      <c r="E173">
        <v>0.20449999999999999</v>
      </c>
      <c r="F173">
        <v>5.6800000000000003E-2</v>
      </c>
      <c r="G173">
        <v>0.43319999999999997</v>
      </c>
      <c r="H173">
        <v>2.7</v>
      </c>
      <c r="I173">
        <v>2E-3</v>
      </c>
      <c r="J173">
        <v>0.21529999999999999</v>
      </c>
      <c r="K173">
        <v>0</v>
      </c>
      <c r="L173">
        <v>64.81</v>
      </c>
      <c r="M173">
        <v>0.12429999999999999</v>
      </c>
      <c r="N173">
        <v>102.6854</v>
      </c>
      <c r="O173" t="s">
        <v>352</v>
      </c>
      <c r="Q173">
        <f t="shared" si="4"/>
        <v>67.510000000000005</v>
      </c>
      <c r="R173">
        <f>I173-(K173*Standards!$I$15)</f>
        <v>2E-3</v>
      </c>
      <c r="S173">
        <f t="shared" si="5"/>
        <v>4.9299999999999997E-2</v>
      </c>
      <c r="T173" t="s">
        <v>36</v>
      </c>
    </row>
    <row r="174" spans="1:20">
      <c r="A174">
        <v>20</v>
      </c>
      <c r="B174">
        <v>0</v>
      </c>
      <c r="C174">
        <v>4.9799999999999997E-2</v>
      </c>
      <c r="D174">
        <v>34.32</v>
      </c>
      <c r="E174">
        <v>5.2600000000000001E-2</v>
      </c>
      <c r="F174">
        <v>0</v>
      </c>
      <c r="G174">
        <v>0.15559999999999999</v>
      </c>
      <c r="H174">
        <v>3.46</v>
      </c>
      <c r="I174">
        <v>0</v>
      </c>
      <c r="J174">
        <v>2.87E-2</v>
      </c>
      <c r="K174">
        <v>0</v>
      </c>
      <c r="L174">
        <v>64.790000000000006</v>
      </c>
      <c r="M174">
        <v>7.1300000000000002E-2</v>
      </c>
      <c r="N174">
        <v>102.92789999999999</v>
      </c>
      <c r="O174" t="s">
        <v>352</v>
      </c>
      <c r="Q174">
        <f t="shared" si="4"/>
        <v>68.25</v>
      </c>
      <c r="R174">
        <f>I174-(K174*Standards!$I$15)</f>
        <v>0</v>
      </c>
      <c r="S174">
        <f t="shared" si="5"/>
        <v>4.9799999999999997E-2</v>
      </c>
      <c r="T174" t="s">
        <v>36</v>
      </c>
    </row>
    <row r="175" spans="1:20">
      <c r="A175">
        <v>22</v>
      </c>
      <c r="B175">
        <v>0</v>
      </c>
      <c r="C175">
        <v>4.5900000000000003E-2</v>
      </c>
      <c r="D175">
        <v>33.9</v>
      </c>
      <c r="E175">
        <v>0.3327</v>
      </c>
      <c r="F175">
        <v>0.3367</v>
      </c>
      <c r="G175">
        <v>0.2344</v>
      </c>
      <c r="H175">
        <v>2.4500000000000002</v>
      </c>
      <c r="I175">
        <v>0</v>
      </c>
      <c r="J175">
        <v>0.42309999999999998</v>
      </c>
      <c r="K175">
        <v>4.3999999999999997E-2</v>
      </c>
      <c r="L175">
        <v>64.78</v>
      </c>
      <c r="M175">
        <v>0.15859999999999999</v>
      </c>
      <c r="N175">
        <v>102.70529999999999</v>
      </c>
      <c r="O175" t="s">
        <v>352</v>
      </c>
      <c r="Q175">
        <f t="shared" si="4"/>
        <v>67.23</v>
      </c>
      <c r="R175">
        <f>I175-(K175*Standards!$I$15)</f>
        <v>-9.7349999999999995E-5</v>
      </c>
      <c r="S175">
        <f t="shared" si="5"/>
        <v>4.5900000000000003E-2</v>
      </c>
      <c r="T175" t="s">
        <v>36</v>
      </c>
    </row>
    <row r="176" spans="1:20">
      <c r="A176">
        <v>15</v>
      </c>
      <c r="B176">
        <v>0</v>
      </c>
      <c r="C176">
        <v>4.4200000000000003E-2</v>
      </c>
      <c r="D176">
        <v>33.83</v>
      </c>
      <c r="E176">
        <v>0.29959999999999998</v>
      </c>
      <c r="F176">
        <v>0.158</v>
      </c>
      <c r="G176">
        <v>0.49270000000000003</v>
      </c>
      <c r="H176">
        <v>2.83</v>
      </c>
      <c r="I176">
        <v>0</v>
      </c>
      <c r="J176">
        <v>0.2142</v>
      </c>
      <c r="K176">
        <v>0</v>
      </c>
      <c r="L176">
        <v>64.69</v>
      </c>
      <c r="M176">
        <v>0.14499999999999999</v>
      </c>
      <c r="N176">
        <v>102.70359999999999</v>
      </c>
      <c r="O176" t="s">
        <v>352</v>
      </c>
      <c r="Q176">
        <f t="shared" si="4"/>
        <v>67.52</v>
      </c>
      <c r="R176">
        <f>I176-(K176*Standards!$I$15)</f>
        <v>0</v>
      </c>
      <c r="S176">
        <f t="shared" si="5"/>
        <v>4.4200000000000003E-2</v>
      </c>
      <c r="T176" t="s">
        <v>36</v>
      </c>
    </row>
    <row r="177" spans="1:31">
      <c r="A177">
        <v>18</v>
      </c>
      <c r="B177">
        <v>0</v>
      </c>
      <c r="C177">
        <v>4.0899999999999999E-2</v>
      </c>
      <c r="D177">
        <v>34.07</v>
      </c>
      <c r="E177">
        <v>0.11749999999999999</v>
      </c>
      <c r="F177">
        <v>2.9000000000000001E-2</v>
      </c>
      <c r="G177">
        <v>0.25340000000000001</v>
      </c>
      <c r="H177">
        <v>3.71</v>
      </c>
      <c r="I177">
        <v>0</v>
      </c>
      <c r="J177">
        <v>8.2900000000000001E-2</v>
      </c>
      <c r="K177">
        <v>0</v>
      </c>
      <c r="L177">
        <v>64.52</v>
      </c>
      <c r="M177">
        <v>0.1192</v>
      </c>
      <c r="N177">
        <v>102.94280000000001</v>
      </c>
      <c r="O177" t="s">
        <v>352</v>
      </c>
      <c r="Q177">
        <f t="shared" si="4"/>
        <v>68.22999999999999</v>
      </c>
      <c r="R177">
        <f>I177-(K177*Standards!$I$15)</f>
        <v>0</v>
      </c>
      <c r="S177">
        <f t="shared" si="5"/>
        <v>4.0899999999999999E-2</v>
      </c>
      <c r="T177" t="s">
        <v>36</v>
      </c>
    </row>
    <row r="178" spans="1:31">
      <c r="A178">
        <v>33</v>
      </c>
      <c r="B178">
        <v>0</v>
      </c>
      <c r="C178">
        <v>5.2999999999999999E-2</v>
      </c>
      <c r="D178">
        <v>34.119999999999997</v>
      </c>
      <c r="E178">
        <v>9.1800000000000007E-2</v>
      </c>
      <c r="F178">
        <v>0</v>
      </c>
      <c r="G178">
        <v>0.18529999999999999</v>
      </c>
      <c r="H178">
        <v>3.48</v>
      </c>
      <c r="I178">
        <v>0</v>
      </c>
      <c r="J178">
        <v>0.31080000000000002</v>
      </c>
      <c r="K178">
        <v>0</v>
      </c>
      <c r="L178">
        <v>63.75</v>
      </c>
      <c r="M178">
        <v>0.1159</v>
      </c>
      <c r="N178">
        <v>102.1067</v>
      </c>
      <c r="O178" t="s">
        <v>352</v>
      </c>
      <c r="Q178">
        <f t="shared" si="4"/>
        <v>67.23</v>
      </c>
      <c r="R178">
        <f>I178-(K178*Standards!$I$15)</f>
        <v>0</v>
      </c>
      <c r="S178">
        <f t="shared" si="5"/>
        <v>5.2999999999999999E-2</v>
      </c>
      <c r="T178" t="s">
        <v>36</v>
      </c>
    </row>
    <row r="179" spans="1:31">
      <c r="A179">
        <v>31</v>
      </c>
      <c r="B179">
        <v>0</v>
      </c>
      <c r="C179">
        <v>4.5900000000000003E-2</v>
      </c>
      <c r="D179">
        <v>34.49</v>
      </c>
      <c r="E179">
        <v>0.1056</v>
      </c>
      <c r="F179">
        <v>0</v>
      </c>
      <c r="G179">
        <v>0.20349999999999999</v>
      </c>
      <c r="H179">
        <v>4.8</v>
      </c>
      <c r="I179">
        <v>0</v>
      </c>
      <c r="J179">
        <v>8.7400000000000005E-2</v>
      </c>
      <c r="K179">
        <v>0</v>
      </c>
      <c r="L179">
        <v>62.61</v>
      </c>
      <c r="M179">
        <v>7.5600000000000001E-2</v>
      </c>
      <c r="N179">
        <v>102.4179</v>
      </c>
      <c r="O179" t="s">
        <v>352</v>
      </c>
      <c r="Q179">
        <f t="shared" si="4"/>
        <v>67.41</v>
      </c>
      <c r="R179">
        <f>I179-(K179*Standards!$I$15)</f>
        <v>0</v>
      </c>
      <c r="S179">
        <f t="shared" si="5"/>
        <v>4.5900000000000003E-2</v>
      </c>
      <c r="T179" t="s">
        <v>36</v>
      </c>
    </row>
    <row r="180" spans="1:31">
      <c r="A180">
        <v>19</v>
      </c>
      <c r="B180">
        <v>0</v>
      </c>
      <c r="C180">
        <v>4.36E-2</v>
      </c>
      <c r="D180">
        <v>34.15</v>
      </c>
      <c r="E180">
        <v>0.27939999999999998</v>
      </c>
      <c r="F180">
        <v>0</v>
      </c>
      <c r="G180">
        <v>0.62819999999999998</v>
      </c>
      <c r="H180">
        <v>5.78</v>
      </c>
      <c r="I180">
        <v>0</v>
      </c>
      <c r="J180">
        <v>3.2099999999999997E-2</v>
      </c>
      <c r="K180">
        <v>0</v>
      </c>
      <c r="L180">
        <v>62.05</v>
      </c>
      <c r="M180">
        <v>0.111</v>
      </c>
      <c r="N180">
        <v>103.0742</v>
      </c>
      <c r="O180" t="s">
        <v>352</v>
      </c>
      <c r="Q180">
        <f t="shared" si="4"/>
        <v>67.83</v>
      </c>
      <c r="R180">
        <f>I180-(K180*Standards!$I$15)</f>
        <v>0</v>
      </c>
      <c r="S180">
        <f t="shared" si="5"/>
        <v>4.36E-2</v>
      </c>
      <c r="T180" t="s">
        <v>36</v>
      </c>
    </row>
    <row r="181" spans="1:31">
      <c r="A181">
        <v>16</v>
      </c>
      <c r="B181">
        <v>0</v>
      </c>
      <c r="C181">
        <v>3.8199999999999998E-2</v>
      </c>
      <c r="D181">
        <v>34.18</v>
      </c>
      <c r="E181">
        <v>0.31269999999999998</v>
      </c>
      <c r="F181">
        <v>1.2999999999999999E-3</v>
      </c>
      <c r="G181">
        <v>0.68920000000000003</v>
      </c>
      <c r="H181">
        <v>5.36</v>
      </c>
      <c r="I181">
        <v>2.7000000000000001E-3</v>
      </c>
      <c r="J181">
        <v>6.3100000000000003E-2</v>
      </c>
      <c r="K181">
        <v>0</v>
      </c>
      <c r="L181">
        <v>61.55</v>
      </c>
      <c r="M181">
        <v>9.9000000000000005E-2</v>
      </c>
      <c r="N181">
        <v>102.2962</v>
      </c>
      <c r="O181" t="s">
        <v>352</v>
      </c>
      <c r="Q181">
        <f t="shared" si="4"/>
        <v>66.91</v>
      </c>
      <c r="R181">
        <f>I181-(K181*Standards!$I$15)</f>
        <v>2.7000000000000001E-3</v>
      </c>
      <c r="S181">
        <f t="shared" si="5"/>
        <v>3.8064999999999995E-2</v>
      </c>
      <c r="T181" t="s">
        <v>36</v>
      </c>
    </row>
    <row r="182" spans="1:31">
      <c r="A182">
        <v>91</v>
      </c>
      <c r="B182">
        <v>0</v>
      </c>
      <c r="C182">
        <v>1.4E-2</v>
      </c>
      <c r="D182">
        <v>34.49</v>
      </c>
      <c r="E182">
        <v>5.2299999999999999E-2</v>
      </c>
      <c r="F182">
        <v>4.4999999999999997E-3</v>
      </c>
      <c r="G182">
        <v>0.1075</v>
      </c>
      <c r="H182">
        <v>11.35</v>
      </c>
      <c r="I182">
        <v>3.3399999999999999E-2</v>
      </c>
      <c r="J182">
        <v>6.8699999999999997E-2</v>
      </c>
      <c r="K182">
        <v>0</v>
      </c>
      <c r="L182">
        <v>55.42</v>
      </c>
      <c r="M182">
        <v>0.11890000000000001</v>
      </c>
      <c r="N182">
        <v>101.6592</v>
      </c>
      <c r="O182" t="s">
        <v>82</v>
      </c>
      <c r="Q182">
        <f t="shared" si="4"/>
        <v>66.77</v>
      </c>
      <c r="R182">
        <f>I182-(K182*Standards!$I$15)</f>
        <v>3.3399999999999999E-2</v>
      </c>
      <c r="S182">
        <f t="shared" si="5"/>
        <v>1.2330000000000001E-2</v>
      </c>
      <c r="T182" t="s">
        <v>83</v>
      </c>
      <c r="U182">
        <f>COUNT(R182:R205)</f>
        <v>24</v>
      </c>
      <c r="V182">
        <f>MAX(H182:H205)</f>
        <v>11.35</v>
      </c>
      <c r="W182">
        <f>AVERAGE(H182:H205)</f>
        <v>10.371666666666668</v>
      </c>
      <c r="X182">
        <f>MAX(J182:J205)</f>
        <v>0.11509999999999999</v>
      </c>
      <c r="Y182">
        <f>AVERAGE(J182:J205)</f>
        <v>1.9233333333333331E-2</v>
      </c>
      <c r="Z182">
        <f>10000*MAX(R182:R205)</f>
        <v>1150</v>
      </c>
      <c r="AA182">
        <f>10000*AVERAGE(R182:R205)</f>
        <v>207.5</v>
      </c>
      <c r="AB182">
        <f>10000*MAX(G182:G205)</f>
        <v>1233</v>
      </c>
      <c r="AC182">
        <f>10000*AVERAGE(G182:G205)</f>
        <v>1110.1666666666665</v>
      </c>
      <c r="AD182">
        <f>10000*MAX(S182:S205)</f>
        <v>426.7</v>
      </c>
      <c r="AE182">
        <f>10000*AVERAGE(S182:S205)</f>
        <v>278.79166666666669</v>
      </c>
    </row>
    <row r="183" spans="1:31">
      <c r="A183">
        <v>95</v>
      </c>
      <c r="B183">
        <v>0</v>
      </c>
      <c r="C183">
        <v>1.67E-2</v>
      </c>
      <c r="D183">
        <v>34.21</v>
      </c>
      <c r="E183">
        <v>5.3100000000000001E-2</v>
      </c>
      <c r="F183">
        <v>0</v>
      </c>
      <c r="G183">
        <v>0.11269999999999999</v>
      </c>
      <c r="H183">
        <v>10.82</v>
      </c>
      <c r="I183">
        <v>4.4299999999999999E-2</v>
      </c>
      <c r="J183">
        <v>3.3E-3</v>
      </c>
      <c r="K183">
        <v>0</v>
      </c>
      <c r="L183">
        <v>55.72</v>
      </c>
      <c r="M183">
        <v>0.11070000000000001</v>
      </c>
      <c r="N183">
        <v>101.0908</v>
      </c>
      <c r="O183" t="s">
        <v>82</v>
      </c>
      <c r="Q183">
        <f t="shared" si="4"/>
        <v>66.539999999999992</v>
      </c>
      <c r="R183">
        <f>I183-(K183*Standards!$I$15)</f>
        <v>4.4299999999999999E-2</v>
      </c>
      <c r="S183">
        <f t="shared" si="5"/>
        <v>1.4485E-2</v>
      </c>
      <c r="T183" t="s">
        <v>83</v>
      </c>
    </row>
    <row r="184" spans="1:31">
      <c r="A184">
        <v>96</v>
      </c>
      <c r="B184">
        <v>0</v>
      </c>
      <c r="C184">
        <v>2.93E-2</v>
      </c>
      <c r="D184">
        <v>34.28</v>
      </c>
      <c r="E184">
        <v>6.2100000000000002E-2</v>
      </c>
      <c r="F184">
        <v>0</v>
      </c>
      <c r="G184">
        <v>0.12139999999999999</v>
      </c>
      <c r="H184">
        <v>10.64</v>
      </c>
      <c r="I184">
        <v>2.4899999999999999E-2</v>
      </c>
      <c r="J184">
        <v>1.5599999999999999E-2</v>
      </c>
      <c r="K184">
        <v>0</v>
      </c>
      <c r="L184">
        <v>55.79</v>
      </c>
      <c r="M184">
        <v>0.1244</v>
      </c>
      <c r="N184">
        <v>101.08759999999999</v>
      </c>
      <c r="O184" t="s">
        <v>82</v>
      </c>
      <c r="Q184">
        <f t="shared" si="4"/>
        <v>66.430000000000007</v>
      </c>
      <c r="R184">
        <f>I184-(K184*Standards!$I$15)</f>
        <v>2.4899999999999999E-2</v>
      </c>
      <c r="S184">
        <f t="shared" si="5"/>
        <v>2.8055E-2</v>
      </c>
      <c r="T184" t="s">
        <v>83</v>
      </c>
    </row>
    <row r="185" spans="1:31">
      <c r="A185">
        <v>100</v>
      </c>
      <c r="B185">
        <v>0</v>
      </c>
      <c r="C185">
        <v>4.4400000000000002E-2</v>
      </c>
      <c r="D185">
        <v>34.18</v>
      </c>
      <c r="E185">
        <v>5.0299999999999997E-2</v>
      </c>
      <c r="F185">
        <v>0</v>
      </c>
      <c r="G185">
        <v>0.1186</v>
      </c>
      <c r="H185">
        <v>10.81</v>
      </c>
      <c r="I185">
        <v>3.4599999999999999E-2</v>
      </c>
      <c r="J185">
        <v>2.06E-2</v>
      </c>
      <c r="K185">
        <v>0</v>
      </c>
      <c r="L185">
        <v>55.89</v>
      </c>
      <c r="M185">
        <v>0.1091</v>
      </c>
      <c r="N185">
        <v>101.25749999999999</v>
      </c>
      <c r="O185" t="s">
        <v>82</v>
      </c>
      <c r="Q185">
        <f t="shared" si="4"/>
        <v>66.7</v>
      </c>
      <c r="R185">
        <f>I185-(K185*Standards!$I$15)</f>
        <v>3.4599999999999999E-2</v>
      </c>
      <c r="S185">
        <f t="shared" si="5"/>
        <v>4.267E-2</v>
      </c>
      <c r="T185" t="s">
        <v>83</v>
      </c>
    </row>
    <row r="186" spans="1:31">
      <c r="A186">
        <v>90</v>
      </c>
      <c r="B186">
        <v>0</v>
      </c>
      <c r="C186">
        <v>8.8000000000000005E-3</v>
      </c>
      <c r="D186">
        <v>34.47</v>
      </c>
      <c r="E186">
        <v>4.07E-2</v>
      </c>
      <c r="F186">
        <v>0</v>
      </c>
      <c r="G186">
        <v>0.1144</v>
      </c>
      <c r="H186">
        <v>11.09</v>
      </c>
      <c r="I186">
        <v>1.18E-2</v>
      </c>
      <c r="J186">
        <v>0</v>
      </c>
      <c r="K186">
        <v>0</v>
      </c>
      <c r="L186">
        <v>55.93</v>
      </c>
      <c r="M186">
        <v>0.1053</v>
      </c>
      <c r="N186">
        <v>101.7709</v>
      </c>
      <c r="O186" t="s">
        <v>82</v>
      </c>
      <c r="Q186">
        <f t="shared" si="4"/>
        <v>67.02</v>
      </c>
      <c r="R186">
        <f>I186-(K186*Standards!$I$15)</f>
        <v>1.18E-2</v>
      </c>
      <c r="S186">
        <f t="shared" si="5"/>
        <v>8.2100000000000003E-3</v>
      </c>
      <c r="T186" t="s">
        <v>83</v>
      </c>
    </row>
    <row r="187" spans="1:31">
      <c r="A187">
        <v>87</v>
      </c>
      <c r="B187">
        <v>0</v>
      </c>
      <c r="C187">
        <v>1.17E-2</v>
      </c>
      <c r="D187">
        <v>34.29</v>
      </c>
      <c r="E187">
        <v>4.6199999999999998E-2</v>
      </c>
      <c r="F187">
        <v>0</v>
      </c>
      <c r="G187">
        <v>0.12280000000000001</v>
      </c>
      <c r="H187">
        <v>10.75</v>
      </c>
      <c r="I187">
        <v>9.1000000000000004E-3</v>
      </c>
      <c r="J187">
        <v>0.11509999999999999</v>
      </c>
      <c r="K187">
        <v>0</v>
      </c>
      <c r="L187">
        <v>55.98</v>
      </c>
      <c r="M187">
        <v>9.5200000000000007E-2</v>
      </c>
      <c r="N187">
        <v>101.42010000000001</v>
      </c>
      <c r="O187" t="s">
        <v>82</v>
      </c>
      <c r="Q187">
        <f t="shared" si="4"/>
        <v>66.72999999999999</v>
      </c>
      <c r="R187">
        <f>I187-(K187*Standards!$I$15)</f>
        <v>9.1000000000000004E-3</v>
      </c>
      <c r="S187">
        <f t="shared" si="5"/>
        <v>1.1245E-2</v>
      </c>
      <c r="T187" t="s">
        <v>83</v>
      </c>
    </row>
    <row r="188" spans="1:31">
      <c r="A188">
        <v>97</v>
      </c>
      <c r="B188">
        <v>0</v>
      </c>
      <c r="C188">
        <v>2.1100000000000001E-2</v>
      </c>
      <c r="D188">
        <v>34.26</v>
      </c>
      <c r="E188">
        <v>6.3700000000000007E-2</v>
      </c>
      <c r="F188">
        <v>0</v>
      </c>
      <c r="G188">
        <v>0.10979999999999999</v>
      </c>
      <c r="H188">
        <v>10.54</v>
      </c>
      <c r="I188">
        <v>3.3700000000000001E-2</v>
      </c>
      <c r="J188">
        <v>2.7799999999999998E-2</v>
      </c>
      <c r="K188">
        <v>0</v>
      </c>
      <c r="L188">
        <v>56.1</v>
      </c>
      <c r="M188">
        <v>7.5700000000000003E-2</v>
      </c>
      <c r="N188">
        <v>101.2317</v>
      </c>
      <c r="O188" t="s">
        <v>82</v>
      </c>
      <c r="Q188">
        <f t="shared" si="4"/>
        <v>66.64</v>
      </c>
      <c r="R188">
        <f>I188-(K188*Standards!$I$15)</f>
        <v>3.3700000000000001E-2</v>
      </c>
      <c r="S188">
        <f t="shared" si="5"/>
        <v>1.9415000000000002E-2</v>
      </c>
      <c r="T188" t="s">
        <v>83</v>
      </c>
    </row>
    <row r="189" spans="1:31">
      <c r="A189">
        <v>99</v>
      </c>
      <c r="B189">
        <v>0</v>
      </c>
      <c r="C189">
        <v>2.01E-2</v>
      </c>
      <c r="D189">
        <v>34.25</v>
      </c>
      <c r="E189">
        <v>5.4300000000000001E-2</v>
      </c>
      <c r="F189">
        <v>0</v>
      </c>
      <c r="G189">
        <v>0.1103</v>
      </c>
      <c r="H189">
        <v>10.31</v>
      </c>
      <c r="I189">
        <v>5.9499999999999997E-2</v>
      </c>
      <c r="J189">
        <v>4.58E-2</v>
      </c>
      <c r="K189">
        <v>0</v>
      </c>
      <c r="L189">
        <v>56.2</v>
      </c>
      <c r="M189">
        <v>0.1013</v>
      </c>
      <c r="N189">
        <v>101.15130000000001</v>
      </c>
      <c r="O189" t="s">
        <v>82</v>
      </c>
      <c r="Q189">
        <f t="shared" si="4"/>
        <v>66.510000000000005</v>
      </c>
      <c r="R189">
        <f>I189-(K189*Standards!$I$15)</f>
        <v>5.9499999999999997E-2</v>
      </c>
      <c r="S189">
        <f t="shared" si="5"/>
        <v>1.7125000000000001E-2</v>
      </c>
      <c r="T189" t="s">
        <v>83</v>
      </c>
    </row>
    <row r="190" spans="1:31">
      <c r="A190">
        <v>81</v>
      </c>
      <c r="B190">
        <v>0</v>
      </c>
      <c r="C190">
        <v>3.56E-2</v>
      </c>
      <c r="D190">
        <v>34.31</v>
      </c>
      <c r="E190">
        <v>3.4200000000000001E-2</v>
      </c>
      <c r="F190">
        <v>0</v>
      </c>
      <c r="G190">
        <v>0.1145</v>
      </c>
      <c r="H190">
        <v>10.97</v>
      </c>
      <c r="I190">
        <v>2.6800000000000001E-2</v>
      </c>
      <c r="J190">
        <v>1.4800000000000001E-2</v>
      </c>
      <c r="K190">
        <v>0</v>
      </c>
      <c r="L190">
        <v>56.25</v>
      </c>
      <c r="M190">
        <v>0.1004</v>
      </c>
      <c r="N190">
        <v>101.8562</v>
      </c>
      <c r="O190" t="s">
        <v>82</v>
      </c>
      <c r="Q190">
        <f t="shared" si="4"/>
        <v>67.22</v>
      </c>
      <c r="R190">
        <f>I190-(K190*Standards!$I$15)</f>
        <v>2.6800000000000001E-2</v>
      </c>
      <c r="S190">
        <f t="shared" si="5"/>
        <v>3.4259999999999999E-2</v>
      </c>
      <c r="T190" t="s">
        <v>83</v>
      </c>
    </row>
    <row r="191" spans="1:31">
      <c r="A191">
        <v>85</v>
      </c>
      <c r="B191">
        <v>0</v>
      </c>
      <c r="C191">
        <v>2.2700000000000001E-2</v>
      </c>
      <c r="D191">
        <v>34.28</v>
      </c>
      <c r="E191">
        <v>4.5699999999999998E-2</v>
      </c>
      <c r="F191">
        <v>0</v>
      </c>
      <c r="G191">
        <v>0.1147</v>
      </c>
      <c r="H191">
        <v>10.64</v>
      </c>
      <c r="I191">
        <v>0</v>
      </c>
      <c r="J191">
        <v>6.7999999999999996E-3</v>
      </c>
      <c r="K191">
        <v>0</v>
      </c>
      <c r="L191">
        <v>56.25</v>
      </c>
      <c r="M191">
        <v>9.2200000000000004E-2</v>
      </c>
      <c r="N191">
        <v>101.452</v>
      </c>
      <c r="O191" t="s">
        <v>82</v>
      </c>
      <c r="Q191">
        <f t="shared" si="4"/>
        <v>66.89</v>
      </c>
      <c r="R191">
        <f>I191-(K191*Standards!$I$15)</f>
        <v>0</v>
      </c>
      <c r="S191">
        <f t="shared" si="5"/>
        <v>2.2700000000000001E-2</v>
      </c>
      <c r="T191" t="s">
        <v>83</v>
      </c>
    </row>
    <row r="192" spans="1:31">
      <c r="A192">
        <v>80</v>
      </c>
      <c r="B192">
        <v>0</v>
      </c>
      <c r="C192">
        <v>3.9300000000000002E-2</v>
      </c>
      <c r="D192">
        <v>34.15</v>
      </c>
      <c r="E192">
        <v>2.8000000000000001E-2</v>
      </c>
      <c r="F192">
        <v>0</v>
      </c>
      <c r="G192">
        <v>0.11020000000000001</v>
      </c>
      <c r="H192">
        <v>10.73</v>
      </c>
      <c r="I192">
        <v>0.115</v>
      </c>
      <c r="J192">
        <v>6.2399999999999997E-2</v>
      </c>
      <c r="K192">
        <v>0</v>
      </c>
      <c r="L192">
        <v>56.27</v>
      </c>
      <c r="M192">
        <v>9.9099999999999994E-2</v>
      </c>
      <c r="N192">
        <v>101.6039</v>
      </c>
      <c r="O192" t="s">
        <v>82</v>
      </c>
      <c r="Q192">
        <f t="shared" si="4"/>
        <v>67</v>
      </c>
      <c r="R192">
        <f>I192-(K192*Standards!$I$15)</f>
        <v>0.115</v>
      </c>
      <c r="S192">
        <f t="shared" si="5"/>
        <v>3.3550000000000003E-2</v>
      </c>
      <c r="T192" t="s">
        <v>83</v>
      </c>
    </row>
    <row r="193" spans="1:31">
      <c r="A193">
        <v>51</v>
      </c>
      <c r="B193">
        <v>0</v>
      </c>
      <c r="C193">
        <v>3.6999999999999998E-2</v>
      </c>
      <c r="D193">
        <v>34.24</v>
      </c>
      <c r="E193">
        <v>3.9E-2</v>
      </c>
      <c r="F193">
        <v>0</v>
      </c>
      <c r="G193">
        <v>0.1056</v>
      </c>
      <c r="H193">
        <v>10.71</v>
      </c>
      <c r="I193">
        <v>1.61E-2</v>
      </c>
      <c r="J193">
        <v>1.7999999999999999E-2</v>
      </c>
      <c r="K193">
        <v>0</v>
      </c>
      <c r="L193">
        <v>56.3</v>
      </c>
      <c r="M193">
        <v>0.10440000000000001</v>
      </c>
      <c r="N193">
        <v>101.57</v>
      </c>
      <c r="O193" t="s">
        <v>82</v>
      </c>
      <c r="Q193">
        <f t="shared" si="4"/>
        <v>67.009999999999991</v>
      </c>
      <c r="R193">
        <f>I193-(K193*Standards!$I$15)</f>
        <v>1.61E-2</v>
      </c>
      <c r="S193">
        <f t="shared" si="5"/>
        <v>3.6194999999999998E-2</v>
      </c>
      <c r="T193" t="s">
        <v>83</v>
      </c>
    </row>
    <row r="194" spans="1:31">
      <c r="A194">
        <v>79</v>
      </c>
      <c r="B194">
        <v>0</v>
      </c>
      <c r="C194">
        <v>4.3099999999999999E-2</v>
      </c>
      <c r="D194">
        <v>34.1</v>
      </c>
      <c r="E194">
        <v>5.2900000000000003E-2</v>
      </c>
      <c r="F194">
        <v>0</v>
      </c>
      <c r="G194">
        <v>0.12330000000000001</v>
      </c>
      <c r="H194">
        <v>10.9</v>
      </c>
      <c r="I194">
        <v>5.5500000000000001E-2</v>
      </c>
      <c r="J194">
        <v>3.4799999999999998E-2</v>
      </c>
      <c r="K194">
        <v>0</v>
      </c>
      <c r="L194">
        <v>56.37</v>
      </c>
      <c r="M194">
        <v>9.1899999999999996E-2</v>
      </c>
      <c r="N194">
        <v>101.7714</v>
      </c>
      <c r="O194" t="s">
        <v>82</v>
      </c>
      <c r="Q194">
        <f t="shared" si="4"/>
        <v>67.27</v>
      </c>
      <c r="R194">
        <f>I194-(K194*Standards!$I$15)</f>
        <v>5.5500000000000001E-2</v>
      </c>
      <c r="S194">
        <f t="shared" si="5"/>
        <v>4.0325E-2</v>
      </c>
      <c r="T194" t="s">
        <v>83</v>
      </c>
    </row>
    <row r="195" spans="1:31">
      <c r="A195">
        <v>53</v>
      </c>
      <c r="B195">
        <v>0</v>
      </c>
      <c r="C195">
        <v>2.7199999999999998E-2</v>
      </c>
      <c r="D195">
        <v>34.21</v>
      </c>
      <c r="E195">
        <v>3.7900000000000003E-2</v>
      </c>
      <c r="F195">
        <v>4.7000000000000002E-3</v>
      </c>
      <c r="G195">
        <v>0.1179</v>
      </c>
      <c r="H195">
        <v>10.49</v>
      </c>
      <c r="I195">
        <v>1.24E-2</v>
      </c>
      <c r="J195">
        <v>1.84E-2</v>
      </c>
      <c r="K195">
        <v>0</v>
      </c>
      <c r="L195">
        <v>56.52</v>
      </c>
      <c r="M195">
        <v>8.1299999999999997E-2</v>
      </c>
      <c r="N195">
        <v>101.5197</v>
      </c>
      <c r="O195" t="s">
        <v>82</v>
      </c>
      <c r="Q195">
        <f t="shared" ref="Q195:Q258" si="6">H195+L195</f>
        <v>67.010000000000005</v>
      </c>
      <c r="R195">
        <f>I195-(K195*Standards!$I$15)</f>
        <v>1.24E-2</v>
      </c>
      <c r="S195">
        <f t="shared" ref="S195:S258" si="7">C195-(I195*0.05)</f>
        <v>2.6579999999999999E-2</v>
      </c>
      <c r="T195" t="s">
        <v>83</v>
      </c>
    </row>
    <row r="196" spans="1:31">
      <c r="A196">
        <v>57</v>
      </c>
      <c r="B196">
        <v>0</v>
      </c>
      <c r="C196">
        <v>2.9899999999999999E-2</v>
      </c>
      <c r="D196">
        <v>34.159999999999997</v>
      </c>
      <c r="E196">
        <v>4.2799999999999998E-2</v>
      </c>
      <c r="F196">
        <v>0</v>
      </c>
      <c r="G196">
        <v>0.10970000000000001</v>
      </c>
      <c r="H196">
        <v>10.25</v>
      </c>
      <c r="I196">
        <v>4.4000000000000003E-3</v>
      </c>
      <c r="J196">
        <v>0</v>
      </c>
      <c r="K196">
        <v>0</v>
      </c>
      <c r="L196">
        <v>56.96</v>
      </c>
      <c r="M196">
        <v>0.129</v>
      </c>
      <c r="N196">
        <v>101.6857</v>
      </c>
      <c r="O196" t="s">
        <v>82</v>
      </c>
      <c r="Q196">
        <f t="shared" si="6"/>
        <v>67.210000000000008</v>
      </c>
      <c r="R196">
        <f>I196-(K196*Standards!$I$15)</f>
        <v>4.4000000000000003E-3</v>
      </c>
      <c r="S196">
        <f t="shared" si="7"/>
        <v>2.9679999999999998E-2</v>
      </c>
      <c r="T196" t="s">
        <v>83</v>
      </c>
    </row>
    <row r="197" spans="1:31">
      <c r="A197">
        <v>52</v>
      </c>
      <c r="B197">
        <v>0</v>
      </c>
      <c r="C197">
        <v>3.0099999999999998E-2</v>
      </c>
      <c r="D197">
        <v>34.33</v>
      </c>
      <c r="E197">
        <v>4.2500000000000003E-2</v>
      </c>
      <c r="F197">
        <v>0</v>
      </c>
      <c r="G197">
        <v>0.10349999999999999</v>
      </c>
      <c r="H197">
        <v>10.050000000000001</v>
      </c>
      <c r="I197">
        <v>0</v>
      </c>
      <c r="J197">
        <v>0</v>
      </c>
      <c r="K197">
        <v>0</v>
      </c>
      <c r="L197">
        <v>57.2</v>
      </c>
      <c r="M197">
        <v>9.2100000000000001E-2</v>
      </c>
      <c r="N197">
        <v>101.84820000000001</v>
      </c>
      <c r="O197" t="s">
        <v>82</v>
      </c>
      <c r="Q197">
        <f t="shared" si="6"/>
        <v>67.25</v>
      </c>
      <c r="R197">
        <f>I197-(K197*Standards!$I$15)</f>
        <v>0</v>
      </c>
      <c r="S197">
        <f t="shared" si="7"/>
        <v>3.0099999999999998E-2</v>
      </c>
      <c r="T197" t="s">
        <v>83</v>
      </c>
    </row>
    <row r="198" spans="1:31">
      <c r="A198">
        <v>64</v>
      </c>
      <c r="B198">
        <v>0</v>
      </c>
      <c r="C198">
        <v>2.4E-2</v>
      </c>
      <c r="D198">
        <v>34.270000000000003</v>
      </c>
      <c r="E198">
        <v>6.4699999999999994E-2</v>
      </c>
      <c r="F198">
        <v>0</v>
      </c>
      <c r="G198">
        <v>0.107</v>
      </c>
      <c r="H198">
        <v>9.86</v>
      </c>
      <c r="I198">
        <v>0</v>
      </c>
      <c r="J198">
        <v>0</v>
      </c>
      <c r="K198">
        <v>0</v>
      </c>
      <c r="L198">
        <v>57.3</v>
      </c>
      <c r="M198">
        <v>9.1300000000000006E-2</v>
      </c>
      <c r="N198">
        <v>101.7169</v>
      </c>
      <c r="O198" t="s">
        <v>82</v>
      </c>
      <c r="Q198">
        <f t="shared" si="6"/>
        <v>67.16</v>
      </c>
      <c r="R198">
        <f>I198-(K198*Standards!$I$15)</f>
        <v>0</v>
      </c>
      <c r="S198">
        <f t="shared" si="7"/>
        <v>2.4E-2</v>
      </c>
      <c r="T198" t="s">
        <v>83</v>
      </c>
    </row>
    <row r="199" spans="1:31">
      <c r="A199">
        <v>86</v>
      </c>
      <c r="B199">
        <v>0</v>
      </c>
      <c r="C199">
        <v>3.5099999999999999E-2</v>
      </c>
      <c r="D199">
        <v>34.200000000000003</v>
      </c>
      <c r="E199">
        <v>4.0399999999999998E-2</v>
      </c>
      <c r="F199">
        <v>1.18E-2</v>
      </c>
      <c r="G199">
        <v>0.1048</v>
      </c>
      <c r="H199">
        <v>9.84</v>
      </c>
      <c r="I199">
        <v>0</v>
      </c>
      <c r="J199">
        <v>0</v>
      </c>
      <c r="K199">
        <v>0</v>
      </c>
      <c r="L199">
        <v>57.31</v>
      </c>
      <c r="M199">
        <v>8.7099999999999997E-2</v>
      </c>
      <c r="N199">
        <v>101.62909999999999</v>
      </c>
      <c r="O199" t="s">
        <v>82</v>
      </c>
      <c r="Q199">
        <f t="shared" si="6"/>
        <v>67.150000000000006</v>
      </c>
      <c r="R199">
        <f>I199-(K199*Standards!$I$15)</f>
        <v>0</v>
      </c>
      <c r="S199">
        <f t="shared" si="7"/>
        <v>3.5099999999999999E-2</v>
      </c>
      <c r="T199" t="s">
        <v>83</v>
      </c>
    </row>
    <row r="200" spans="1:31">
      <c r="A200">
        <v>83</v>
      </c>
      <c r="B200">
        <v>0</v>
      </c>
      <c r="C200">
        <v>3.09E-2</v>
      </c>
      <c r="D200">
        <v>34.270000000000003</v>
      </c>
      <c r="E200">
        <v>5.1400000000000001E-2</v>
      </c>
      <c r="F200">
        <v>0</v>
      </c>
      <c r="G200">
        <v>0.1033</v>
      </c>
      <c r="H200">
        <v>9.6999999999999993</v>
      </c>
      <c r="I200">
        <v>6.9999999999999999E-4</v>
      </c>
      <c r="J200">
        <v>0</v>
      </c>
      <c r="K200">
        <v>0</v>
      </c>
      <c r="L200">
        <v>57.37</v>
      </c>
      <c r="M200">
        <v>0.1067</v>
      </c>
      <c r="N200">
        <v>101.63290000000001</v>
      </c>
      <c r="O200" t="s">
        <v>82</v>
      </c>
      <c r="Q200">
        <f t="shared" si="6"/>
        <v>67.069999999999993</v>
      </c>
      <c r="R200">
        <f>I200-(K200*Standards!$I$15)</f>
        <v>6.9999999999999999E-4</v>
      </c>
      <c r="S200">
        <f t="shared" si="7"/>
        <v>3.0865E-2</v>
      </c>
      <c r="T200" t="s">
        <v>83</v>
      </c>
    </row>
    <row r="201" spans="1:31">
      <c r="A201">
        <v>84</v>
      </c>
      <c r="B201">
        <v>0</v>
      </c>
      <c r="C201">
        <v>3.2899999999999999E-2</v>
      </c>
      <c r="D201">
        <v>34.369999999999997</v>
      </c>
      <c r="E201">
        <v>3.32E-2</v>
      </c>
      <c r="F201">
        <v>0</v>
      </c>
      <c r="G201">
        <v>0.1043</v>
      </c>
      <c r="H201">
        <v>9.83</v>
      </c>
      <c r="I201">
        <v>5.8999999999999999E-3</v>
      </c>
      <c r="J201">
        <v>4.5999999999999999E-3</v>
      </c>
      <c r="K201">
        <v>0</v>
      </c>
      <c r="L201">
        <v>57.42</v>
      </c>
      <c r="M201">
        <v>7.7700000000000005E-2</v>
      </c>
      <c r="N201">
        <v>101.8785</v>
      </c>
      <c r="O201" t="s">
        <v>82</v>
      </c>
      <c r="Q201">
        <f t="shared" si="6"/>
        <v>67.25</v>
      </c>
      <c r="R201">
        <f>I201-(K201*Standards!$I$15)</f>
        <v>5.8999999999999999E-3</v>
      </c>
      <c r="S201">
        <f t="shared" si="7"/>
        <v>3.2605000000000002E-2</v>
      </c>
      <c r="T201" t="s">
        <v>83</v>
      </c>
    </row>
    <row r="202" spans="1:31">
      <c r="A202">
        <v>59</v>
      </c>
      <c r="B202">
        <v>0</v>
      </c>
      <c r="C202">
        <v>3.7400000000000003E-2</v>
      </c>
      <c r="D202">
        <v>34.159999999999997</v>
      </c>
      <c r="E202">
        <v>0.04</v>
      </c>
      <c r="F202">
        <v>0</v>
      </c>
      <c r="G202">
        <v>0.1079</v>
      </c>
      <c r="H202">
        <v>9.69</v>
      </c>
      <c r="I202">
        <v>0</v>
      </c>
      <c r="J202">
        <v>0</v>
      </c>
      <c r="K202">
        <v>0</v>
      </c>
      <c r="L202">
        <v>57.49</v>
      </c>
      <c r="M202">
        <v>8.3400000000000002E-2</v>
      </c>
      <c r="N202">
        <v>101.6086</v>
      </c>
      <c r="O202" t="s">
        <v>82</v>
      </c>
      <c r="Q202">
        <f t="shared" si="6"/>
        <v>67.180000000000007</v>
      </c>
      <c r="R202">
        <f>I202-(K202*Standards!$I$15)</f>
        <v>0</v>
      </c>
      <c r="S202">
        <f t="shared" si="7"/>
        <v>3.7400000000000003E-2</v>
      </c>
      <c r="T202" t="s">
        <v>83</v>
      </c>
    </row>
    <row r="203" spans="1:31">
      <c r="A203">
        <v>61</v>
      </c>
      <c r="B203">
        <v>0</v>
      </c>
      <c r="C203">
        <v>3.7199999999999997E-2</v>
      </c>
      <c r="D203">
        <v>34.26</v>
      </c>
      <c r="E203">
        <v>4.3099999999999999E-2</v>
      </c>
      <c r="F203">
        <v>0</v>
      </c>
      <c r="G203">
        <v>0.1013</v>
      </c>
      <c r="H203">
        <v>10.06</v>
      </c>
      <c r="I203">
        <v>0</v>
      </c>
      <c r="J203">
        <v>4.8999999999999998E-3</v>
      </c>
      <c r="K203">
        <v>0</v>
      </c>
      <c r="L203">
        <v>57.68</v>
      </c>
      <c r="M203">
        <v>0.1195</v>
      </c>
      <c r="N203">
        <v>102.30589999999999</v>
      </c>
      <c r="O203" t="s">
        <v>82</v>
      </c>
      <c r="Q203">
        <f t="shared" si="6"/>
        <v>67.739999999999995</v>
      </c>
      <c r="R203">
        <f>I203-(K203*Standards!$I$15)</f>
        <v>0</v>
      </c>
      <c r="S203">
        <f t="shared" si="7"/>
        <v>3.7199999999999997E-2</v>
      </c>
      <c r="T203" t="s">
        <v>83</v>
      </c>
    </row>
    <row r="204" spans="1:31">
      <c r="A204">
        <v>60</v>
      </c>
      <c r="B204">
        <v>0</v>
      </c>
      <c r="C204">
        <v>3.1899999999999998E-2</v>
      </c>
      <c r="D204">
        <v>34.26</v>
      </c>
      <c r="E204">
        <v>4.6300000000000001E-2</v>
      </c>
      <c r="F204">
        <v>0</v>
      </c>
      <c r="G204">
        <v>0.1095</v>
      </c>
      <c r="H204">
        <v>9.74</v>
      </c>
      <c r="I204">
        <v>0</v>
      </c>
      <c r="J204">
        <v>0</v>
      </c>
      <c r="K204">
        <v>0</v>
      </c>
      <c r="L204">
        <v>57.69</v>
      </c>
      <c r="M204">
        <v>9.1700000000000004E-2</v>
      </c>
      <c r="N204">
        <v>101.9693</v>
      </c>
      <c r="O204" t="s">
        <v>82</v>
      </c>
      <c r="Q204">
        <f t="shared" si="6"/>
        <v>67.429999999999993</v>
      </c>
      <c r="R204">
        <f>I204-(K204*Standards!$I$15)</f>
        <v>0</v>
      </c>
      <c r="S204">
        <f t="shared" si="7"/>
        <v>3.1899999999999998E-2</v>
      </c>
      <c r="T204" t="s">
        <v>83</v>
      </c>
    </row>
    <row r="205" spans="1:31">
      <c r="A205">
        <v>82</v>
      </c>
      <c r="B205">
        <v>0</v>
      </c>
      <c r="C205">
        <v>3.3599999999999998E-2</v>
      </c>
      <c r="D205">
        <v>34.06</v>
      </c>
      <c r="E205">
        <v>4.6699999999999998E-2</v>
      </c>
      <c r="F205">
        <v>0</v>
      </c>
      <c r="G205">
        <v>0.1094</v>
      </c>
      <c r="H205">
        <v>9.15</v>
      </c>
      <c r="I205">
        <v>9.9000000000000008E-3</v>
      </c>
      <c r="J205">
        <v>0</v>
      </c>
      <c r="K205">
        <v>0</v>
      </c>
      <c r="L205">
        <v>57.76</v>
      </c>
      <c r="M205">
        <v>9.3799999999999994E-2</v>
      </c>
      <c r="N205">
        <v>101.2634</v>
      </c>
      <c r="O205" t="s">
        <v>82</v>
      </c>
      <c r="Q205">
        <f t="shared" si="6"/>
        <v>66.91</v>
      </c>
      <c r="R205">
        <f>I205-(K205*Standards!$I$15)</f>
        <v>9.9000000000000008E-3</v>
      </c>
      <c r="S205">
        <f t="shared" si="7"/>
        <v>3.3104999999999996E-2</v>
      </c>
      <c r="T205" t="s">
        <v>83</v>
      </c>
    </row>
    <row r="206" spans="1:31">
      <c r="A206">
        <v>29</v>
      </c>
      <c r="B206">
        <v>0</v>
      </c>
      <c r="C206">
        <v>5.0700000000000002E-2</v>
      </c>
      <c r="D206">
        <v>34.06</v>
      </c>
      <c r="E206">
        <v>0.1111</v>
      </c>
      <c r="F206">
        <v>0</v>
      </c>
      <c r="G206">
        <v>0.2492</v>
      </c>
      <c r="H206">
        <v>3.54</v>
      </c>
      <c r="I206">
        <v>5.5599999999999997E-2</v>
      </c>
      <c r="J206">
        <v>6.6299999999999998E-2</v>
      </c>
      <c r="K206">
        <v>0</v>
      </c>
      <c r="L206">
        <v>64.83</v>
      </c>
      <c r="M206">
        <v>0.11360000000000001</v>
      </c>
      <c r="N206">
        <v>103.0765</v>
      </c>
      <c r="O206" t="s">
        <v>354</v>
      </c>
      <c r="Q206">
        <f t="shared" si="6"/>
        <v>68.37</v>
      </c>
      <c r="R206">
        <f>I206-(K206*Standards!$I$15)</f>
        <v>5.5599999999999997E-2</v>
      </c>
      <c r="S206">
        <f t="shared" si="7"/>
        <v>4.7920000000000004E-2</v>
      </c>
      <c r="T206" t="s">
        <v>166</v>
      </c>
      <c r="U206">
        <f>COUNT(R206:R224,R526:R531)</f>
        <v>25</v>
      </c>
      <c r="V206">
        <f>MAX(H206:H224,H526:H531)</f>
        <v>6.27</v>
      </c>
      <c r="W206">
        <f>AVERAGE(H206:H224,H526:H531)</f>
        <v>3.4621</v>
      </c>
      <c r="X206">
        <f>MAX(J206:J224,J526:J531)</f>
        <v>2.5</v>
      </c>
      <c r="Y206">
        <f>AVERAGE(J206:J224,J526:J531)</f>
        <v>0.22077599999999997</v>
      </c>
      <c r="Z206">
        <f>10000*MAX(R206:R224,R526:R531)</f>
        <v>1071</v>
      </c>
      <c r="AA206">
        <f>10000*AVERAGE(R206:R224,R526:R531)</f>
        <v>335.52610449999997</v>
      </c>
      <c r="AB206">
        <f>10000*MAX(G206:G224,G526:G531)</f>
        <v>4378</v>
      </c>
      <c r="AC206">
        <f>10000*AVERAGE(G206:G224,G526:G531)</f>
        <v>2686.52</v>
      </c>
      <c r="AD206">
        <f>10000*MAX(S206:S224,S526:S531)</f>
        <v>646.99999999999989</v>
      </c>
      <c r="AE206">
        <f>10000*AVERAGE(S206:S224,S526:S531)</f>
        <v>486.54199999999997</v>
      </c>
    </row>
    <row r="207" spans="1:31">
      <c r="A207">
        <v>26</v>
      </c>
      <c r="B207">
        <v>0</v>
      </c>
      <c r="C207">
        <v>5.1400000000000001E-2</v>
      </c>
      <c r="D207">
        <v>34.24</v>
      </c>
      <c r="E207">
        <v>8.9099999999999999E-2</v>
      </c>
      <c r="F207">
        <v>0</v>
      </c>
      <c r="G207">
        <v>0.23150000000000001</v>
      </c>
      <c r="H207">
        <v>3.62</v>
      </c>
      <c r="I207">
        <v>4.2500000000000003E-2</v>
      </c>
      <c r="J207">
        <v>9.2899999999999996E-2</v>
      </c>
      <c r="K207">
        <v>0</v>
      </c>
      <c r="L207">
        <v>64.7</v>
      </c>
      <c r="M207">
        <v>0.12770000000000001</v>
      </c>
      <c r="N207">
        <v>103.19499999999999</v>
      </c>
      <c r="O207" t="s">
        <v>354</v>
      </c>
      <c r="Q207">
        <f t="shared" si="6"/>
        <v>68.320000000000007</v>
      </c>
      <c r="R207">
        <f>I207-(K207*Standards!$I$15)</f>
        <v>4.2500000000000003E-2</v>
      </c>
      <c r="S207">
        <f t="shared" si="7"/>
        <v>4.9274999999999999E-2</v>
      </c>
      <c r="T207" t="s">
        <v>166</v>
      </c>
    </row>
    <row r="208" spans="1:31">
      <c r="A208">
        <v>25</v>
      </c>
      <c r="B208">
        <v>0</v>
      </c>
      <c r="C208">
        <v>4.1300000000000003E-2</v>
      </c>
      <c r="D208">
        <v>34.06</v>
      </c>
      <c r="E208">
        <v>9.4100000000000003E-2</v>
      </c>
      <c r="F208">
        <v>0</v>
      </c>
      <c r="G208">
        <v>0.24660000000000001</v>
      </c>
      <c r="H208">
        <v>3.79</v>
      </c>
      <c r="I208">
        <v>3.1099999999999999E-2</v>
      </c>
      <c r="J208">
        <v>2.1299999999999999E-2</v>
      </c>
      <c r="K208">
        <v>0</v>
      </c>
      <c r="L208">
        <v>64.67</v>
      </c>
      <c r="M208">
        <v>0.1094</v>
      </c>
      <c r="N208">
        <v>103.0638</v>
      </c>
      <c r="O208" t="s">
        <v>354</v>
      </c>
      <c r="Q208">
        <f t="shared" si="6"/>
        <v>68.460000000000008</v>
      </c>
      <c r="R208">
        <f>I208-(K208*Standards!$I$15)</f>
        <v>3.1099999999999999E-2</v>
      </c>
      <c r="S208">
        <f t="shared" si="7"/>
        <v>3.9745000000000003E-2</v>
      </c>
      <c r="T208" t="s">
        <v>166</v>
      </c>
    </row>
    <row r="209" spans="1:20">
      <c r="A209">
        <v>28</v>
      </c>
      <c r="B209">
        <v>0</v>
      </c>
      <c r="C209">
        <v>5.7700000000000001E-2</v>
      </c>
      <c r="D209">
        <v>34.53</v>
      </c>
      <c r="E209">
        <v>0.10489999999999999</v>
      </c>
      <c r="F209">
        <v>0</v>
      </c>
      <c r="G209">
        <v>0.24110000000000001</v>
      </c>
      <c r="H209">
        <v>3.75</v>
      </c>
      <c r="I209">
        <v>4.0099999999999997E-2</v>
      </c>
      <c r="J209">
        <v>1.9900000000000001E-2</v>
      </c>
      <c r="K209">
        <v>0</v>
      </c>
      <c r="L209">
        <v>64.510000000000005</v>
      </c>
      <c r="M209">
        <v>9.7100000000000006E-2</v>
      </c>
      <c r="N209">
        <v>103.35080000000001</v>
      </c>
      <c r="O209" t="s">
        <v>354</v>
      </c>
      <c r="Q209">
        <f t="shared" si="6"/>
        <v>68.260000000000005</v>
      </c>
      <c r="R209">
        <f>I209-(K209*Standards!$I$15)</f>
        <v>4.0099999999999997E-2</v>
      </c>
      <c r="S209">
        <f t="shared" si="7"/>
        <v>5.5695000000000001E-2</v>
      </c>
      <c r="T209" t="s">
        <v>166</v>
      </c>
    </row>
    <row r="210" spans="1:20">
      <c r="A210">
        <v>38</v>
      </c>
      <c r="B210">
        <v>0</v>
      </c>
      <c r="C210">
        <v>4.0300000000000002E-2</v>
      </c>
      <c r="D210">
        <v>34.159999999999997</v>
      </c>
      <c r="E210">
        <v>9.74E-2</v>
      </c>
      <c r="F210">
        <v>0</v>
      </c>
      <c r="G210">
        <v>0.23130000000000001</v>
      </c>
      <c r="H210">
        <v>3.57</v>
      </c>
      <c r="I210">
        <v>2.7099999999999999E-2</v>
      </c>
      <c r="J210">
        <v>6.0100000000000001E-2</v>
      </c>
      <c r="K210">
        <v>0</v>
      </c>
      <c r="L210">
        <v>64.5</v>
      </c>
      <c r="M210">
        <v>0.1019</v>
      </c>
      <c r="N210">
        <v>102.788</v>
      </c>
      <c r="O210" t="s">
        <v>354</v>
      </c>
      <c r="Q210">
        <f t="shared" si="6"/>
        <v>68.069999999999993</v>
      </c>
      <c r="R210">
        <f>I210-(K210*Standards!$I$15)</f>
        <v>2.7099999999999999E-2</v>
      </c>
      <c r="S210">
        <f t="shared" si="7"/>
        <v>3.8945E-2</v>
      </c>
      <c r="T210" t="s">
        <v>166</v>
      </c>
    </row>
    <row r="211" spans="1:20">
      <c r="A211">
        <v>40</v>
      </c>
      <c r="B211">
        <v>0</v>
      </c>
      <c r="C211">
        <v>5.2299999999999999E-2</v>
      </c>
      <c r="D211">
        <v>34.090000000000003</v>
      </c>
      <c r="E211">
        <v>0.10730000000000001</v>
      </c>
      <c r="F211">
        <v>0</v>
      </c>
      <c r="G211">
        <v>0.2303</v>
      </c>
      <c r="H211">
        <v>3.83</v>
      </c>
      <c r="I211">
        <v>6.6699999999999995E-2</v>
      </c>
      <c r="J211">
        <v>0.2412</v>
      </c>
      <c r="K211">
        <v>0</v>
      </c>
      <c r="L211">
        <v>64.44</v>
      </c>
      <c r="M211">
        <v>9.5299999999999996E-2</v>
      </c>
      <c r="N211">
        <v>103.15300000000001</v>
      </c>
      <c r="O211" t="s">
        <v>354</v>
      </c>
      <c r="Q211">
        <f t="shared" si="6"/>
        <v>68.27</v>
      </c>
      <c r="R211">
        <f>I211-(K211*Standards!$I$15)</f>
        <v>6.6699999999999995E-2</v>
      </c>
      <c r="S211">
        <f t="shared" si="7"/>
        <v>4.8965000000000002E-2</v>
      </c>
      <c r="T211" t="s">
        <v>166</v>
      </c>
    </row>
    <row r="212" spans="1:20">
      <c r="A212">
        <v>36</v>
      </c>
      <c r="B212">
        <v>0</v>
      </c>
      <c r="C212">
        <v>4.02E-2</v>
      </c>
      <c r="D212">
        <v>34.57</v>
      </c>
      <c r="E212">
        <v>9.74E-2</v>
      </c>
      <c r="F212">
        <v>0</v>
      </c>
      <c r="G212">
        <v>0.23899999999999999</v>
      </c>
      <c r="H212">
        <v>4.21</v>
      </c>
      <c r="I212">
        <v>4.6399999999999997E-2</v>
      </c>
      <c r="J212">
        <v>7.7100000000000002E-2</v>
      </c>
      <c r="K212">
        <v>0</v>
      </c>
      <c r="L212">
        <v>64.38</v>
      </c>
      <c r="M212">
        <v>0.1007</v>
      </c>
      <c r="N212">
        <v>103.7607</v>
      </c>
      <c r="O212" t="s">
        <v>354</v>
      </c>
      <c r="Q212">
        <f t="shared" si="6"/>
        <v>68.589999999999989</v>
      </c>
      <c r="R212">
        <f>I212-(K212*Standards!$I$15)</f>
        <v>4.6399999999999997E-2</v>
      </c>
      <c r="S212">
        <f t="shared" si="7"/>
        <v>3.7879999999999997E-2</v>
      </c>
      <c r="T212" t="s">
        <v>166</v>
      </c>
    </row>
    <row r="213" spans="1:20">
      <c r="A213">
        <v>22</v>
      </c>
      <c r="B213">
        <v>0</v>
      </c>
      <c r="C213">
        <v>5.74E-2</v>
      </c>
      <c r="D213">
        <v>34.19</v>
      </c>
      <c r="E213">
        <v>9.8000000000000004E-2</v>
      </c>
      <c r="F213">
        <v>0</v>
      </c>
      <c r="G213">
        <v>0.25190000000000001</v>
      </c>
      <c r="H213">
        <v>4.0999999999999996</v>
      </c>
      <c r="I213">
        <v>5.3699999999999998E-2</v>
      </c>
      <c r="J213">
        <v>0.11459999999999999</v>
      </c>
      <c r="K213">
        <v>0</v>
      </c>
      <c r="L213">
        <v>64.36</v>
      </c>
      <c r="M213">
        <v>9.5600000000000004E-2</v>
      </c>
      <c r="N213">
        <v>103.3211</v>
      </c>
      <c r="O213" t="s">
        <v>354</v>
      </c>
      <c r="Q213">
        <f t="shared" si="6"/>
        <v>68.459999999999994</v>
      </c>
      <c r="R213">
        <f>I213-(K213*Standards!$I$15)</f>
        <v>5.3699999999999998E-2</v>
      </c>
      <c r="S213">
        <f t="shared" si="7"/>
        <v>5.4715E-2</v>
      </c>
      <c r="T213" t="s">
        <v>166</v>
      </c>
    </row>
    <row r="214" spans="1:20">
      <c r="A214">
        <v>30</v>
      </c>
      <c r="B214">
        <v>0</v>
      </c>
      <c r="C214">
        <v>3.9399999999999998E-2</v>
      </c>
      <c r="D214">
        <v>34.21</v>
      </c>
      <c r="E214">
        <v>0.1077</v>
      </c>
      <c r="F214">
        <v>0</v>
      </c>
      <c r="G214">
        <v>0.2492</v>
      </c>
      <c r="H214">
        <v>4.3099999999999996</v>
      </c>
      <c r="I214">
        <v>4.3499999999999997E-2</v>
      </c>
      <c r="J214">
        <v>0.1668</v>
      </c>
      <c r="K214">
        <v>0</v>
      </c>
      <c r="L214">
        <v>64.260000000000005</v>
      </c>
      <c r="M214">
        <v>0.1245</v>
      </c>
      <c r="N214">
        <v>103.511</v>
      </c>
      <c r="O214" t="s">
        <v>354</v>
      </c>
      <c r="Q214">
        <f t="shared" si="6"/>
        <v>68.570000000000007</v>
      </c>
      <c r="R214">
        <f>I214-(K214*Standards!$I$15)</f>
        <v>4.3499999999999997E-2</v>
      </c>
      <c r="S214">
        <f t="shared" si="7"/>
        <v>3.7224999999999994E-2</v>
      </c>
      <c r="T214" t="s">
        <v>166</v>
      </c>
    </row>
    <row r="215" spans="1:20">
      <c r="A215">
        <v>39</v>
      </c>
      <c r="B215">
        <v>0</v>
      </c>
      <c r="C215">
        <v>4.99E-2</v>
      </c>
      <c r="D215">
        <v>34.229999999999997</v>
      </c>
      <c r="E215">
        <v>8.1000000000000003E-2</v>
      </c>
      <c r="F215">
        <v>0</v>
      </c>
      <c r="G215">
        <v>0.22650000000000001</v>
      </c>
      <c r="H215">
        <v>4.12</v>
      </c>
      <c r="I215">
        <v>9.9000000000000008E-3</v>
      </c>
      <c r="J215">
        <v>0</v>
      </c>
      <c r="K215">
        <v>0</v>
      </c>
      <c r="L215">
        <v>64.239999999999995</v>
      </c>
      <c r="M215">
        <v>9.8199999999999996E-2</v>
      </c>
      <c r="N215">
        <v>103.05540000000001</v>
      </c>
      <c r="O215" t="s">
        <v>354</v>
      </c>
      <c r="Q215">
        <f t="shared" si="6"/>
        <v>68.36</v>
      </c>
      <c r="R215">
        <f>I215-(K215*Standards!$I$15)</f>
        <v>9.9000000000000008E-3</v>
      </c>
      <c r="S215">
        <f t="shared" si="7"/>
        <v>4.9404999999999998E-2</v>
      </c>
      <c r="T215" t="s">
        <v>166</v>
      </c>
    </row>
    <row r="216" spans="1:20">
      <c r="A216">
        <v>31</v>
      </c>
      <c r="B216">
        <v>0</v>
      </c>
      <c r="C216">
        <v>4.3999999999999997E-2</v>
      </c>
      <c r="D216">
        <v>34.15</v>
      </c>
      <c r="E216">
        <v>8.7800000000000003E-2</v>
      </c>
      <c r="F216">
        <v>0</v>
      </c>
      <c r="G216">
        <v>0.24990000000000001</v>
      </c>
      <c r="H216">
        <v>4.16</v>
      </c>
      <c r="I216">
        <v>1.6199999999999999E-2</v>
      </c>
      <c r="J216">
        <v>0.1381</v>
      </c>
      <c r="K216">
        <v>0</v>
      </c>
      <c r="L216">
        <v>64.22</v>
      </c>
      <c r="M216">
        <v>0.1162</v>
      </c>
      <c r="N216">
        <v>103.18219999999999</v>
      </c>
      <c r="O216" t="s">
        <v>354</v>
      </c>
      <c r="Q216">
        <f t="shared" si="6"/>
        <v>68.38</v>
      </c>
      <c r="R216">
        <f>I216-(K216*Standards!$I$15)</f>
        <v>1.6199999999999999E-2</v>
      </c>
      <c r="S216">
        <f t="shared" si="7"/>
        <v>4.3189999999999999E-2</v>
      </c>
      <c r="T216" t="s">
        <v>166</v>
      </c>
    </row>
    <row r="217" spans="1:20">
      <c r="A217">
        <v>23</v>
      </c>
      <c r="B217">
        <v>0</v>
      </c>
      <c r="C217">
        <v>5.16E-2</v>
      </c>
      <c r="D217">
        <v>34.11</v>
      </c>
      <c r="E217">
        <v>9.9699999999999997E-2</v>
      </c>
      <c r="F217">
        <v>0</v>
      </c>
      <c r="G217">
        <v>0.2472</v>
      </c>
      <c r="H217">
        <v>4.24</v>
      </c>
      <c r="I217">
        <v>4.2799999999999998E-2</v>
      </c>
      <c r="J217">
        <v>0.11890000000000001</v>
      </c>
      <c r="K217">
        <v>0</v>
      </c>
      <c r="L217">
        <v>64.22</v>
      </c>
      <c r="M217">
        <v>0.12509999999999999</v>
      </c>
      <c r="N217">
        <v>103.2552</v>
      </c>
      <c r="O217" t="s">
        <v>354</v>
      </c>
      <c r="Q217">
        <f t="shared" si="6"/>
        <v>68.459999999999994</v>
      </c>
      <c r="R217">
        <f>I217-(K217*Standards!$I$15)</f>
        <v>4.2799999999999998E-2</v>
      </c>
      <c r="S217">
        <f t="shared" si="7"/>
        <v>4.9459999999999997E-2</v>
      </c>
      <c r="T217" t="s">
        <v>166</v>
      </c>
    </row>
    <row r="218" spans="1:20">
      <c r="A218">
        <v>34</v>
      </c>
      <c r="B218">
        <v>0</v>
      </c>
      <c r="C218">
        <v>4.7500000000000001E-2</v>
      </c>
      <c r="D218">
        <v>34.18</v>
      </c>
      <c r="E218">
        <v>9.0999999999999998E-2</v>
      </c>
      <c r="F218">
        <v>7.7999999999999996E-3</v>
      </c>
      <c r="G218">
        <v>0.25130000000000002</v>
      </c>
      <c r="H218">
        <v>4.4400000000000004</v>
      </c>
      <c r="I218">
        <v>4.5900000000000003E-2</v>
      </c>
      <c r="J218">
        <v>0.1197</v>
      </c>
      <c r="K218">
        <v>0</v>
      </c>
      <c r="L218">
        <v>64.16</v>
      </c>
      <c r="M218">
        <v>9.8799999999999999E-2</v>
      </c>
      <c r="N218">
        <v>103.4419</v>
      </c>
      <c r="O218" t="s">
        <v>354</v>
      </c>
      <c r="Q218">
        <f t="shared" si="6"/>
        <v>68.599999999999994</v>
      </c>
      <c r="R218">
        <f>I218-(K218*Standards!$I$15)</f>
        <v>4.5900000000000003E-2</v>
      </c>
      <c r="S218">
        <f t="shared" si="7"/>
        <v>4.5205000000000002E-2</v>
      </c>
      <c r="T218" t="s">
        <v>166</v>
      </c>
    </row>
    <row r="219" spans="1:20">
      <c r="A219">
        <v>33</v>
      </c>
      <c r="B219">
        <v>0</v>
      </c>
      <c r="C219">
        <v>5.3600000000000002E-2</v>
      </c>
      <c r="D219">
        <v>34.15</v>
      </c>
      <c r="E219">
        <v>0.1079</v>
      </c>
      <c r="F219">
        <v>0</v>
      </c>
      <c r="G219">
        <v>0.25800000000000001</v>
      </c>
      <c r="H219">
        <v>4.1399999999999997</v>
      </c>
      <c r="I219">
        <v>3.5999999999999997E-2</v>
      </c>
      <c r="J219">
        <v>0.15709999999999999</v>
      </c>
      <c r="K219">
        <v>0</v>
      </c>
      <c r="L219">
        <v>64.150000000000006</v>
      </c>
      <c r="M219">
        <v>9.9099999999999994E-2</v>
      </c>
      <c r="N219">
        <v>103.1516</v>
      </c>
      <c r="O219" t="s">
        <v>354</v>
      </c>
      <c r="Q219">
        <f t="shared" si="6"/>
        <v>68.290000000000006</v>
      </c>
      <c r="R219">
        <f>I219-(K219*Standards!$I$15)</f>
        <v>3.5999999999999997E-2</v>
      </c>
      <c r="S219">
        <f t="shared" si="7"/>
        <v>5.1799999999999999E-2</v>
      </c>
      <c r="T219" t="s">
        <v>166</v>
      </c>
    </row>
    <row r="220" spans="1:20">
      <c r="A220">
        <v>32</v>
      </c>
      <c r="B220">
        <v>0</v>
      </c>
      <c r="C220">
        <v>5.3900000000000003E-2</v>
      </c>
      <c r="D220">
        <v>34.58</v>
      </c>
      <c r="E220">
        <v>9.9500000000000005E-2</v>
      </c>
      <c r="F220">
        <v>0</v>
      </c>
      <c r="G220">
        <v>0.2485</v>
      </c>
      <c r="H220">
        <v>4.2699999999999996</v>
      </c>
      <c r="I220">
        <v>0.1071</v>
      </c>
      <c r="J220">
        <v>0.18720000000000001</v>
      </c>
      <c r="K220">
        <v>0</v>
      </c>
      <c r="L220">
        <v>64.010000000000005</v>
      </c>
      <c r="M220">
        <v>9.9000000000000005E-2</v>
      </c>
      <c r="N220">
        <v>103.65519999999999</v>
      </c>
      <c r="O220" t="s">
        <v>354</v>
      </c>
      <c r="Q220">
        <f t="shared" si="6"/>
        <v>68.28</v>
      </c>
      <c r="R220">
        <f>I220-(K220*Standards!$I$15)</f>
        <v>0.1071</v>
      </c>
      <c r="S220">
        <f t="shared" si="7"/>
        <v>4.8545000000000005E-2</v>
      </c>
      <c r="T220" t="s">
        <v>166</v>
      </c>
    </row>
    <row r="221" spans="1:20">
      <c r="A221">
        <v>37</v>
      </c>
      <c r="B221">
        <v>0</v>
      </c>
      <c r="C221">
        <v>6.6799999999999998E-2</v>
      </c>
      <c r="D221">
        <v>34.270000000000003</v>
      </c>
      <c r="E221">
        <v>0.1007</v>
      </c>
      <c r="F221">
        <v>0</v>
      </c>
      <c r="G221">
        <v>0.24690000000000001</v>
      </c>
      <c r="H221">
        <v>4.16</v>
      </c>
      <c r="I221">
        <v>4.2000000000000003E-2</v>
      </c>
      <c r="J221">
        <v>0.18659999999999999</v>
      </c>
      <c r="K221">
        <v>0</v>
      </c>
      <c r="L221">
        <v>63.98</v>
      </c>
      <c r="M221">
        <v>0.111</v>
      </c>
      <c r="N221">
        <v>103.1639</v>
      </c>
      <c r="O221" t="s">
        <v>354</v>
      </c>
      <c r="Q221">
        <f t="shared" si="6"/>
        <v>68.14</v>
      </c>
      <c r="R221">
        <f>I221-(K221*Standards!$I$15)</f>
        <v>4.2000000000000003E-2</v>
      </c>
      <c r="S221">
        <f t="shared" si="7"/>
        <v>6.4699999999999994E-2</v>
      </c>
      <c r="T221" t="s">
        <v>166</v>
      </c>
    </row>
    <row r="222" spans="1:20">
      <c r="A222">
        <v>35</v>
      </c>
      <c r="B222">
        <v>0</v>
      </c>
      <c r="C222">
        <v>5.04E-2</v>
      </c>
      <c r="D222">
        <v>34.26</v>
      </c>
      <c r="E222">
        <v>9.2899999999999996E-2</v>
      </c>
      <c r="F222">
        <v>0</v>
      </c>
      <c r="G222">
        <v>0.23139999999999999</v>
      </c>
      <c r="H222">
        <v>4.88</v>
      </c>
      <c r="I222">
        <v>1.5299999999999999E-2</v>
      </c>
      <c r="J222">
        <v>3.4700000000000002E-2</v>
      </c>
      <c r="K222">
        <v>0</v>
      </c>
      <c r="L222">
        <v>63.47</v>
      </c>
      <c r="M222">
        <v>8.4599999999999995E-2</v>
      </c>
      <c r="N222">
        <v>103.11920000000001</v>
      </c>
      <c r="O222" t="s">
        <v>354</v>
      </c>
      <c r="Q222">
        <f t="shared" si="6"/>
        <v>68.349999999999994</v>
      </c>
      <c r="R222">
        <f>I222-(K222*Standards!$I$15)</f>
        <v>1.5299999999999999E-2</v>
      </c>
      <c r="S222">
        <f t="shared" si="7"/>
        <v>4.9634999999999999E-2</v>
      </c>
      <c r="T222" t="s">
        <v>166</v>
      </c>
    </row>
    <row r="223" spans="1:20">
      <c r="A223">
        <v>24</v>
      </c>
      <c r="B223">
        <v>0</v>
      </c>
      <c r="C223">
        <v>5.28E-2</v>
      </c>
      <c r="D223">
        <v>34.17</v>
      </c>
      <c r="E223">
        <v>0.1024</v>
      </c>
      <c r="F223">
        <v>0</v>
      </c>
      <c r="G223">
        <v>0.25650000000000001</v>
      </c>
      <c r="H223">
        <v>3.72</v>
      </c>
      <c r="I223">
        <v>7.1300000000000002E-2</v>
      </c>
      <c r="J223">
        <v>1.1200000000000001</v>
      </c>
      <c r="K223">
        <v>0</v>
      </c>
      <c r="L223">
        <v>62.97</v>
      </c>
      <c r="M223">
        <v>0.1133</v>
      </c>
      <c r="N223">
        <v>102.5762</v>
      </c>
      <c r="O223" t="s">
        <v>354</v>
      </c>
      <c r="Q223">
        <f t="shared" si="6"/>
        <v>66.69</v>
      </c>
      <c r="R223">
        <f>I223-(K223*Standards!$I$15)</f>
        <v>7.1300000000000002E-2</v>
      </c>
      <c r="S223">
        <f t="shared" si="7"/>
        <v>4.9235000000000001E-2</v>
      </c>
      <c r="T223" t="s">
        <v>166</v>
      </c>
    </row>
    <row r="224" spans="1:20">
      <c r="A224">
        <v>27</v>
      </c>
      <c r="B224">
        <v>0</v>
      </c>
      <c r="C224">
        <v>4.4699999999999997E-2</v>
      </c>
      <c r="D224">
        <v>34.31</v>
      </c>
      <c r="E224">
        <v>0.1055</v>
      </c>
      <c r="F224">
        <v>0</v>
      </c>
      <c r="G224">
        <v>0.2155</v>
      </c>
      <c r="H224">
        <v>6.27</v>
      </c>
      <c r="I224">
        <v>4.5699999999999998E-2</v>
      </c>
      <c r="J224">
        <v>2.5</v>
      </c>
      <c r="K224">
        <v>0</v>
      </c>
      <c r="L224">
        <v>60.87</v>
      </c>
      <c r="M224">
        <v>0.13170000000000001</v>
      </c>
      <c r="N224">
        <v>104.49299999999999</v>
      </c>
      <c r="O224" t="s">
        <v>354</v>
      </c>
      <c r="Q224">
        <f t="shared" si="6"/>
        <v>67.14</v>
      </c>
      <c r="R224">
        <f>I224-(K224*Standards!$I$15)</f>
        <v>4.5699999999999998E-2</v>
      </c>
      <c r="S224">
        <f t="shared" si="7"/>
        <v>4.2414999999999994E-2</v>
      </c>
      <c r="T224" t="s">
        <v>166</v>
      </c>
    </row>
    <row r="225" spans="1:31">
      <c r="A225">
        <v>102</v>
      </c>
      <c r="B225">
        <v>0</v>
      </c>
      <c r="C225">
        <v>2.76E-2</v>
      </c>
      <c r="D225">
        <v>34.44</v>
      </c>
      <c r="E225">
        <v>4.8099999999999997E-2</v>
      </c>
      <c r="F225">
        <v>0</v>
      </c>
      <c r="G225">
        <v>0.1055</v>
      </c>
      <c r="H225">
        <v>5.21</v>
      </c>
      <c r="I225">
        <v>0</v>
      </c>
      <c r="J225">
        <v>0</v>
      </c>
      <c r="K225">
        <v>0</v>
      </c>
      <c r="L225">
        <v>62.12</v>
      </c>
      <c r="M225">
        <v>0.10639999999999999</v>
      </c>
      <c r="N225">
        <v>102.0575</v>
      </c>
      <c r="O225" t="s">
        <v>355</v>
      </c>
      <c r="Q225">
        <f t="shared" si="6"/>
        <v>67.33</v>
      </c>
      <c r="R225">
        <f>I225-(K225*Standards!$I$15)</f>
        <v>0</v>
      </c>
      <c r="S225">
        <f t="shared" si="7"/>
        <v>2.76E-2</v>
      </c>
      <c r="T225" t="s">
        <v>81</v>
      </c>
      <c r="U225">
        <f>COUNT(R225:R316)</f>
        <v>92</v>
      </c>
      <c r="V225">
        <f>MAX(H225:H316)</f>
        <v>12.12</v>
      </c>
      <c r="W225">
        <f>AVERAGE(H225:H316)</f>
        <v>9.7693478260869622</v>
      </c>
      <c r="X225">
        <f>MAX(J225:J316)</f>
        <v>0.45400000000000001</v>
      </c>
      <c r="Y225">
        <f>AVERAGE(J225:J316)</f>
        <v>6.2059782608695671E-2</v>
      </c>
      <c r="Z225">
        <f>10000*MAX(R225:R316)</f>
        <v>4468</v>
      </c>
      <c r="AA225">
        <f>10000*AVERAGE(R225:R316)</f>
        <v>290.32714347826084</v>
      </c>
      <c r="AB225">
        <f>10000*MAX(G225:G316)</f>
        <v>2097</v>
      </c>
      <c r="AC225">
        <f>10000*AVERAGE(G225:G316)</f>
        <v>1313.2391304347821</v>
      </c>
      <c r="AD225">
        <f>10000*MAX(S225:S316)</f>
        <v>444.8</v>
      </c>
      <c r="AE225">
        <f>10000*AVERAGE(S225:S3145)</f>
        <v>488.60228459530038</v>
      </c>
    </row>
    <row r="226" spans="1:31">
      <c r="A226">
        <v>103</v>
      </c>
      <c r="B226">
        <v>0</v>
      </c>
      <c r="C226">
        <v>3.0499999999999999E-2</v>
      </c>
      <c r="D226">
        <v>34.53</v>
      </c>
      <c r="E226">
        <v>5.8299999999999998E-2</v>
      </c>
      <c r="F226">
        <v>0</v>
      </c>
      <c r="G226">
        <v>0.13339999999999999</v>
      </c>
      <c r="H226">
        <v>8.4600000000000009</v>
      </c>
      <c r="I226">
        <v>0</v>
      </c>
      <c r="J226">
        <v>0</v>
      </c>
      <c r="K226">
        <v>0</v>
      </c>
      <c r="L226">
        <v>58.61</v>
      </c>
      <c r="M226">
        <v>0.1293</v>
      </c>
      <c r="N226">
        <v>101.95140000000001</v>
      </c>
      <c r="O226" t="s">
        <v>355</v>
      </c>
      <c r="Q226">
        <f t="shared" si="6"/>
        <v>67.069999999999993</v>
      </c>
      <c r="R226">
        <f>I226-(K226*Standards!$I$15)</f>
        <v>0</v>
      </c>
      <c r="S226">
        <f t="shared" si="7"/>
        <v>3.0499999999999999E-2</v>
      </c>
      <c r="T226" t="s">
        <v>81</v>
      </c>
    </row>
    <row r="227" spans="1:31">
      <c r="A227">
        <v>101</v>
      </c>
      <c r="B227">
        <v>0</v>
      </c>
      <c r="C227">
        <v>2.58E-2</v>
      </c>
      <c r="D227">
        <v>34.61</v>
      </c>
      <c r="E227">
        <v>5.9900000000000002E-2</v>
      </c>
      <c r="F227">
        <v>0</v>
      </c>
      <c r="G227">
        <v>0.13220000000000001</v>
      </c>
      <c r="H227">
        <v>9.09</v>
      </c>
      <c r="I227">
        <v>0</v>
      </c>
      <c r="J227">
        <v>0</v>
      </c>
      <c r="K227">
        <v>0</v>
      </c>
      <c r="L227">
        <v>57.77</v>
      </c>
      <c r="M227">
        <v>9.0999999999999998E-2</v>
      </c>
      <c r="N227">
        <v>101.7788</v>
      </c>
      <c r="O227" t="s">
        <v>355</v>
      </c>
      <c r="Q227">
        <f t="shared" si="6"/>
        <v>66.86</v>
      </c>
      <c r="R227">
        <f>I227-(K227*Standards!$I$15)</f>
        <v>0</v>
      </c>
      <c r="S227">
        <f t="shared" si="7"/>
        <v>2.58E-2</v>
      </c>
      <c r="T227" t="s">
        <v>81</v>
      </c>
    </row>
    <row r="228" spans="1:31">
      <c r="A228">
        <v>104</v>
      </c>
      <c r="B228">
        <v>0</v>
      </c>
      <c r="C228">
        <v>1.7000000000000001E-2</v>
      </c>
      <c r="D228">
        <v>34.619999999999997</v>
      </c>
      <c r="E228">
        <v>5.3900000000000003E-2</v>
      </c>
      <c r="F228">
        <v>0</v>
      </c>
      <c r="G228">
        <v>0.1246</v>
      </c>
      <c r="H228">
        <v>8.74</v>
      </c>
      <c r="I228">
        <v>0</v>
      </c>
      <c r="J228">
        <v>0.40100000000000002</v>
      </c>
      <c r="K228">
        <v>0</v>
      </c>
      <c r="L228">
        <v>57.71</v>
      </c>
      <c r="M228">
        <v>0.1207</v>
      </c>
      <c r="N228">
        <v>101.7871</v>
      </c>
      <c r="O228" t="s">
        <v>355</v>
      </c>
      <c r="Q228">
        <f t="shared" si="6"/>
        <v>66.45</v>
      </c>
      <c r="R228">
        <f>I228-(K228*Standards!$I$15)</f>
        <v>0</v>
      </c>
      <c r="S228">
        <f t="shared" si="7"/>
        <v>1.7000000000000001E-2</v>
      </c>
      <c r="T228" t="s">
        <v>81</v>
      </c>
    </row>
    <row r="229" spans="1:31">
      <c r="A229">
        <v>105</v>
      </c>
      <c r="B229">
        <v>0</v>
      </c>
      <c r="C229">
        <v>2.2800000000000001E-2</v>
      </c>
      <c r="D229">
        <v>34.729999999999997</v>
      </c>
      <c r="E229">
        <v>6.2300000000000001E-2</v>
      </c>
      <c r="F229">
        <v>0</v>
      </c>
      <c r="G229">
        <v>0.12590000000000001</v>
      </c>
      <c r="H229">
        <v>8.77</v>
      </c>
      <c r="I229">
        <v>0</v>
      </c>
      <c r="J229">
        <v>0</v>
      </c>
      <c r="K229">
        <v>0</v>
      </c>
      <c r="L229">
        <v>57.69</v>
      </c>
      <c r="M229">
        <v>0.1065</v>
      </c>
      <c r="N229">
        <v>101.5074</v>
      </c>
      <c r="O229" t="s">
        <v>355</v>
      </c>
      <c r="Q229">
        <f t="shared" si="6"/>
        <v>66.459999999999994</v>
      </c>
      <c r="R229">
        <f>I229-(K229*Standards!$I$15)</f>
        <v>0</v>
      </c>
      <c r="S229">
        <f t="shared" si="7"/>
        <v>2.2800000000000001E-2</v>
      </c>
      <c r="T229" t="s">
        <v>81</v>
      </c>
    </row>
    <row r="230" spans="1:31">
      <c r="A230">
        <v>116</v>
      </c>
      <c r="B230">
        <v>0</v>
      </c>
      <c r="C230">
        <v>1.47E-2</v>
      </c>
      <c r="D230">
        <v>34.380000000000003</v>
      </c>
      <c r="E230">
        <v>6.4600000000000005E-2</v>
      </c>
      <c r="F230">
        <v>0</v>
      </c>
      <c r="G230">
        <v>0.1142</v>
      </c>
      <c r="H230">
        <v>8.3699999999999992</v>
      </c>
      <c r="I230">
        <v>0</v>
      </c>
      <c r="J230">
        <v>0.2422</v>
      </c>
      <c r="K230">
        <v>0.1241</v>
      </c>
      <c r="L230">
        <v>57.69</v>
      </c>
      <c r="M230">
        <v>0.12280000000000001</v>
      </c>
      <c r="N230">
        <v>101.12260000000001</v>
      </c>
      <c r="O230" t="s">
        <v>355</v>
      </c>
      <c r="Q230">
        <f t="shared" si="6"/>
        <v>66.06</v>
      </c>
      <c r="R230">
        <f>I230-(K230*Standards!$I$15)</f>
        <v>-2.7457125000000001E-4</v>
      </c>
      <c r="S230">
        <f t="shared" si="7"/>
        <v>1.47E-2</v>
      </c>
      <c r="T230" t="s">
        <v>81</v>
      </c>
    </row>
    <row r="231" spans="1:31">
      <c r="A231">
        <v>57</v>
      </c>
      <c r="B231">
        <v>0</v>
      </c>
      <c r="C231">
        <v>1.17E-2</v>
      </c>
      <c r="D231">
        <v>34.659999999999997</v>
      </c>
      <c r="E231">
        <v>5.3100000000000001E-2</v>
      </c>
      <c r="F231">
        <v>0</v>
      </c>
      <c r="G231">
        <v>0.11749999999999999</v>
      </c>
      <c r="H231">
        <v>8.92</v>
      </c>
      <c r="I231">
        <v>0</v>
      </c>
      <c r="J231">
        <v>0.15129999999999999</v>
      </c>
      <c r="K231">
        <v>7.1000000000000004E-3</v>
      </c>
      <c r="L231">
        <v>57.67</v>
      </c>
      <c r="M231">
        <v>0.1396</v>
      </c>
      <c r="N231">
        <v>101.7302</v>
      </c>
      <c r="O231" t="s">
        <v>355</v>
      </c>
      <c r="Q231">
        <f t="shared" si="6"/>
        <v>66.59</v>
      </c>
      <c r="R231">
        <f>I231-(K231*Standards!$I$15)</f>
        <v>-1.5708750000000001E-5</v>
      </c>
      <c r="S231">
        <f t="shared" si="7"/>
        <v>1.17E-2</v>
      </c>
      <c r="T231" t="s">
        <v>81</v>
      </c>
    </row>
    <row r="232" spans="1:31">
      <c r="A232">
        <v>115</v>
      </c>
      <c r="B232">
        <v>0</v>
      </c>
      <c r="C232">
        <v>2.4199999999999999E-2</v>
      </c>
      <c r="D232">
        <v>34.54</v>
      </c>
      <c r="E232">
        <v>5.6899999999999999E-2</v>
      </c>
      <c r="F232">
        <v>0</v>
      </c>
      <c r="G232">
        <v>0.1371</v>
      </c>
      <c r="H232">
        <v>9.61</v>
      </c>
      <c r="I232">
        <v>6.1000000000000004E-3</v>
      </c>
      <c r="J232">
        <v>4.9299999999999997E-2</v>
      </c>
      <c r="K232">
        <v>0</v>
      </c>
      <c r="L232">
        <v>57.39</v>
      </c>
      <c r="M232">
        <v>0.11020000000000001</v>
      </c>
      <c r="N232">
        <v>101.9237</v>
      </c>
      <c r="O232" t="s">
        <v>355</v>
      </c>
      <c r="Q232">
        <f t="shared" si="6"/>
        <v>67</v>
      </c>
      <c r="R232">
        <f>I232-(K232*Standards!$I$15)</f>
        <v>6.1000000000000004E-3</v>
      </c>
      <c r="S232">
        <f t="shared" si="7"/>
        <v>2.3895E-2</v>
      </c>
      <c r="T232" t="s">
        <v>81</v>
      </c>
    </row>
    <row r="233" spans="1:31">
      <c r="A233">
        <v>69</v>
      </c>
      <c r="B233">
        <v>0</v>
      </c>
      <c r="C233">
        <v>2.7400000000000001E-2</v>
      </c>
      <c r="D233">
        <v>34.44</v>
      </c>
      <c r="E233">
        <v>6.5600000000000006E-2</v>
      </c>
      <c r="F233">
        <v>0</v>
      </c>
      <c r="G233">
        <v>0.1346</v>
      </c>
      <c r="H233">
        <v>9.67</v>
      </c>
      <c r="I233">
        <v>2.7000000000000001E-3</v>
      </c>
      <c r="J233">
        <v>7.51E-2</v>
      </c>
      <c r="K233">
        <v>0</v>
      </c>
      <c r="L233">
        <v>57.32</v>
      </c>
      <c r="M233">
        <v>0.11890000000000001</v>
      </c>
      <c r="N233">
        <v>101.85420000000001</v>
      </c>
      <c r="O233" t="s">
        <v>355</v>
      </c>
      <c r="Q233">
        <f t="shared" si="6"/>
        <v>66.989999999999995</v>
      </c>
      <c r="R233">
        <f>I233-(K233*Standards!$I$15)</f>
        <v>2.7000000000000001E-3</v>
      </c>
      <c r="S233">
        <f t="shared" si="7"/>
        <v>2.7265000000000001E-2</v>
      </c>
      <c r="T233" t="s">
        <v>81</v>
      </c>
    </row>
    <row r="234" spans="1:31">
      <c r="A234">
        <v>68</v>
      </c>
      <c r="B234">
        <v>0</v>
      </c>
      <c r="C234">
        <v>6.7999999999999996E-3</v>
      </c>
      <c r="D234">
        <v>34.65</v>
      </c>
      <c r="E234">
        <v>6.6299999999999998E-2</v>
      </c>
      <c r="F234">
        <v>0</v>
      </c>
      <c r="G234">
        <v>0.126</v>
      </c>
      <c r="H234">
        <v>9.82</v>
      </c>
      <c r="I234">
        <v>0</v>
      </c>
      <c r="J234">
        <v>3.95E-2</v>
      </c>
      <c r="K234">
        <v>0</v>
      </c>
      <c r="L234">
        <v>57.21</v>
      </c>
      <c r="M234">
        <v>0.1041</v>
      </c>
      <c r="N234">
        <v>102.0227</v>
      </c>
      <c r="O234" t="s">
        <v>355</v>
      </c>
      <c r="Q234">
        <f t="shared" si="6"/>
        <v>67.03</v>
      </c>
      <c r="R234">
        <f>I234-(K234*Standards!$I$15)</f>
        <v>0</v>
      </c>
      <c r="S234">
        <f t="shared" si="7"/>
        <v>6.7999999999999996E-3</v>
      </c>
      <c r="T234" t="s">
        <v>81</v>
      </c>
    </row>
    <row r="235" spans="1:31">
      <c r="A235">
        <v>81</v>
      </c>
      <c r="B235">
        <v>0</v>
      </c>
      <c r="C235">
        <v>2.58E-2</v>
      </c>
      <c r="D235">
        <v>34.47</v>
      </c>
      <c r="E235">
        <v>7.0599999999999996E-2</v>
      </c>
      <c r="F235">
        <v>0</v>
      </c>
      <c r="G235">
        <v>0.13669999999999999</v>
      </c>
      <c r="H235">
        <v>9.83</v>
      </c>
      <c r="I235">
        <v>1.18E-2</v>
      </c>
      <c r="J235">
        <v>9.1899999999999996E-2</v>
      </c>
      <c r="K235">
        <v>0</v>
      </c>
      <c r="L235">
        <v>57.14</v>
      </c>
      <c r="M235">
        <v>0.1241</v>
      </c>
      <c r="N235">
        <v>101.9008</v>
      </c>
      <c r="O235" t="s">
        <v>355</v>
      </c>
      <c r="Q235">
        <f t="shared" si="6"/>
        <v>66.97</v>
      </c>
      <c r="R235">
        <f>I235-(K235*Standards!$I$15)</f>
        <v>1.18E-2</v>
      </c>
      <c r="S235">
        <f t="shared" si="7"/>
        <v>2.521E-2</v>
      </c>
      <c r="T235" t="s">
        <v>81</v>
      </c>
    </row>
    <row r="236" spans="1:31">
      <c r="A236">
        <v>94</v>
      </c>
      <c r="B236">
        <v>0</v>
      </c>
      <c r="C236">
        <v>1.2E-2</v>
      </c>
      <c r="D236">
        <v>34.909999999999997</v>
      </c>
      <c r="E236">
        <v>6.6400000000000001E-2</v>
      </c>
      <c r="F236">
        <v>0</v>
      </c>
      <c r="G236">
        <v>0.13100000000000001</v>
      </c>
      <c r="H236">
        <v>10.79</v>
      </c>
      <c r="I236">
        <v>3.5999999999999999E-3</v>
      </c>
      <c r="J236">
        <v>0</v>
      </c>
      <c r="K236">
        <v>0</v>
      </c>
      <c r="L236">
        <v>56.69</v>
      </c>
      <c r="M236">
        <v>0.1138</v>
      </c>
      <c r="N236">
        <v>102.7167</v>
      </c>
      <c r="O236" t="s">
        <v>355</v>
      </c>
      <c r="Q236">
        <f t="shared" si="6"/>
        <v>67.47999999999999</v>
      </c>
      <c r="R236">
        <f>I236-(K236*Standards!$I$15)</f>
        <v>3.5999999999999999E-3</v>
      </c>
      <c r="S236">
        <f t="shared" si="7"/>
        <v>1.1820000000000001E-2</v>
      </c>
      <c r="T236" t="s">
        <v>81</v>
      </c>
    </row>
    <row r="237" spans="1:31">
      <c r="A237">
        <v>113</v>
      </c>
      <c r="B237">
        <v>0</v>
      </c>
      <c r="C237">
        <v>1.55E-2</v>
      </c>
      <c r="D237">
        <v>34.51</v>
      </c>
      <c r="E237">
        <v>7.5899999999999995E-2</v>
      </c>
      <c r="F237">
        <v>0</v>
      </c>
      <c r="G237">
        <v>0.12989999999999999</v>
      </c>
      <c r="H237">
        <v>10.050000000000001</v>
      </c>
      <c r="I237">
        <v>5.4000000000000003E-3</v>
      </c>
      <c r="J237">
        <v>2.5499999999999998E-2</v>
      </c>
      <c r="K237">
        <v>0</v>
      </c>
      <c r="L237">
        <v>56.67</v>
      </c>
      <c r="M237">
        <v>9.2999999999999999E-2</v>
      </c>
      <c r="N237">
        <v>101.57510000000001</v>
      </c>
      <c r="O237" t="s">
        <v>355</v>
      </c>
      <c r="Q237">
        <f t="shared" si="6"/>
        <v>66.72</v>
      </c>
      <c r="R237">
        <f>I237-(K237*Standards!$I$15)</f>
        <v>5.4000000000000003E-3</v>
      </c>
      <c r="S237">
        <f t="shared" si="7"/>
        <v>1.523E-2</v>
      </c>
      <c r="T237" t="s">
        <v>81</v>
      </c>
    </row>
    <row r="238" spans="1:31">
      <c r="A238">
        <v>70</v>
      </c>
      <c r="B238">
        <v>0</v>
      </c>
      <c r="C238">
        <v>2.4299999999999999E-2</v>
      </c>
      <c r="D238">
        <v>34.630000000000003</v>
      </c>
      <c r="E238">
        <v>5.33E-2</v>
      </c>
      <c r="F238">
        <v>1.1999999999999999E-3</v>
      </c>
      <c r="G238">
        <v>0.13500000000000001</v>
      </c>
      <c r="H238">
        <v>10.26</v>
      </c>
      <c r="I238">
        <v>9.1000000000000004E-3</v>
      </c>
      <c r="J238">
        <v>7.1999999999999998E-3</v>
      </c>
      <c r="K238">
        <v>0</v>
      </c>
      <c r="L238">
        <v>56.62</v>
      </c>
      <c r="M238">
        <v>0.11509999999999999</v>
      </c>
      <c r="N238">
        <v>101.85509999999999</v>
      </c>
      <c r="O238" t="s">
        <v>355</v>
      </c>
      <c r="Q238">
        <f t="shared" si="6"/>
        <v>66.88</v>
      </c>
      <c r="R238">
        <f>I238-(K238*Standards!$I$15)</f>
        <v>9.1000000000000004E-3</v>
      </c>
      <c r="S238">
        <f t="shared" si="7"/>
        <v>2.3844999999999998E-2</v>
      </c>
      <c r="T238" t="s">
        <v>81</v>
      </c>
    </row>
    <row r="239" spans="1:31">
      <c r="A239">
        <v>66</v>
      </c>
      <c r="B239">
        <v>0</v>
      </c>
      <c r="C239">
        <v>3.0099999999999998E-2</v>
      </c>
      <c r="D239">
        <v>34.56</v>
      </c>
      <c r="E239">
        <v>6.2399999999999997E-2</v>
      </c>
      <c r="F239">
        <v>0</v>
      </c>
      <c r="G239">
        <v>0.13039999999999999</v>
      </c>
      <c r="H239">
        <v>10.52</v>
      </c>
      <c r="I239">
        <v>1.83E-2</v>
      </c>
      <c r="J239">
        <v>0</v>
      </c>
      <c r="K239">
        <v>0</v>
      </c>
      <c r="L239">
        <v>56.54</v>
      </c>
      <c r="M239">
        <v>0.1133</v>
      </c>
      <c r="N239">
        <v>101.9744</v>
      </c>
      <c r="O239" t="s">
        <v>355</v>
      </c>
      <c r="Q239">
        <f t="shared" si="6"/>
        <v>67.06</v>
      </c>
      <c r="R239">
        <f>I239-(K239*Standards!$I$15)</f>
        <v>1.83E-2</v>
      </c>
      <c r="S239">
        <f t="shared" si="7"/>
        <v>2.9184999999999999E-2</v>
      </c>
      <c r="T239" t="s">
        <v>81</v>
      </c>
    </row>
    <row r="240" spans="1:31">
      <c r="A240">
        <v>67</v>
      </c>
      <c r="B240">
        <v>0</v>
      </c>
      <c r="C240">
        <v>4.2200000000000001E-2</v>
      </c>
      <c r="D240">
        <v>34.6</v>
      </c>
      <c r="E240">
        <v>6.1699999999999998E-2</v>
      </c>
      <c r="F240">
        <v>5.8999999999999999E-3</v>
      </c>
      <c r="G240">
        <v>0.13739999999999999</v>
      </c>
      <c r="H240">
        <v>10.25</v>
      </c>
      <c r="I240">
        <v>1.3100000000000001E-2</v>
      </c>
      <c r="J240">
        <v>9.4999999999999998E-3</v>
      </c>
      <c r="K240">
        <v>0</v>
      </c>
      <c r="L240">
        <v>56.51</v>
      </c>
      <c r="M240">
        <v>0.10299999999999999</v>
      </c>
      <c r="N240">
        <v>101.73269999999999</v>
      </c>
      <c r="O240" t="s">
        <v>355</v>
      </c>
      <c r="Q240">
        <f t="shared" si="6"/>
        <v>66.759999999999991</v>
      </c>
      <c r="R240">
        <f>I240-(K240*Standards!$I$15)</f>
        <v>1.3100000000000001E-2</v>
      </c>
      <c r="S240">
        <f t="shared" si="7"/>
        <v>4.1544999999999999E-2</v>
      </c>
      <c r="T240" t="s">
        <v>81</v>
      </c>
    </row>
    <row r="241" spans="1:20">
      <c r="A241">
        <v>119</v>
      </c>
      <c r="B241">
        <v>0</v>
      </c>
      <c r="C241">
        <v>9.4000000000000004E-3</v>
      </c>
      <c r="D241">
        <v>34.729999999999997</v>
      </c>
      <c r="E241">
        <v>5.8299999999999998E-2</v>
      </c>
      <c r="F241">
        <v>0</v>
      </c>
      <c r="G241">
        <v>0.1328</v>
      </c>
      <c r="H241">
        <v>10.31</v>
      </c>
      <c r="I241">
        <v>0</v>
      </c>
      <c r="J241">
        <v>3.0300000000000001E-2</v>
      </c>
      <c r="K241">
        <v>0</v>
      </c>
      <c r="L241">
        <v>56.34</v>
      </c>
      <c r="M241">
        <v>0.104</v>
      </c>
      <c r="N241">
        <v>101.71469999999999</v>
      </c>
      <c r="O241" t="s">
        <v>355</v>
      </c>
      <c r="Q241">
        <f t="shared" si="6"/>
        <v>66.650000000000006</v>
      </c>
      <c r="R241">
        <f>I241-(K241*Standards!$I$15)</f>
        <v>0</v>
      </c>
      <c r="S241">
        <f t="shared" si="7"/>
        <v>9.4000000000000004E-3</v>
      </c>
      <c r="T241" t="s">
        <v>81</v>
      </c>
    </row>
    <row r="242" spans="1:20">
      <c r="A242">
        <v>92</v>
      </c>
      <c r="B242">
        <v>0</v>
      </c>
      <c r="C242">
        <v>2.6700000000000002E-2</v>
      </c>
      <c r="D242">
        <v>34.700000000000003</v>
      </c>
      <c r="E242">
        <v>6.3100000000000003E-2</v>
      </c>
      <c r="F242">
        <v>0</v>
      </c>
      <c r="G242">
        <v>0.13059999999999999</v>
      </c>
      <c r="H242">
        <v>10.52</v>
      </c>
      <c r="I242">
        <v>0</v>
      </c>
      <c r="J242">
        <v>1.7000000000000001E-2</v>
      </c>
      <c r="K242">
        <v>0</v>
      </c>
      <c r="L242">
        <v>56.26</v>
      </c>
      <c r="M242">
        <v>0.1206</v>
      </c>
      <c r="N242">
        <v>101.8379</v>
      </c>
      <c r="O242" t="s">
        <v>355</v>
      </c>
      <c r="Q242">
        <f t="shared" si="6"/>
        <v>66.78</v>
      </c>
      <c r="R242">
        <f>I242-(K242*Standards!$I$15)</f>
        <v>0</v>
      </c>
      <c r="S242">
        <f t="shared" si="7"/>
        <v>2.6700000000000002E-2</v>
      </c>
      <c r="T242" t="s">
        <v>81</v>
      </c>
    </row>
    <row r="243" spans="1:20">
      <c r="A243">
        <v>118</v>
      </c>
      <c r="B243">
        <v>0</v>
      </c>
      <c r="C243">
        <v>4.5999999999999999E-3</v>
      </c>
      <c r="D243">
        <v>34.46</v>
      </c>
      <c r="E243">
        <v>7.0699999999999999E-2</v>
      </c>
      <c r="F243">
        <v>0</v>
      </c>
      <c r="G243">
        <v>0.1333</v>
      </c>
      <c r="H243">
        <v>10.15</v>
      </c>
      <c r="I243">
        <v>0</v>
      </c>
      <c r="J243">
        <v>1.8100000000000002E-2</v>
      </c>
      <c r="K243">
        <v>0</v>
      </c>
      <c r="L243">
        <v>56.23</v>
      </c>
      <c r="M243">
        <v>0.1012</v>
      </c>
      <c r="N243">
        <v>101.1678</v>
      </c>
      <c r="O243" t="s">
        <v>355</v>
      </c>
      <c r="Q243">
        <f t="shared" si="6"/>
        <v>66.38</v>
      </c>
      <c r="R243">
        <f>I243-(K243*Standards!$I$15)</f>
        <v>0</v>
      </c>
      <c r="S243">
        <f t="shared" si="7"/>
        <v>4.5999999999999999E-3</v>
      </c>
      <c r="T243" t="s">
        <v>81</v>
      </c>
    </row>
    <row r="244" spans="1:20">
      <c r="A244">
        <v>80</v>
      </c>
      <c r="B244">
        <v>0</v>
      </c>
      <c r="C244">
        <v>8.0000000000000002E-3</v>
      </c>
      <c r="D244">
        <v>34.51</v>
      </c>
      <c r="E244">
        <v>7.3700000000000002E-2</v>
      </c>
      <c r="F244">
        <v>0</v>
      </c>
      <c r="G244">
        <v>0.1361</v>
      </c>
      <c r="H244">
        <v>10.66</v>
      </c>
      <c r="I244">
        <v>0</v>
      </c>
      <c r="J244">
        <v>1.0800000000000001E-2</v>
      </c>
      <c r="K244">
        <v>0</v>
      </c>
      <c r="L244">
        <v>56.19</v>
      </c>
      <c r="M244">
        <v>0.1018</v>
      </c>
      <c r="N244">
        <v>101.69029999999999</v>
      </c>
      <c r="O244" t="s">
        <v>355</v>
      </c>
      <c r="Q244">
        <f t="shared" si="6"/>
        <v>66.849999999999994</v>
      </c>
      <c r="R244">
        <f>I244-(K244*Standards!$I$15)</f>
        <v>0</v>
      </c>
      <c r="S244">
        <f t="shared" si="7"/>
        <v>8.0000000000000002E-3</v>
      </c>
      <c r="T244" t="s">
        <v>81</v>
      </c>
    </row>
    <row r="245" spans="1:20">
      <c r="A245">
        <v>82</v>
      </c>
      <c r="B245">
        <v>0</v>
      </c>
      <c r="C245">
        <v>1.61E-2</v>
      </c>
      <c r="D245">
        <v>34.58</v>
      </c>
      <c r="E245">
        <v>6.4299999999999996E-2</v>
      </c>
      <c r="F245">
        <v>0</v>
      </c>
      <c r="G245">
        <v>0.1394</v>
      </c>
      <c r="H245">
        <v>10.46</v>
      </c>
      <c r="I245">
        <v>4.0000000000000002E-4</v>
      </c>
      <c r="J245">
        <v>2.5600000000000001E-2</v>
      </c>
      <c r="K245">
        <v>0</v>
      </c>
      <c r="L245">
        <v>56.16</v>
      </c>
      <c r="M245">
        <v>0.11360000000000001</v>
      </c>
      <c r="N245">
        <v>101.55929999999999</v>
      </c>
      <c r="O245" t="s">
        <v>355</v>
      </c>
      <c r="Q245">
        <f t="shared" si="6"/>
        <v>66.62</v>
      </c>
      <c r="R245">
        <f>I245-(K245*Standards!$I$15)</f>
        <v>4.0000000000000002E-4</v>
      </c>
      <c r="S245">
        <f t="shared" si="7"/>
        <v>1.6080000000000001E-2</v>
      </c>
      <c r="T245" t="s">
        <v>81</v>
      </c>
    </row>
    <row r="246" spans="1:20">
      <c r="A246">
        <v>112</v>
      </c>
      <c r="B246">
        <v>0</v>
      </c>
      <c r="C246">
        <v>4.4000000000000003E-3</v>
      </c>
      <c r="D246">
        <v>34.64</v>
      </c>
      <c r="E246">
        <v>6.3399999999999998E-2</v>
      </c>
      <c r="F246">
        <v>0</v>
      </c>
      <c r="G246">
        <v>0.12089999999999999</v>
      </c>
      <c r="H246">
        <v>10.33</v>
      </c>
      <c r="I246">
        <v>1.09E-2</v>
      </c>
      <c r="J246">
        <v>0.44819999999999999</v>
      </c>
      <c r="K246">
        <v>0</v>
      </c>
      <c r="L246">
        <v>56.13</v>
      </c>
      <c r="M246">
        <v>0.1163</v>
      </c>
      <c r="N246">
        <v>101.86409999999999</v>
      </c>
      <c r="O246" t="s">
        <v>355</v>
      </c>
      <c r="Q246">
        <f t="shared" si="6"/>
        <v>66.460000000000008</v>
      </c>
      <c r="R246">
        <f>I246-(K246*Standards!$I$15)</f>
        <v>1.09E-2</v>
      </c>
      <c r="S246">
        <f t="shared" si="7"/>
        <v>3.8550000000000004E-3</v>
      </c>
      <c r="T246" t="s">
        <v>81</v>
      </c>
    </row>
    <row r="247" spans="1:20">
      <c r="A247">
        <v>93</v>
      </c>
      <c r="B247">
        <v>0</v>
      </c>
      <c r="C247">
        <v>1.9199999999999998E-2</v>
      </c>
      <c r="D247">
        <v>34.909999999999997</v>
      </c>
      <c r="E247">
        <v>7.1300000000000002E-2</v>
      </c>
      <c r="F247">
        <v>1.6999999999999999E-3</v>
      </c>
      <c r="G247">
        <v>0.13400000000000001</v>
      </c>
      <c r="H247">
        <v>10.42</v>
      </c>
      <c r="I247">
        <v>0</v>
      </c>
      <c r="J247">
        <v>2.3999999999999998E-3</v>
      </c>
      <c r="K247">
        <v>0</v>
      </c>
      <c r="L247">
        <v>56.06</v>
      </c>
      <c r="M247">
        <v>0.13489999999999999</v>
      </c>
      <c r="N247">
        <v>101.7534</v>
      </c>
      <c r="O247" t="s">
        <v>355</v>
      </c>
      <c r="Q247">
        <f t="shared" si="6"/>
        <v>66.48</v>
      </c>
      <c r="R247">
        <f>I247-(K247*Standards!$I$15)</f>
        <v>0</v>
      </c>
      <c r="S247">
        <f t="shared" si="7"/>
        <v>1.9199999999999998E-2</v>
      </c>
      <c r="T247" t="s">
        <v>81</v>
      </c>
    </row>
    <row r="248" spans="1:20">
      <c r="A248">
        <v>79</v>
      </c>
      <c r="B248">
        <v>0</v>
      </c>
      <c r="C248">
        <v>2.5999999999999999E-3</v>
      </c>
      <c r="D248">
        <v>34.58</v>
      </c>
      <c r="E248">
        <v>7.3999999999999996E-2</v>
      </c>
      <c r="F248">
        <v>0</v>
      </c>
      <c r="G248">
        <v>0.1368</v>
      </c>
      <c r="H248">
        <v>10.71</v>
      </c>
      <c r="I248">
        <v>0</v>
      </c>
      <c r="J248">
        <v>0</v>
      </c>
      <c r="K248">
        <v>0</v>
      </c>
      <c r="L248">
        <v>56.05</v>
      </c>
      <c r="M248">
        <v>0.1075</v>
      </c>
      <c r="N248">
        <v>101.6609</v>
      </c>
      <c r="O248" t="s">
        <v>355</v>
      </c>
      <c r="Q248">
        <f t="shared" si="6"/>
        <v>66.759999999999991</v>
      </c>
      <c r="R248">
        <f>I248-(K248*Standards!$I$15)</f>
        <v>0</v>
      </c>
      <c r="S248">
        <f t="shared" si="7"/>
        <v>2.5999999999999999E-3</v>
      </c>
      <c r="T248" t="s">
        <v>81</v>
      </c>
    </row>
    <row r="249" spans="1:20">
      <c r="A249">
        <v>117</v>
      </c>
      <c r="B249">
        <v>0</v>
      </c>
      <c r="C249">
        <v>1.7399999999999999E-2</v>
      </c>
      <c r="D249">
        <v>34.65</v>
      </c>
      <c r="E249">
        <v>7.7600000000000002E-2</v>
      </c>
      <c r="F249">
        <v>0</v>
      </c>
      <c r="G249">
        <v>0.1376</v>
      </c>
      <c r="H249">
        <v>10.38</v>
      </c>
      <c r="I249">
        <v>5.7999999999999996E-3</v>
      </c>
      <c r="J249">
        <v>2.8899999999999999E-2</v>
      </c>
      <c r="K249">
        <v>0</v>
      </c>
      <c r="L249">
        <v>55.87</v>
      </c>
      <c r="M249">
        <v>8.4500000000000006E-2</v>
      </c>
      <c r="N249">
        <v>101.2517</v>
      </c>
      <c r="O249" t="s">
        <v>355</v>
      </c>
      <c r="Q249">
        <f t="shared" si="6"/>
        <v>66.25</v>
      </c>
      <c r="R249">
        <f>I249-(K249*Standards!$I$15)</f>
        <v>5.7999999999999996E-3</v>
      </c>
      <c r="S249">
        <f t="shared" si="7"/>
        <v>1.711E-2</v>
      </c>
      <c r="T249" t="s">
        <v>81</v>
      </c>
    </row>
    <row r="250" spans="1:20">
      <c r="A250">
        <v>98</v>
      </c>
      <c r="B250">
        <v>0</v>
      </c>
      <c r="C250">
        <v>2.3199999999999998E-2</v>
      </c>
      <c r="D250">
        <v>34.700000000000003</v>
      </c>
      <c r="E250">
        <v>5.4899999999999997E-2</v>
      </c>
      <c r="F250">
        <v>0</v>
      </c>
      <c r="G250">
        <v>0.12670000000000001</v>
      </c>
      <c r="H250">
        <v>10.31</v>
      </c>
      <c r="I250">
        <v>6.1000000000000004E-3</v>
      </c>
      <c r="J250">
        <v>1.1299999999999999E-2</v>
      </c>
      <c r="K250">
        <v>0</v>
      </c>
      <c r="L250">
        <v>55.86</v>
      </c>
      <c r="M250">
        <v>0.10539999999999999</v>
      </c>
      <c r="N250">
        <v>101.19759999999999</v>
      </c>
      <c r="O250" t="s">
        <v>355</v>
      </c>
      <c r="Q250">
        <f t="shared" si="6"/>
        <v>66.17</v>
      </c>
      <c r="R250">
        <f>I250-(K250*Standards!$I$15)</f>
        <v>6.1000000000000004E-3</v>
      </c>
      <c r="S250">
        <f t="shared" si="7"/>
        <v>2.2894999999999999E-2</v>
      </c>
      <c r="T250" t="s">
        <v>81</v>
      </c>
    </row>
    <row r="251" spans="1:20">
      <c r="A251">
        <v>121</v>
      </c>
      <c r="B251">
        <v>0</v>
      </c>
      <c r="C251">
        <v>1.2200000000000001E-2</v>
      </c>
      <c r="D251">
        <v>34.68</v>
      </c>
      <c r="E251">
        <v>6.5600000000000006E-2</v>
      </c>
      <c r="F251">
        <v>0</v>
      </c>
      <c r="G251">
        <v>0.12839999999999999</v>
      </c>
      <c r="H251">
        <v>10.37</v>
      </c>
      <c r="I251">
        <v>2.0000000000000001E-4</v>
      </c>
      <c r="J251">
        <v>3.7000000000000002E-3</v>
      </c>
      <c r="K251">
        <v>0</v>
      </c>
      <c r="L251">
        <v>55.73</v>
      </c>
      <c r="M251">
        <v>0.1149</v>
      </c>
      <c r="N251">
        <v>101.1049</v>
      </c>
      <c r="O251" t="s">
        <v>355</v>
      </c>
      <c r="Q251">
        <f t="shared" si="6"/>
        <v>66.099999999999994</v>
      </c>
      <c r="R251">
        <f>I251-(K251*Standards!$I$15)</f>
        <v>2.0000000000000001E-4</v>
      </c>
      <c r="S251">
        <f t="shared" si="7"/>
        <v>1.2190000000000001E-2</v>
      </c>
      <c r="T251" t="s">
        <v>81</v>
      </c>
    </row>
    <row r="252" spans="1:20">
      <c r="A252">
        <v>95</v>
      </c>
      <c r="B252">
        <v>0</v>
      </c>
      <c r="C252">
        <v>8.3999999999999995E-3</v>
      </c>
      <c r="D252">
        <v>34.659999999999997</v>
      </c>
      <c r="E252">
        <v>5.0999999999999997E-2</v>
      </c>
      <c r="F252">
        <v>0</v>
      </c>
      <c r="G252">
        <v>0.125</v>
      </c>
      <c r="H252">
        <v>10.83</v>
      </c>
      <c r="I252">
        <v>1.4E-3</v>
      </c>
      <c r="J252">
        <v>8.6999999999999994E-3</v>
      </c>
      <c r="K252">
        <v>0</v>
      </c>
      <c r="L252">
        <v>55.69</v>
      </c>
      <c r="M252">
        <v>0.1125</v>
      </c>
      <c r="N252">
        <v>101.48690000000001</v>
      </c>
      <c r="O252" t="s">
        <v>355</v>
      </c>
      <c r="Q252">
        <f t="shared" si="6"/>
        <v>66.52</v>
      </c>
      <c r="R252">
        <f>I252-(K252*Standards!$I$15)</f>
        <v>1.4E-3</v>
      </c>
      <c r="S252">
        <f t="shared" si="7"/>
        <v>8.3299999999999989E-3</v>
      </c>
      <c r="T252" t="s">
        <v>81</v>
      </c>
    </row>
    <row r="253" spans="1:20">
      <c r="A253">
        <v>96</v>
      </c>
      <c r="B253">
        <v>0</v>
      </c>
      <c r="C253">
        <v>1.7399999999999999E-2</v>
      </c>
      <c r="D253">
        <v>34.6</v>
      </c>
      <c r="E253">
        <v>6.4100000000000004E-2</v>
      </c>
      <c r="F253">
        <v>0</v>
      </c>
      <c r="G253">
        <v>0.13159999999999999</v>
      </c>
      <c r="H253">
        <v>11.17</v>
      </c>
      <c r="I253">
        <v>3.7000000000000002E-3</v>
      </c>
      <c r="J253">
        <v>0</v>
      </c>
      <c r="K253">
        <v>0</v>
      </c>
      <c r="L253">
        <v>55.42</v>
      </c>
      <c r="M253">
        <v>8.7599999999999997E-2</v>
      </c>
      <c r="N253">
        <v>101.4943</v>
      </c>
      <c r="O253" t="s">
        <v>355</v>
      </c>
      <c r="Q253">
        <f t="shared" si="6"/>
        <v>66.59</v>
      </c>
      <c r="R253">
        <f>I253-(K253*Standards!$I$15)</f>
        <v>3.7000000000000002E-3</v>
      </c>
      <c r="S253">
        <f t="shared" si="7"/>
        <v>1.7214999999999998E-2</v>
      </c>
      <c r="T253" t="s">
        <v>81</v>
      </c>
    </row>
    <row r="254" spans="1:20">
      <c r="A254">
        <v>97</v>
      </c>
      <c r="B254">
        <v>0</v>
      </c>
      <c r="C254">
        <v>3.4000000000000002E-2</v>
      </c>
      <c r="D254">
        <v>34.700000000000003</v>
      </c>
      <c r="E254">
        <v>4.5499999999999999E-2</v>
      </c>
      <c r="F254">
        <v>0</v>
      </c>
      <c r="G254">
        <v>0.1265</v>
      </c>
      <c r="H254">
        <v>11.85</v>
      </c>
      <c r="I254">
        <v>2.8000000000000001E-2</v>
      </c>
      <c r="J254">
        <v>0</v>
      </c>
      <c r="K254">
        <v>0</v>
      </c>
      <c r="L254">
        <v>54.9</v>
      </c>
      <c r="M254">
        <v>0.106</v>
      </c>
      <c r="N254">
        <v>101.79</v>
      </c>
      <c r="O254" t="s">
        <v>355</v>
      </c>
      <c r="Q254">
        <f t="shared" si="6"/>
        <v>66.75</v>
      </c>
      <c r="R254">
        <f>I254-(K254*Standards!$I$15)</f>
        <v>2.8000000000000001E-2</v>
      </c>
      <c r="S254">
        <f t="shared" si="7"/>
        <v>3.2600000000000004E-2</v>
      </c>
      <c r="T254" t="s">
        <v>81</v>
      </c>
    </row>
    <row r="255" spans="1:20">
      <c r="A255">
        <v>35</v>
      </c>
      <c r="B255">
        <v>0</v>
      </c>
      <c r="C255">
        <v>3.9399999999999998E-2</v>
      </c>
      <c r="D255">
        <v>34.340000000000003</v>
      </c>
      <c r="E255">
        <v>7.4800000000000005E-2</v>
      </c>
      <c r="F255">
        <v>1.5699999999999999E-2</v>
      </c>
      <c r="G255">
        <v>0.14299999999999999</v>
      </c>
      <c r="H255">
        <v>8.82</v>
      </c>
      <c r="I255">
        <v>6.4000000000000003E-3</v>
      </c>
      <c r="J255">
        <v>0.2278</v>
      </c>
      <c r="K255">
        <v>0</v>
      </c>
      <c r="L255">
        <v>57.81</v>
      </c>
      <c r="M255">
        <v>9.7600000000000006E-2</v>
      </c>
      <c r="N255">
        <v>101.5746</v>
      </c>
      <c r="O255" t="s">
        <v>356</v>
      </c>
      <c r="Q255">
        <f t="shared" si="6"/>
        <v>66.63</v>
      </c>
      <c r="R255">
        <f>I255-(K255*Standards!$I$15)</f>
        <v>6.4000000000000003E-3</v>
      </c>
      <c r="S255">
        <f t="shared" si="7"/>
        <v>3.9079999999999997E-2</v>
      </c>
      <c r="T255" t="s">
        <v>81</v>
      </c>
    </row>
    <row r="256" spans="1:20">
      <c r="A256">
        <v>24</v>
      </c>
      <c r="B256">
        <v>0</v>
      </c>
      <c r="C256">
        <v>2.4400000000000002E-2</v>
      </c>
      <c r="D256">
        <v>34.46</v>
      </c>
      <c r="E256">
        <v>5.7000000000000002E-2</v>
      </c>
      <c r="F256">
        <v>0</v>
      </c>
      <c r="G256">
        <v>0.12870000000000001</v>
      </c>
      <c r="H256">
        <v>9.51</v>
      </c>
      <c r="I256">
        <v>2.0000000000000001E-4</v>
      </c>
      <c r="J256">
        <v>0.14680000000000001</v>
      </c>
      <c r="K256">
        <v>0</v>
      </c>
      <c r="L256">
        <v>57.8</v>
      </c>
      <c r="M256">
        <v>0.1082</v>
      </c>
      <c r="N256">
        <v>102.23520000000001</v>
      </c>
      <c r="O256" t="s">
        <v>356</v>
      </c>
      <c r="Q256">
        <f t="shared" si="6"/>
        <v>67.31</v>
      </c>
      <c r="R256">
        <f>I256-(K256*Standards!$I$15)</f>
        <v>2.0000000000000001E-4</v>
      </c>
      <c r="S256">
        <f t="shared" si="7"/>
        <v>2.4390000000000002E-2</v>
      </c>
      <c r="T256" t="s">
        <v>81</v>
      </c>
    </row>
    <row r="257" spans="1:20">
      <c r="A257">
        <v>25</v>
      </c>
      <c r="B257">
        <v>0</v>
      </c>
      <c r="C257">
        <v>3.39E-2</v>
      </c>
      <c r="D257">
        <v>34.56</v>
      </c>
      <c r="E257">
        <v>5.8000000000000003E-2</v>
      </c>
      <c r="F257">
        <v>0</v>
      </c>
      <c r="G257">
        <v>0.1278</v>
      </c>
      <c r="H257">
        <v>9.17</v>
      </c>
      <c r="I257">
        <v>3.8999999999999998E-3</v>
      </c>
      <c r="J257">
        <v>0.13350000000000001</v>
      </c>
      <c r="K257">
        <v>0</v>
      </c>
      <c r="L257">
        <v>57.8</v>
      </c>
      <c r="M257">
        <v>9.2499999999999999E-2</v>
      </c>
      <c r="N257">
        <v>101.9795</v>
      </c>
      <c r="O257" t="s">
        <v>356</v>
      </c>
      <c r="Q257">
        <f t="shared" si="6"/>
        <v>66.97</v>
      </c>
      <c r="R257">
        <f>I257-(K257*Standards!$I$15)</f>
        <v>3.8999999999999998E-3</v>
      </c>
      <c r="S257">
        <f t="shared" si="7"/>
        <v>3.3704999999999999E-2</v>
      </c>
      <c r="T257" t="s">
        <v>81</v>
      </c>
    </row>
    <row r="258" spans="1:20">
      <c r="A258">
        <v>33</v>
      </c>
      <c r="B258">
        <v>0</v>
      </c>
      <c r="C258">
        <v>2.24E-2</v>
      </c>
      <c r="D258">
        <v>34.619999999999997</v>
      </c>
      <c r="E258">
        <v>6.6500000000000004E-2</v>
      </c>
      <c r="F258">
        <v>0</v>
      </c>
      <c r="G258">
        <v>0.13339999999999999</v>
      </c>
      <c r="H258">
        <v>9.4499999999999993</v>
      </c>
      <c r="I258">
        <v>0</v>
      </c>
      <c r="J258">
        <v>0.13109999999999999</v>
      </c>
      <c r="K258">
        <v>0</v>
      </c>
      <c r="L258">
        <v>57.48</v>
      </c>
      <c r="M258">
        <v>0.1019</v>
      </c>
      <c r="N258">
        <v>102.0052</v>
      </c>
      <c r="O258" t="s">
        <v>356</v>
      </c>
      <c r="Q258">
        <f t="shared" si="6"/>
        <v>66.929999999999993</v>
      </c>
      <c r="R258">
        <f>I258-(K258*Standards!$I$15)</f>
        <v>0</v>
      </c>
      <c r="S258">
        <f t="shared" si="7"/>
        <v>2.24E-2</v>
      </c>
      <c r="T258" t="s">
        <v>81</v>
      </c>
    </row>
    <row r="259" spans="1:20">
      <c r="A259">
        <v>34</v>
      </c>
      <c r="B259">
        <v>0</v>
      </c>
      <c r="C259">
        <v>3.5900000000000001E-2</v>
      </c>
      <c r="D259">
        <v>34.33</v>
      </c>
      <c r="E259">
        <v>5.5399999999999998E-2</v>
      </c>
      <c r="F259">
        <v>1.0500000000000001E-2</v>
      </c>
      <c r="G259">
        <v>0.1361</v>
      </c>
      <c r="H259">
        <v>9.34</v>
      </c>
      <c r="I259">
        <v>8.9999999999999998E-4</v>
      </c>
      <c r="J259">
        <v>0.15870000000000001</v>
      </c>
      <c r="K259">
        <v>0</v>
      </c>
      <c r="L259">
        <v>57.44</v>
      </c>
      <c r="M259">
        <v>9.1700000000000004E-2</v>
      </c>
      <c r="N259">
        <v>101.5992</v>
      </c>
      <c r="O259" t="s">
        <v>356</v>
      </c>
      <c r="Q259">
        <f t="shared" ref="Q259:Q322" si="8">H259+L259</f>
        <v>66.78</v>
      </c>
      <c r="R259">
        <f>I259-(K259*Standards!$I$15)</f>
        <v>8.9999999999999998E-4</v>
      </c>
      <c r="S259">
        <f t="shared" ref="S259:S322" si="9">C259-(I259*0.05)</f>
        <v>3.5854999999999998E-2</v>
      </c>
      <c r="T259" t="s">
        <v>81</v>
      </c>
    </row>
    <row r="260" spans="1:20">
      <c r="A260">
        <v>22</v>
      </c>
      <c r="B260">
        <v>0</v>
      </c>
      <c r="C260">
        <v>1.03E-2</v>
      </c>
      <c r="D260">
        <v>34.46</v>
      </c>
      <c r="E260">
        <v>5.8799999999999998E-2</v>
      </c>
      <c r="F260">
        <v>0</v>
      </c>
      <c r="G260">
        <v>0.12659999999999999</v>
      </c>
      <c r="H260">
        <v>10.29</v>
      </c>
      <c r="I260">
        <v>9.4999999999999998E-3</v>
      </c>
      <c r="J260">
        <v>0.18779999999999999</v>
      </c>
      <c r="K260">
        <v>0</v>
      </c>
      <c r="L260">
        <v>56.48</v>
      </c>
      <c r="M260">
        <v>0.1032</v>
      </c>
      <c r="N260">
        <v>101.72620000000001</v>
      </c>
      <c r="O260" t="s">
        <v>356</v>
      </c>
      <c r="Q260">
        <f t="shared" si="8"/>
        <v>66.77</v>
      </c>
      <c r="R260">
        <f>I260-(K260*Standards!$I$15)</f>
        <v>9.4999999999999998E-3</v>
      </c>
      <c r="S260">
        <f t="shared" si="9"/>
        <v>9.8250000000000004E-3</v>
      </c>
      <c r="T260" t="s">
        <v>81</v>
      </c>
    </row>
    <row r="261" spans="1:20">
      <c r="A261">
        <v>37</v>
      </c>
      <c r="B261">
        <v>0</v>
      </c>
      <c r="C261">
        <v>2.53E-2</v>
      </c>
      <c r="D261">
        <v>34.64</v>
      </c>
      <c r="E261">
        <v>7.6200000000000004E-2</v>
      </c>
      <c r="F261">
        <v>0</v>
      </c>
      <c r="G261">
        <v>0.1368</v>
      </c>
      <c r="H261">
        <v>9.81</v>
      </c>
      <c r="I261">
        <v>1E-4</v>
      </c>
      <c r="J261">
        <v>0.45400000000000001</v>
      </c>
      <c r="K261">
        <v>0</v>
      </c>
      <c r="L261">
        <v>56.26</v>
      </c>
      <c r="M261">
        <v>0.1099</v>
      </c>
      <c r="N261">
        <v>101.51220000000001</v>
      </c>
      <c r="O261" t="s">
        <v>356</v>
      </c>
      <c r="Q261">
        <f t="shared" si="8"/>
        <v>66.069999999999993</v>
      </c>
      <c r="R261">
        <f>I261-(K261*Standards!$I$15)</f>
        <v>1E-4</v>
      </c>
      <c r="S261">
        <f t="shared" si="9"/>
        <v>2.5294999999999998E-2</v>
      </c>
      <c r="T261" t="s">
        <v>81</v>
      </c>
    </row>
    <row r="262" spans="1:20">
      <c r="A262">
        <v>48</v>
      </c>
      <c r="B262">
        <v>0</v>
      </c>
      <c r="C262">
        <v>4.2799999999999998E-2</v>
      </c>
      <c r="D262">
        <v>34.58</v>
      </c>
      <c r="E262">
        <v>5.7099999999999998E-2</v>
      </c>
      <c r="F262">
        <v>0</v>
      </c>
      <c r="G262">
        <v>0.1205</v>
      </c>
      <c r="H262">
        <v>7.89</v>
      </c>
      <c r="I262">
        <v>0</v>
      </c>
      <c r="J262">
        <v>0</v>
      </c>
      <c r="K262">
        <v>0</v>
      </c>
      <c r="L262">
        <v>59.42</v>
      </c>
      <c r="M262">
        <v>0.1171</v>
      </c>
      <c r="N262">
        <v>102.2274</v>
      </c>
      <c r="O262" t="s">
        <v>357</v>
      </c>
      <c r="Q262">
        <f t="shared" si="8"/>
        <v>67.31</v>
      </c>
      <c r="R262">
        <f>I262-(K262*Standards!$I$15)</f>
        <v>0</v>
      </c>
      <c r="S262">
        <f t="shared" si="9"/>
        <v>4.2799999999999998E-2</v>
      </c>
      <c r="T262" t="s">
        <v>81</v>
      </c>
    </row>
    <row r="263" spans="1:20">
      <c r="A263">
        <v>14</v>
      </c>
      <c r="B263">
        <v>0</v>
      </c>
      <c r="C263">
        <v>3.5999999999999997E-2</v>
      </c>
      <c r="D263">
        <v>33.840000000000003</v>
      </c>
      <c r="E263">
        <v>6.2E-2</v>
      </c>
      <c r="F263">
        <v>0</v>
      </c>
      <c r="G263">
        <v>0.1173</v>
      </c>
      <c r="H263">
        <v>8.18</v>
      </c>
      <c r="I263">
        <v>5.1000000000000004E-3</v>
      </c>
      <c r="J263">
        <v>1.9199999999999998E-2</v>
      </c>
      <c r="K263">
        <v>0</v>
      </c>
      <c r="L263">
        <v>58.68</v>
      </c>
      <c r="M263">
        <v>9.06E-2</v>
      </c>
      <c r="N263">
        <v>101.0301</v>
      </c>
      <c r="O263" t="s">
        <v>357</v>
      </c>
      <c r="Q263">
        <f t="shared" si="8"/>
        <v>66.86</v>
      </c>
      <c r="R263">
        <f>I263-(K263*Standards!$I$15)</f>
        <v>5.1000000000000004E-3</v>
      </c>
      <c r="S263">
        <f t="shared" si="9"/>
        <v>3.5744999999999999E-2</v>
      </c>
      <c r="T263" t="s">
        <v>81</v>
      </c>
    </row>
    <row r="264" spans="1:20">
      <c r="A264">
        <v>47</v>
      </c>
      <c r="B264">
        <v>0</v>
      </c>
      <c r="C264">
        <v>2.06E-2</v>
      </c>
      <c r="D264">
        <v>34.56</v>
      </c>
      <c r="E264">
        <v>5.7200000000000001E-2</v>
      </c>
      <c r="F264">
        <v>0</v>
      </c>
      <c r="G264">
        <v>0.1283</v>
      </c>
      <c r="H264">
        <v>8.24</v>
      </c>
      <c r="I264">
        <v>1.49E-2</v>
      </c>
      <c r="J264">
        <v>0</v>
      </c>
      <c r="K264">
        <v>0</v>
      </c>
      <c r="L264">
        <v>58.61</v>
      </c>
      <c r="M264">
        <v>8.8499999999999995E-2</v>
      </c>
      <c r="N264">
        <v>101.7195</v>
      </c>
      <c r="O264" t="s">
        <v>357</v>
      </c>
      <c r="Q264">
        <f t="shared" si="8"/>
        <v>66.849999999999994</v>
      </c>
      <c r="R264">
        <f>I264-(K264*Standards!$I$15)</f>
        <v>1.49E-2</v>
      </c>
      <c r="S264">
        <f t="shared" si="9"/>
        <v>1.9855000000000001E-2</v>
      </c>
      <c r="T264" t="s">
        <v>81</v>
      </c>
    </row>
    <row r="265" spans="1:20">
      <c r="A265">
        <v>50</v>
      </c>
      <c r="B265">
        <v>0</v>
      </c>
      <c r="C265">
        <v>1.4E-2</v>
      </c>
      <c r="D265">
        <v>34.549999999999997</v>
      </c>
      <c r="E265">
        <v>6.7100000000000007E-2</v>
      </c>
      <c r="F265">
        <v>0</v>
      </c>
      <c r="G265">
        <v>0.12559999999999999</v>
      </c>
      <c r="H265">
        <v>8.99</v>
      </c>
      <c r="I265">
        <v>0</v>
      </c>
      <c r="J265">
        <v>0</v>
      </c>
      <c r="K265">
        <v>0</v>
      </c>
      <c r="L265">
        <v>58.45</v>
      </c>
      <c r="M265">
        <v>9.4799999999999995E-2</v>
      </c>
      <c r="N265">
        <v>102.2915</v>
      </c>
      <c r="O265" t="s">
        <v>357</v>
      </c>
      <c r="Q265">
        <f t="shared" si="8"/>
        <v>67.44</v>
      </c>
      <c r="R265">
        <f>I265-(K265*Standards!$I$15)</f>
        <v>0</v>
      </c>
      <c r="S265">
        <f t="shared" si="9"/>
        <v>1.4E-2</v>
      </c>
      <c r="T265" t="s">
        <v>81</v>
      </c>
    </row>
    <row r="266" spans="1:20">
      <c r="A266">
        <v>44</v>
      </c>
      <c r="B266">
        <v>0</v>
      </c>
      <c r="C266">
        <v>1.77E-2</v>
      </c>
      <c r="D266">
        <v>34.92</v>
      </c>
      <c r="E266">
        <v>5.0599999999999999E-2</v>
      </c>
      <c r="F266">
        <v>0</v>
      </c>
      <c r="G266">
        <v>0.12970000000000001</v>
      </c>
      <c r="H266">
        <v>8.57</v>
      </c>
      <c r="I266">
        <v>1.8E-3</v>
      </c>
      <c r="J266">
        <v>0</v>
      </c>
      <c r="K266">
        <v>0</v>
      </c>
      <c r="L266">
        <v>58.37</v>
      </c>
      <c r="M266">
        <v>0.1074</v>
      </c>
      <c r="N266">
        <v>102.1671</v>
      </c>
      <c r="O266" t="s">
        <v>357</v>
      </c>
      <c r="Q266">
        <f t="shared" si="8"/>
        <v>66.94</v>
      </c>
      <c r="R266">
        <f>I266-(K266*Standards!$I$15)</f>
        <v>1.8E-3</v>
      </c>
      <c r="S266">
        <f t="shared" si="9"/>
        <v>1.7610000000000001E-2</v>
      </c>
      <c r="T266" t="s">
        <v>81</v>
      </c>
    </row>
    <row r="267" spans="1:20">
      <c r="A267">
        <v>45</v>
      </c>
      <c r="B267">
        <v>0</v>
      </c>
      <c r="C267">
        <v>7.7000000000000002E-3</v>
      </c>
      <c r="D267">
        <v>34.590000000000003</v>
      </c>
      <c r="E267">
        <v>4.7800000000000002E-2</v>
      </c>
      <c r="F267">
        <v>0</v>
      </c>
      <c r="G267">
        <v>0.12520000000000001</v>
      </c>
      <c r="H267">
        <v>9.27</v>
      </c>
      <c r="I267">
        <v>1E-4</v>
      </c>
      <c r="J267">
        <v>0</v>
      </c>
      <c r="K267">
        <v>0</v>
      </c>
      <c r="L267">
        <v>57.89</v>
      </c>
      <c r="M267">
        <v>0.1246</v>
      </c>
      <c r="N267">
        <v>102.05540000000001</v>
      </c>
      <c r="O267" t="s">
        <v>357</v>
      </c>
      <c r="Q267">
        <f t="shared" si="8"/>
        <v>67.16</v>
      </c>
      <c r="R267">
        <f>I267-(K267*Standards!$I$15)</f>
        <v>1E-4</v>
      </c>
      <c r="S267">
        <f t="shared" si="9"/>
        <v>7.6950000000000005E-3</v>
      </c>
      <c r="T267" t="s">
        <v>81</v>
      </c>
    </row>
    <row r="268" spans="1:20">
      <c r="A268">
        <v>46</v>
      </c>
      <c r="B268">
        <v>0</v>
      </c>
      <c r="C268">
        <v>4.4600000000000001E-2</v>
      </c>
      <c r="D268">
        <v>34.68</v>
      </c>
      <c r="E268">
        <v>5.9799999999999999E-2</v>
      </c>
      <c r="F268">
        <v>0</v>
      </c>
      <c r="G268">
        <v>0.1124</v>
      </c>
      <c r="H268">
        <v>9.1300000000000008</v>
      </c>
      <c r="I268">
        <v>2.3999999999999998E-3</v>
      </c>
      <c r="J268">
        <v>0</v>
      </c>
      <c r="K268">
        <v>0</v>
      </c>
      <c r="L268">
        <v>57.89</v>
      </c>
      <c r="M268">
        <v>9.2700000000000005E-2</v>
      </c>
      <c r="N268">
        <v>102.01179999999999</v>
      </c>
      <c r="O268" t="s">
        <v>357</v>
      </c>
      <c r="Q268">
        <f t="shared" si="8"/>
        <v>67.02</v>
      </c>
      <c r="R268">
        <f>I268-(K268*Standards!$I$15)</f>
        <v>2.3999999999999998E-3</v>
      </c>
      <c r="S268">
        <f t="shared" si="9"/>
        <v>4.4479999999999999E-2</v>
      </c>
      <c r="T268" t="s">
        <v>81</v>
      </c>
    </row>
    <row r="269" spans="1:20">
      <c r="A269">
        <v>17</v>
      </c>
      <c r="B269">
        <v>0</v>
      </c>
      <c r="C269">
        <v>2.6499999999999999E-2</v>
      </c>
      <c r="D269">
        <v>34.479999999999997</v>
      </c>
      <c r="E269">
        <v>6.0100000000000001E-2</v>
      </c>
      <c r="F269">
        <v>0</v>
      </c>
      <c r="G269">
        <v>0.1361</v>
      </c>
      <c r="H269">
        <v>9.61</v>
      </c>
      <c r="I269">
        <v>1.4999999999999999E-2</v>
      </c>
      <c r="J269">
        <v>4.5900000000000003E-2</v>
      </c>
      <c r="K269">
        <v>0</v>
      </c>
      <c r="L269">
        <v>57.78</v>
      </c>
      <c r="M269">
        <v>0.12130000000000001</v>
      </c>
      <c r="N269">
        <v>102.2748</v>
      </c>
      <c r="O269" t="s">
        <v>357</v>
      </c>
      <c r="Q269">
        <f t="shared" si="8"/>
        <v>67.39</v>
      </c>
      <c r="R269">
        <f>I269-(K269*Standards!$I$15)</f>
        <v>1.4999999999999999E-2</v>
      </c>
      <c r="S269">
        <f t="shared" si="9"/>
        <v>2.5749999999999999E-2</v>
      </c>
      <c r="T269" t="s">
        <v>81</v>
      </c>
    </row>
    <row r="270" spans="1:20">
      <c r="A270">
        <v>21</v>
      </c>
      <c r="B270">
        <v>0</v>
      </c>
      <c r="C270">
        <v>2.3800000000000002E-2</v>
      </c>
      <c r="D270">
        <v>34.74</v>
      </c>
      <c r="E270">
        <v>6.6000000000000003E-2</v>
      </c>
      <c r="F270">
        <v>0</v>
      </c>
      <c r="G270">
        <v>0.1273</v>
      </c>
      <c r="H270">
        <v>9.35</v>
      </c>
      <c r="I270">
        <v>0</v>
      </c>
      <c r="J270">
        <v>0.1173</v>
      </c>
      <c r="K270">
        <v>0</v>
      </c>
      <c r="L270">
        <v>57.66</v>
      </c>
      <c r="M270">
        <v>8.6900000000000005E-2</v>
      </c>
      <c r="N270">
        <v>102.1712</v>
      </c>
      <c r="O270" t="s">
        <v>357</v>
      </c>
      <c r="Q270">
        <f t="shared" si="8"/>
        <v>67.009999999999991</v>
      </c>
      <c r="R270">
        <f>I270-(K270*Standards!$I$15)</f>
        <v>0</v>
      </c>
      <c r="S270">
        <f t="shared" si="9"/>
        <v>2.3800000000000002E-2</v>
      </c>
      <c r="T270" t="s">
        <v>81</v>
      </c>
    </row>
    <row r="271" spans="1:20">
      <c r="A271">
        <v>18</v>
      </c>
      <c r="B271">
        <v>0</v>
      </c>
      <c r="C271">
        <v>1.89E-2</v>
      </c>
      <c r="D271">
        <v>34.69</v>
      </c>
      <c r="E271">
        <v>7.0599999999999996E-2</v>
      </c>
      <c r="F271">
        <v>0</v>
      </c>
      <c r="G271">
        <v>0.1336</v>
      </c>
      <c r="H271">
        <v>9.41</v>
      </c>
      <c r="I271">
        <v>1.2999999999999999E-3</v>
      </c>
      <c r="J271">
        <v>8.8999999999999996E-2</v>
      </c>
      <c r="K271">
        <v>0</v>
      </c>
      <c r="L271">
        <v>57.56</v>
      </c>
      <c r="M271">
        <v>0.1154</v>
      </c>
      <c r="N271">
        <v>102.08880000000001</v>
      </c>
      <c r="O271" t="s">
        <v>357</v>
      </c>
      <c r="Q271">
        <f t="shared" si="8"/>
        <v>66.97</v>
      </c>
      <c r="R271">
        <f>I271-(K271*Standards!$I$15)</f>
        <v>1.2999999999999999E-3</v>
      </c>
      <c r="S271">
        <f t="shared" si="9"/>
        <v>1.8835000000000001E-2</v>
      </c>
      <c r="T271" t="s">
        <v>81</v>
      </c>
    </row>
    <row r="272" spans="1:20">
      <c r="A272">
        <v>3</v>
      </c>
      <c r="B272">
        <v>0</v>
      </c>
      <c r="C272">
        <v>3.3300000000000003E-2</v>
      </c>
      <c r="D272">
        <v>34.49</v>
      </c>
      <c r="E272">
        <v>6.4199999999999993E-2</v>
      </c>
      <c r="F272">
        <v>4.7000000000000002E-3</v>
      </c>
      <c r="G272">
        <v>0.12740000000000001</v>
      </c>
      <c r="H272">
        <v>9.86</v>
      </c>
      <c r="I272">
        <v>5.0000000000000001E-4</v>
      </c>
      <c r="J272">
        <v>2.9000000000000001E-2</v>
      </c>
      <c r="K272">
        <v>0</v>
      </c>
      <c r="L272">
        <v>57.51</v>
      </c>
      <c r="M272">
        <v>0.12089999999999999</v>
      </c>
      <c r="N272">
        <v>102.23990000000001</v>
      </c>
      <c r="O272" t="s">
        <v>357</v>
      </c>
      <c r="Q272">
        <f t="shared" si="8"/>
        <v>67.37</v>
      </c>
      <c r="R272">
        <f>I272-(K272*Standards!$I$15)</f>
        <v>5.0000000000000001E-4</v>
      </c>
      <c r="S272">
        <f t="shared" si="9"/>
        <v>3.3275000000000006E-2</v>
      </c>
      <c r="T272" t="s">
        <v>81</v>
      </c>
    </row>
    <row r="273" spans="1:20">
      <c r="A273">
        <v>28</v>
      </c>
      <c r="B273">
        <v>0</v>
      </c>
      <c r="C273">
        <v>2.6200000000000001E-2</v>
      </c>
      <c r="D273">
        <v>34.630000000000003</v>
      </c>
      <c r="E273">
        <v>6.3899999999999998E-2</v>
      </c>
      <c r="F273">
        <v>0</v>
      </c>
      <c r="G273">
        <v>0.13689999999999999</v>
      </c>
      <c r="H273">
        <v>9.58</v>
      </c>
      <c r="I273">
        <v>5.3E-3</v>
      </c>
      <c r="J273">
        <v>6.2700000000000006E-2</v>
      </c>
      <c r="K273">
        <v>0</v>
      </c>
      <c r="L273">
        <v>57.46</v>
      </c>
      <c r="M273">
        <v>0.1066</v>
      </c>
      <c r="N273">
        <v>102.0715</v>
      </c>
      <c r="O273" t="s">
        <v>357</v>
      </c>
      <c r="Q273">
        <f t="shared" si="8"/>
        <v>67.040000000000006</v>
      </c>
      <c r="R273">
        <f>I273-(K273*Standards!$I$15)</f>
        <v>5.3E-3</v>
      </c>
      <c r="S273">
        <f t="shared" si="9"/>
        <v>2.5935E-2</v>
      </c>
      <c r="T273" t="s">
        <v>81</v>
      </c>
    </row>
    <row r="274" spans="1:20">
      <c r="A274">
        <v>1</v>
      </c>
      <c r="B274">
        <v>0</v>
      </c>
      <c r="C274">
        <v>2.0799999999999999E-2</v>
      </c>
      <c r="D274">
        <v>34.46</v>
      </c>
      <c r="E274">
        <v>5.11E-2</v>
      </c>
      <c r="F274">
        <v>0</v>
      </c>
      <c r="G274">
        <v>0.1346</v>
      </c>
      <c r="H274">
        <v>10.31</v>
      </c>
      <c r="I274">
        <v>2.2700000000000001E-2</v>
      </c>
      <c r="J274">
        <v>3.6900000000000002E-2</v>
      </c>
      <c r="K274">
        <v>0</v>
      </c>
      <c r="L274">
        <v>57.09</v>
      </c>
      <c r="M274">
        <v>0.12509999999999999</v>
      </c>
      <c r="N274">
        <v>102.2512</v>
      </c>
      <c r="O274" t="s">
        <v>357</v>
      </c>
      <c r="Q274">
        <f t="shared" si="8"/>
        <v>67.400000000000006</v>
      </c>
      <c r="R274">
        <f>I274-(K274*Standards!$I$15)</f>
        <v>2.2700000000000001E-2</v>
      </c>
      <c r="S274">
        <f t="shared" si="9"/>
        <v>1.9664999999999998E-2</v>
      </c>
      <c r="T274" t="s">
        <v>81</v>
      </c>
    </row>
    <row r="275" spans="1:20">
      <c r="A275">
        <v>49</v>
      </c>
      <c r="B275">
        <v>0</v>
      </c>
      <c r="C275">
        <v>2.4899999999999999E-2</v>
      </c>
      <c r="D275">
        <v>34.86</v>
      </c>
      <c r="E275">
        <v>6.83E-2</v>
      </c>
      <c r="F275">
        <v>0</v>
      </c>
      <c r="G275">
        <v>0.14699999999999999</v>
      </c>
      <c r="H275">
        <v>10.09</v>
      </c>
      <c r="I275">
        <v>0</v>
      </c>
      <c r="J275">
        <v>8.0999999999999996E-3</v>
      </c>
      <c r="K275">
        <v>0</v>
      </c>
      <c r="L275">
        <v>57.06</v>
      </c>
      <c r="M275">
        <v>0.1186</v>
      </c>
      <c r="N275">
        <v>102.3768</v>
      </c>
      <c r="O275" t="s">
        <v>357</v>
      </c>
      <c r="Q275">
        <f t="shared" si="8"/>
        <v>67.150000000000006</v>
      </c>
      <c r="R275">
        <f>I275-(K275*Standards!$I$15)</f>
        <v>0</v>
      </c>
      <c r="S275">
        <f t="shared" si="9"/>
        <v>2.4899999999999999E-2</v>
      </c>
      <c r="T275" t="s">
        <v>81</v>
      </c>
    </row>
    <row r="276" spans="1:20">
      <c r="A276">
        <v>2</v>
      </c>
      <c r="B276">
        <v>0</v>
      </c>
      <c r="C276">
        <v>2.5499999999999998E-2</v>
      </c>
      <c r="D276">
        <v>34.6</v>
      </c>
      <c r="E276">
        <v>7.2400000000000006E-2</v>
      </c>
      <c r="F276">
        <v>2.47E-2</v>
      </c>
      <c r="G276">
        <v>0.1275</v>
      </c>
      <c r="H276">
        <v>10.28</v>
      </c>
      <c r="I276">
        <v>3.8999999999999998E-3</v>
      </c>
      <c r="J276">
        <v>5.8000000000000003E-2</v>
      </c>
      <c r="K276">
        <v>0</v>
      </c>
      <c r="L276">
        <v>56.82</v>
      </c>
      <c r="M276">
        <v>0.1305</v>
      </c>
      <c r="N276">
        <v>102.14239999999999</v>
      </c>
      <c r="O276" t="s">
        <v>357</v>
      </c>
      <c r="Q276">
        <f t="shared" si="8"/>
        <v>67.099999999999994</v>
      </c>
      <c r="R276">
        <f>I276-(K276*Standards!$I$15)</f>
        <v>3.8999999999999998E-3</v>
      </c>
      <c r="S276">
        <f t="shared" si="9"/>
        <v>2.5304999999999998E-2</v>
      </c>
      <c r="T276" t="s">
        <v>81</v>
      </c>
    </row>
    <row r="277" spans="1:20">
      <c r="A277">
        <v>16</v>
      </c>
      <c r="B277">
        <v>0</v>
      </c>
      <c r="C277">
        <v>1.9900000000000001E-2</v>
      </c>
      <c r="D277">
        <v>34.479999999999997</v>
      </c>
      <c r="E277">
        <v>5.9900000000000002E-2</v>
      </c>
      <c r="F277">
        <v>1.8700000000000001E-2</v>
      </c>
      <c r="G277">
        <v>0.12570000000000001</v>
      </c>
      <c r="H277">
        <v>10.45</v>
      </c>
      <c r="I277">
        <v>4.4999999999999997E-3</v>
      </c>
      <c r="J277">
        <v>1.8100000000000002E-2</v>
      </c>
      <c r="K277">
        <v>0</v>
      </c>
      <c r="L277">
        <v>56.7</v>
      </c>
      <c r="M277">
        <v>0.10879999999999999</v>
      </c>
      <c r="N277">
        <v>101.9855</v>
      </c>
      <c r="O277" t="s">
        <v>357</v>
      </c>
      <c r="Q277">
        <f t="shared" si="8"/>
        <v>67.150000000000006</v>
      </c>
      <c r="R277">
        <f>I277-(K277*Standards!$I$15)</f>
        <v>4.4999999999999997E-3</v>
      </c>
      <c r="S277">
        <f t="shared" si="9"/>
        <v>1.9675000000000002E-2</v>
      </c>
      <c r="T277" t="s">
        <v>81</v>
      </c>
    </row>
    <row r="278" spans="1:20">
      <c r="A278">
        <v>27</v>
      </c>
      <c r="B278">
        <v>0</v>
      </c>
      <c r="C278">
        <v>2.5499999999999998E-2</v>
      </c>
      <c r="D278">
        <v>34.79</v>
      </c>
      <c r="E278">
        <v>5.4399999999999997E-2</v>
      </c>
      <c r="F278">
        <v>0</v>
      </c>
      <c r="G278">
        <v>0.1328</v>
      </c>
      <c r="H278">
        <v>10.57</v>
      </c>
      <c r="I278">
        <v>0</v>
      </c>
      <c r="J278">
        <v>5.8999999999999999E-3</v>
      </c>
      <c r="K278">
        <v>0</v>
      </c>
      <c r="L278">
        <v>56.22</v>
      </c>
      <c r="M278">
        <v>0.1056</v>
      </c>
      <c r="N278">
        <v>101.9042</v>
      </c>
      <c r="O278" t="s">
        <v>357</v>
      </c>
      <c r="Q278">
        <f t="shared" si="8"/>
        <v>66.789999999999992</v>
      </c>
      <c r="R278">
        <f>I278-(K278*Standards!$I$15)</f>
        <v>0</v>
      </c>
      <c r="S278">
        <f t="shared" si="9"/>
        <v>2.5499999999999998E-2</v>
      </c>
      <c r="T278" t="s">
        <v>81</v>
      </c>
    </row>
    <row r="279" spans="1:20">
      <c r="A279">
        <v>40</v>
      </c>
      <c r="B279">
        <v>0</v>
      </c>
      <c r="C279">
        <v>2.2700000000000001E-2</v>
      </c>
      <c r="D279">
        <v>34.71</v>
      </c>
      <c r="E279">
        <v>5.96E-2</v>
      </c>
      <c r="F279">
        <v>0</v>
      </c>
      <c r="G279">
        <v>0.1229</v>
      </c>
      <c r="H279">
        <v>10.54</v>
      </c>
      <c r="I279">
        <v>1.26E-2</v>
      </c>
      <c r="J279">
        <v>0</v>
      </c>
      <c r="K279">
        <v>0</v>
      </c>
      <c r="L279">
        <v>56.08</v>
      </c>
      <c r="M279">
        <v>0.1013</v>
      </c>
      <c r="N279">
        <v>101.6491</v>
      </c>
      <c r="O279" t="s">
        <v>357</v>
      </c>
      <c r="Q279">
        <f t="shared" si="8"/>
        <v>66.62</v>
      </c>
      <c r="R279">
        <f>I279-(K279*Standards!$I$15)</f>
        <v>1.26E-2</v>
      </c>
      <c r="S279">
        <f t="shared" si="9"/>
        <v>2.2070000000000003E-2</v>
      </c>
      <c r="T279" t="s">
        <v>81</v>
      </c>
    </row>
    <row r="280" spans="1:20">
      <c r="A280">
        <v>29</v>
      </c>
      <c r="B280">
        <v>0</v>
      </c>
      <c r="C280">
        <v>2.0500000000000001E-2</v>
      </c>
      <c r="D280">
        <v>34.75</v>
      </c>
      <c r="E280">
        <v>6.3600000000000004E-2</v>
      </c>
      <c r="F280">
        <v>0</v>
      </c>
      <c r="G280">
        <v>0.13200000000000001</v>
      </c>
      <c r="H280">
        <v>10.199999999999999</v>
      </c>
      <c r="I280">
        <v>0</v>
      </c>
      <c r="J280">
        <v>0.39290000000000003</v>
      </c>
      <c r="K280">
        <v>0</v>
      </c>
      <c r="L280">
        <v>56</v>
      </c>
      <c r="M280">
        <v>0.10059999999999999</v>
      </c>
      <c r="N280">
        <v>101.65949999999999</v>
      </c>
      <c r="O280" t="s">
        <v>357</v>
      </c>
      <c r="Q280">
        <f t="shared" si="8"/>
        <v>66.2</v>
      </c>
      <c r="R280">
        <f>I280-(K280*Standards!$I$15)</f>
        <v>0</v>
      </c>
      <c r="S280">
        <f t="shared" si="9"/>
        <v>2.0500000000000001E-2</v>
      </c>
      <c r="T280" t="s">
        <v>81</v>
      </c>
    </row>
    <row r="281" spans="1:20">
      <c r="A281">
        <v>30</v>
      </c>
      <c r="B281">
        <v>0</v>
      </c>
      <c r="C281">
        <v>4.4000000000000003E-3</v>
      </c>
      <c r="D281">
        <v>34.67</v>
      </c>
      <c r="E281">
        <v>5.4100000000000002E-2</v>
      </c>
      <c r="F281">
        <v>0</v>
      </c>
      <c r="G281">
        <v>0.13</v>
      </c>
      <c r="H281">
        <v>10.47</v>
      </c>
      <c r="I281">
        <v>0</v>
      </c>
      <c r="J281">
        <v>3.8100000000000002E-2</v>
      </c>
      <c r="K281">
        <v>0</v>
      </c>
      <c r="L281">
        <v>55.98</v>
      </c>
      <c r="M281">
        <v>0.1012</v>
      </c>
      <c r="N281">
        <v>101.4477</v>
      </c>
      <c r="O281" t="s">
        <v>357</v>
      </c>
      <c r="Q281">
        <f t="shared" si="8"/>
        <v>66.45</v>
      </c>
      <c r="R281">
        <f>I281-(K281*Standards!$I$15)</f>
        <v>0</v>
      </c>
      <c r="S281">
        <f t="shared" si="9"/>
        <v>4.4000000000000003E-3</v>
      </c>
      <c r="T281" t="s">
        <v>81</v>
      </c>
    </row>
    <row r="282" spans="1:20">
      <c r="A282">
        <v>31</v>
      </c>
      <c r="B282">
        <v>0</v>
      </c>
      <c r="C282">
        <v>8.0000000000000002E-3</v>
      </c>
      <c r="D282">
        <v>34.81</v>
      </c>
      <c r="E282">
        <v>6.0100000000000001E-2</v>
      </c>
      <c r="F282">
        <v>1.26E-2</v>
      </c>
      <c r="G282">
        <v>0.13519999999999999</v>
      </c>
      <c r="H282">
        <v>10.69</v>
      </c>
      <c r="I282">
        <v>0</v>
      </c>
      <c r="J282">
        <v>2.24E-2</v>
      </c>
      <c r="K282">
        <v>0</v>
      </c>
      <c r="L282">
        <v>55.86</v>
      </c>
      <c r="M282">
        <v>0.11600000000000001</v>
      </c>
      <c r="N282">
        <v>101.71420000000001</v>
      </c>
      <c r="O282" t="s">
        <v>357</v>
      </c>
      <c r="Q282">
        <f t="shared" si="8"/>
        <v>66.55</v>
      </c>
      <c r="R282">
        <f>I282-(K282*Standards!$I$15)</f>
        <v>0</v>
      </c>
      <c r="S282">
        <f t="shared" si="9"/>
        <v>8.0000000000000002E-3</v>
      </c>
      <c r="T282" t="s">
        <v>81</v>
      </c>
    </row>
    <row r="283" spans="1:20">
      <c r="A283">
        <v>39</v>
      </c>
      <c r="B283">
        <v>0</v>
      </c>
      <c r="C283">
        <v>0</v>
      </c>
      <c r="D283">
        <v>34.75</v>
      </c>
      <c r="E283">
        <v>5.5300000000000002E-2</v>
      </c>
      <c r="F283">
        <v>0</v>
      </c>
      <c r="G283">
        <v>0.1178</v>
      </c>
      <c r="H283">
        <v>11.02</v>
      </c>
      <c r="I283">
        <v>1.0800000000000001E-2</v>
      </c>
      <c r="J283">
        <v>0</v>
      </c>
      <c r="K283">
        <v>0</v>
      </c>
      <c r="L283">
        <v>55.79</v>
      </c>
      <c r="M283">
        <v>0.12230000000000001</v>
      </c>
      <c r="N283">
        <v>101.8661</v>
      </c>
      <c r="O283" t="s">
        <v>357</v>
      </c>
      <c r="Q283">
        <f t="shared" si="8"/>
        <v>66.81</v>
      </c>
      <c r="R283">
        <f>I283-(K283*Standards!$I$15)</f>
        <v>1.0800000000000001E-2</v>
      </c>
      <c r="S283">
        <f t="shared" si="9"/>
        <v>-5.4000000000000001E-4</v>
      </c>
      <c r="T283" t="s">
        <v>81</v>
      </c>
    </row>
    <row r="284" spans="1:20">
      <c r="A284">
        <v>19</v>
      </c>
      <c r="B284">
        <v>0</v>
      </c>
      <c r="C284">
        <v>2.58E-2</v>
      </c>
      <c r="D284">
        <v>34.96</v>
      </c>
      <c r="E284">
        <v>6.1899999999999997E-2</v>
      </c>
      <c r="F284">
        <v>0</v>
      </c>
      <c r="G284">
        <v>0.12989999999999999</v>
      </c>
      <c r="H284">
        <v>10.96</v>
      </c>
      <c r="I284">
        <v>0</v>
      </c>
      <c r="J284">
        <v>0</v>
      </c>
      <c r="K284">
        <v>0</v>
      </c>
      <c r="L284">
        <v>55.48</v>
      </c>
      <c r="M284">
        <v>0.1237</v>
      </c>
      <c r="N284">
        <v>101.74120000000001</v>
      </c>
      <c r="O284" t="s">
        <v>357</v>
      </c>
      <c r="Q284">
        <f t="shared" si="8"/>
        <v>66.44</v>
      </c>
      <c r="R284">
        <f>I284-(K284*Standards!$I$15)</f>
        <v>0</v>
      </c>
      <c r="S284">
        <f t="shared" si="9"/>
        <v>2.58E-2</v>
      </c>
      <c r="T284" t="s">
        <v>81</v>
      </c>
    </row>
    <row r="285" spans="1:20">
      <c r="A285">
        <v>20</v>
      </c>
      <c r="B285">
        <v>0</v>
      </c>
      <c r="C285">
        <v>2.2200000000000001E-2</v>
      </c>
      <c r="D285">
        <v>35.07</v>
      </c>
      <c r="E285">
        <v>4.7300000000000002E-2</v>
      </c>
      <c r="F285">
        <v>0</v>
      </c>
      <c r="G285">
        <v>0.1178</v>
      </c>
      <c r="H285">
        <v>10.95</v>
      </c>
      <c r="I285">
        <v>3.2000000000000002E-3</v>
      </c>
      <c r="J285">
        <v>1.21E-2</v>
      </c>
      <c r="K285">
        <v>0</v>
      </c>
      <c r="L285">
        <v>55.43</v>
      </c>
      <c r="M285">
        <v>9.8799999999999999E-2</v>
      </c>
      <c r="N285">
        <v>101.7514</v>
      </c>
      <c r="O285" t="s">
        <v>357</v>
      </c>
      <c r="Q285">
        <f t="shared" si="8"/>
        <v>66.38</v>
      </c>
      <c r="R285">
        <f>I285-(K285*Standards!$I$15)</f>
        <v>3.2000000000000002E-3</v>
      </c>
      <c r="S285">
        <f t="shared" si="9"/>
        <v>2.2040000000000001E-2</v>
      </c>
      <c r="T285" t="s">
        <v>81</v>
      </c>
    </row>
    <row r="286" spans="1:20">
      <c r="A286">
        <v>32</v>
      </c>
      <c r="B286">
        <v>0</v>
      </c>
      <c r="C286">
        <v>2.6100000000000002E-2</v>
      </c>
      <c r="D286">
        <v>34.979999999999997</v>
      </c>
      <c r="E286">
        <v>6.7500000000000004E-2</v>
      </c>
      <c r="F286">
        <v>0</v>
      </c>
      <c r="G286">
        <v>0.12959999999999999</v>
      </c>
      <c r="H286">
        <v>10.98</v>
      </c>
      <c r="I286">
        <v>1.6000000000000001E-3</v>
      </c>
      <c r="J286">
        <v>1.8599999999999998E-2</v>
      </c>
      <c r="K286">
        <v>0</v>
      </c>
      <c r="L286">
        <v>55.39</v>
      </c>
      <c r="M286">
        <v>0.1055</v>
      </c>
      <c r="N286">
        <v>101.69880000000001</v>
      </c>
      <c r="O286" t="s">
        <v>357</v>
      </c>
      <c r="Q286">
        <f t="shared" si="8"/>
        <v>66.37</v>
      </c>
      <c r="R286">
        <f>I286-(K286*Standards!$I$15)</f>
        <v>1.6000000000000001E-3</v>
      </c>
      <c r="S286">
        <f t="shared" si="9"/>
        <v>2.6020000000000001E-2</v>
      </c>
      <c r="T286" t="s">
        <v>81</v>
      </c>
    </row>
    <row r="287" spans="1:20">
      <c r="A287">
        <v>26</v>
      </c>
      <c r="B287">
        <v>0</v>
      </c>
      <c r="C287">
        <v>1.34E-2</v>
      </c>
      <c r="D287">
        <v>34.93</v>
      </c>
      <c r="E287">
        <v>5.04E-2</v>
      </c>
      <c r="F287">
        <v>3.0999999999999999E-3</v>
      </c>
      <c r="G287">
        <v>0.1207</v>
      </c>
      <c r="H287">
        <v>10.95</v>
      </c>
      <c r="I287">
        <v>4.0000000000000002E-4</v>
      </c>
      <c r="J287">
        <v>8.0000000000000002E-3</v>
      </c>
      <c r="K287">
        <v>0</v>
      </c>
      <c r="L287">
        <v>55.37</v>
      </c>
      <c r="M287">
        <v>0.1042</v>
      </c>
      <c r="N287">
        <v>101.5501</v>
      </c>
      <c r="O287" t="s">
        <v>357</v>
      </c>
      <c r="Q287">
        <f t="shared" si="8"/>
        <v>66.319999999999993</v>
      </c>
      <c r="R287">
        <f>I287-(K287*Standards!$I$15)</f>
        <v>4.0000000000000002E-4</v>
      </c>
      <c r="S287">
        <f t="shared" si="9"/>
        <v>1.3380000000000001E-2</v>
      </c>
      <c r="T287" t="s">
        <v>81</v>
      </c>
    </row>
    <row r="288" spans="1:20">
      <c r="A288">
        <v>157</v>
      </c>
      <c r="B288">
        <v>0</v>
      </c>
      <c r="C288">
        <v>2.46E-2</v>
      </c>
      <c r="D288">
        <v>34.39</v>
      </c>
      <c r="E288">
        <v>4.1099999999999998E-2</v>
      </c>
      <c r="F288">
        <v>0</v>
      </c>
      <c r="G288">
        <v>0.1081</v>
      </c>
      <c r="H288">
        <v>8.24</v>
      </c>
      <c r="I288">
        <v>0.111</v>
      </c>
      <c r="J288">
        <v>5.0299999999999997E-2</v>
      </c>
      <c r="K288">
        <v>0</v>
      </c>
      <c r="L288">
        <v>59.53</v>
      </c>
      <c r="M288">
        <v>0.1037</v>
      </c>
      <c r="N288">
        <v>102.59869999999999</v>
      </c>
      <c r="O288" t="s">
        <v>358</v>
      </c>
      <c r="Q288">
        <f t="shared" si="8"/>
        <v>67.77</v>
      </c>
      <c r="R288">
        <f>I288-(K288*Standards!$I$15)</f>
        <v>0.111</v>
      </c>
      <c r="S288">
        <f t="shared" si="9"/>
        <v>1.9050000000000001E-2</v>
      </c>
      <c r="T288" t="s">
        <v>81</v>
      </c>
    </row>
    <row r="289" spans="1:20">
      <c r="A289">
        <v>162</v>
      </c>
      <c r="B289">
        <v>0</v>
      </c>
      <c r="C289">
        <v>3.2599999999999997E-2</v>
      </c>
      <c r="D289">
        <v>34.799999999999997</v>
      </c>
      <c r="E289">
        <v>4.3900000000000002E-2</v>
      </c>
      <c r="F289">
        <v>0</v>
      </c>
      <c r="G289">
        <v>0.11269999999999999</v>
      </c>
      <c r="H289">
        <v>8.06</v>
      </c>
      <c r="I289">
        <v>4.7199999999999999E-2</v>
      </c>
      <c r="J289">
        <v>4.8999999999999998E-3</v>
      </c>
      <c r="K289">
        <v>0</v>
      </c>
      <c r="L289">
        <v>59.53</v>
      </c>
      <c r="M289">
        <v>9.6000000000000002E-2</v>
      </c>
      <c r="N289">
        <v>102.7272</v>
      </c>
      <c r="O289" t="s">
        <v>358</v>
      </c>
      <c r="Q289">
        <f t="shared" si="8"/>
        <v>67.59</v>
      </c>
      <c r="R289">
        <f>I289-(K289*Standards!$I$15)</f>
        <v>4.7199999999999999E-2</v>
      </c>
      <c r="S289">
        <f t="shared" si="9"/>
        <v>3.0239999999999996E-2</v>
      </c>
      <c r="T289" t="s">
        <v>81</v>
      </c>
    </row>
    <row r="290" spans="1:20">
      <c r="A290">
        <v>163</v>
      </c>
      <c r="B290">
        <v>0</v>
      </c>
      <c r="C290">
        <v>2.4899999999999999E-2</v>
      </c>
      <c r="D290">
        <v>34.86</v>
      </c>
      <c r="E290">
        <v>4.4900000000000002E-2</v>
      </c>
      <c r="F290">
        <v>0</v>
      </c>
      <c r="G290">
        <v>0.10970000000000001</v>
      </c>
      <c r="H290">
        <v>8.01</v>
      </c>
      <c r="I290">
        <v>1E-4</v>
      </c>
      <c r="J290">
        <v>0</v>
      </c>
      <c r="K290">
        <v>0</v>
      </c>
      <c r="L290">
        <v>59.46</v>
      </c>
      <c r="M290">
        <v>9.4600000000000004E-2</v>
      </c>
      <c r="N290">
        <v>102.6041</v>
      </c>
      <c r="O290" t="s">
        <v>358</v>
      </c>
      <c r="Q290">
        <f t="shared" si="8"/>
        <v>67.47</v>
      </c>
      <c r="R290">
        <f>I290-(K290*Standards!$I$15)</f>
        <v>1E-4</v>
      </c>
      <c r="S290">
        <f t="shared" si="9"/>
        <v>2.4894999999999997E-2</v>
      </c>
      <c r="T290" t="s">
        <v>81</v>
      </c>
    </row>
    <row r="291" spans="1:20">
      <c r="A291">
        <v>142</v>
      </c>
      <c r="B291">
        <v>0</v>
      </c>
      <c r="C291">
        <v>2.1100000000000001E-2</v>
      </c>
      <c r="D291">
        <v>34.4</v>
      </c>
      <c r="E291">
        <v>3.7699999999999997E-2</v>
      </c>
      <c r="F291">
        <v>0</v>
      </c>
      <c r="G291">
        <v>0.1139</v>
      </c>
      <c r="H291">
        <v>8.07</v>
      </c>
      <c r="I291">
        <v>1.3100000000000001E-2</v>
      </c>
      <c r="J291">
        <v>5.4000000000000003E-3</v>
      </c>
      <c r="K291">
        <v>0</v>
      </c>
      <c r="L291">
        <v>59.2</v>
      </c>
      <c r="M291">
        <v>0.1139</v>
      </c>
      <c r="N291">
        <v>101.9751</v>
      </c>
      <c r="O291" t="s">
        <v>358</v>
      </c>
      <c r="Q291">
        <f t="shared" si="8"/>
        <v>67.27000000000001</v>
      </c>
      <c r="R291">
        <f>I291-(K291*Standards!$I$15)</f>
        <v>1.3100000000000001E-2</v>
      </c>
      <c r="S291">
        <f t="shared" si="9"/>
        <v>2.0445000000000001E-2</v>
      </c>
      <c r="T291" t="s">
        <v>81</v>
      </c>
    </row>
    <row r="292" spans="1:20">
      <c r="A292">
        <v>148</v>
      </c>
      <c r="B292">
        <v>0</v>
      </c>
      <c r="C292">
        <v>2.5700000000000001E-2</v>
      </c>
      <c r="D292">
        <v>34.53</v>
      </c>
      <c r="E292">
        <v>5.4300000000000001E-2</v>
      </c>
      <c r="F292">
        <v>0</v>
      </c>
      <c r="G292">
        <v>0.1241</v>
      </c>
      <c r="H292">
        <v>8.32</v>
      </c>
      <c r="I292">
        <v>0</v>
      </c>
      <c r="J292">
        <v>8.3999999999999995E-3</v>
      </c>
      <c r="K292">
        <v>0</v>
      </c>
      <c r="L292">
        <v>59.07</v>
      </c>
      <c r="M292">
        <v>0.12939999999999999</v>
      </c>
      <c r="N292">
        <v>102.26179999999999</v>
      </c>
      <c r="O292" t="s">
        <v>358</v>
      </c>
      <c r="Q292">
        <f t="shared" si="8"/>
        <v>67.39</v>
      </c>
      <c r="R292">
        <f>I292-(K292*Standards!$I$15)</f>
        <v>0</v>
      </c>
      <c r="S292">
        <f t="shared" si="9"/>
        <v>2.5700000000000001E-2</v>
      </c>
      <c r="T292" t="s">
        <v>81</v>
      </c>
    </row>
    <row r="293" spans="1:20">
      <c r="A293">
        <v>159</v>
      </c>
      <c r="B293">
        <v>0</v>
      </c>
      <c r="C293">
        <v>4.1599999999999998E-2</v>
      </c>
      <c r="D293">
        <v>34.21</v>
      </c>
      <c r="E293">
        <v>4.6699999999999998E-2</v>
      </c>
      <c r="F293">
        <v>9.1999999999999998E-3</v>
      </c>
      <c r="G293">
        <v>0.11310000000000001</v>
      </c>
      <c r="H293">
        <v>8.44</v>
      </c>
      <c r="I293">
        <v>5.4600000000000003E-2</v>
      </c>
      <c r="J293">
        <v>2.35E-2</v>
      </c>
      <c r="K293">
        <v>0</v>
      </c>
      <c r="L293">
        <v>58.95</v>
      </c>
      <c r="M293">
        <v>8.8200000000000001E-2</v>
      </c>
      <c r="N293">
        <v>101.9768</v>
      </c>
      <c r="O293" t="s">
        <v>358</v>
      </c>
      <c r="Q293">
        <f t="shared" si="8"/>
        <v>67.39</v>
      </c>
      <c r="R293">
        <f>I293-(K293*Standards!$I$15)</f>
        <v>5.4600000000000003E-2</v>
      </c>
      <c r="S293">
        <f t="shared" si="9"/>
        <v>3.8869999999999995E-2</v>
      </c>
      <c r="T293" t="s">
        <v>81</v>
      </c>
    </row>
    <row r="294" spans="1:20">
      <c r="A294">
        <v>124</v>
      </c>
      <c r="B294">
        <v>0</v>
      </c>
      <c r="C294">
        <v>3.1899999999999998E-2</v>
      </c>
      <c r="D294">
        <v>34.47</v>
      </c>
      <c r="E294">
        <v>6.2799999999999995E-2</v>
      </c>
      <c r="F294">
        <v>0</v>
      </c>
      <c r="G294">
        <v>0.12670000000000001</v>
      </c>
      <c r="H294">
        <v>8.6999999999999993</v>
      </c>
      <c r="I294">
        <v>1.01E-2</v>
      </c>
      <c r="J294">
        <v>0</v>
      </c>
      <c r="K294">
        <v>0</v>
      </c>
      <c r="L294">
        <v>58.3</v>
      </c>
      <c r="M294">
        <v>9.69E-2</v>
      </c>
      <c r="N294">
        <v>101.7984</v>
      </c>
      <c r="O294" t="s">
        <v>358</v>
      </c>
      <c r="Q294">
        <f t="shared" si="8"/>
        <v>67</v>
      </c>
      <c r="R294">
        <f>I294-(K294*Standards!$I$15)</f>
        <v>1.01E-2</v>
      </c>
      <c r="S294">
        <f t="shared" si="9"/>
        <v>3.1394999999999999E-2</v>
      </c>
      <c r="T294" t="s">
        <v>81</v>
      </c>
    </row>
    <row r="295" spans="1:20">
      <c r="A295">
        <v>165</v>
      </c>
      <c r="B295">
        <v>0</v>
      </c>
      <c r="C295">
        <v>3.6299999999999999E-2</v>
      </c>
      <c r="D295">
        <v>34.61</v>
      </c>
      <c r="E295">
        <v>6.2399999999999997E-2</v>
      </c>
      <c r="F295">
        <v>2.9999999999999997E-4</v>
      </c>
      <c r="G295">
        <v>0.14050000000000001</v>
      </c>
      <c r="H295">
        <v>9.17</v>
      </c>
      <c r="I295">
        <v>2.5999999999999999E-3</v>
      </c>
      <c r="J295">
        <v>0</v>
      </c>
      <c r="K295">
        <v>0</v>
      </c>
      <c r="L295">
        <v>57.99</v>
      </c>
      <c r="M295">
        <v>8.6900000000000005E-2</v>
      </c>
      <c r="N295">
        <v>102.0989</v>
      </c>
      <c r="O295" t="s">
        <v>358</v>
      </c>
      <c r="Q295">
        <f t="shared" si="8"/>
        <v>67.16</v>
      </c>
      <c r="R295">
        <f>I295-(K295*Standards!$I$15)</f>
        <v>2.5999999999999999E-3</v>
      </c>
      <c r="S295">
        <f t="shared" si="9"/>
        <v>3.6170000000000001E-2</v>
      </c>
      <c r="T295" t="s">
        <v>81</v>
      </c>
    </row>
    <row r="296" spans="1:20">
      <c r="A296">
        <v>146</v>
      </c>
      <c r="B296">
        <v>0</v>
      </c>
      <c r="C296">
        <v>3.09E-2</v>
      </c>
      <c r="D296">
        <v>34.44</v>
      </c>
      <c r="E296">
        <v>4.3700000000000003E-2</v>
      </c>
      <c r="F296">
        <v>0</v>
      </c>
      <c r="G296">
        <v>0.10970000000000001</v>
      </c>
      <c r="H296">
        <v>9.16</v>
      </c>
      <c r="I296">
        <v>0</v>
      </c>
      <c r="J296">
        <v>4.6699999999999998E-2</v>
      </c>
      <c r="K296">
        <v>0</v>
      </c>
      <c r="L296">
        <v>57.93</v>
      </c>
      <c r="M296">
        <v>0.10199999999999999</v>
      </c>
      <c r="N296">
        <v>101.8629</v>
      </c>
      <c r="O296" t="s">
        <v>358</v>
      </c>
      <c r="Q296">
        <f t="shared" si="8"/>
        <v>67.09</v>
      </c>
      <c r="R296">
        <f>I296-(K296*Standards!$I$15)</f>
        <v>0</v>
      </c>
      <c r="S296">
        <f t="shared" si="9"/>
        <v>3.09E-2</v>
      </c>
      <c r="T296" t="s">
        <v>81</v>
      </c>
    </row>
    <row r="297" spans="1:20">
      <c r="A297">
        <v>147</v>
      </c>
      <c r="B297">
        <v>0</v>
      </c>
      <c r="C297">
        <v>3.4099999999999998E-2</v>
      </c>
      <c r="D297">
        <v>34.39</v>
      </c>
      <c r="E297">
        <v>4.8599999999999997E-2</v>
      </c>
      <c r="F297">
        <v>0</v>
      </c>
      <c r="G297">
        <v>0.12759999999999999</v>
      </c>
      <c r="H297">
        <v>9.34</v>
      </c>
      <c r="I297">
        <v>0.1041</v>
      </c>
      <c r="J297">
        <v>3.2199999999999999E-2</v>
      </c>
      <c r="K297">
        <v>0</v>
      </c>
      <c r="L297">
        <v>57.83</v>
      </c>
      <c r="M297">
        <v>0.12230000000000001</v>
      </c>
      <c r="N297">
        <v>102.0288</v>
      </c>
      <c r="O297" t="s">
        <v>358</v>
      </c>
      <c r="Q297">
        <f t="shared" si="8"/>
        <v>67.17</v>
      </c>
      <c r="R297">
        <f>I297-(K297*Standards!$I$15)</f>
        <v>0.1041</v>
      </c>
      <c r="S297">
        <f t="shared" si="9"/>
        <v>2.8894999999999997E-2</v>
      </c>
      <c r="T297" t="s">
        <v>81</v>
      </c>
    </row>
    <row r="298" spans="1:20">
      <c r="A298">
        <v>164</v>
      </c>
      <c r="B298">
        <v>0</v>
      </c>
      <c r="C298">
        <v>4.1500000000000002E-2</v>
      </c>
      <c r="D298">
        <v>34.56</v>
      </c>
      <c r="E298">
        <v>6.8500000000000005E-2</v>
      </c>
      <c r="F298">
        <v>0</v>
      </c>
      <c r="G298">
        <v>0.1502</v>
      </c>
      <c r="H298">
        <v>9.6999999999999993</v>
      </c>
      <c r="I298">
        <v>0</v>
      </c>
      <c r="J298">
        <v>0</v>
      </c>
      <c r="K298">
        <v>0</v>
      </c>
      <c r="L298">
        <v>57.5</v>
      </c>
      <c r="M298">
        <v>9.8299999999999998E-2</v>
      </c>
      <c r="N298">
        <v>102.11839999999999</v>
      </c>
      <c r="O298" t="s">
        <v>358</v>
      </c>
      <c r="Q298">
        <f t="shared" si="8"/>
        <v>67.2</v>
      </c>
      <c r="R298">
        <f>I298-(K298*Standards!$I$15)</f>
        <v>0</v>
      </c>
      <c r="S298">
        <f t="shared" si="9"/>
        <v>4.1500000000000002E-2</v>
      </c>
      <c r="T298" t="s">
        <v>81</v>
      </c>
    </row>
    <row r="299" spans="1:20">
      <c r="A299">
        <v>140</v>
      </c>
      <c r="B299">
        <v>0</v>
      </c>
      <c r="C299">
        <v>2.76E-2</v>
      </c>
      <c r="D299">
        <v>34.42</v>
      </c>
      <c r="E299">
        <v>7.4800000000000005E-2</v>
      </c>
      <c r="F299">
        <v>0</v>
      </c>
      <c r="G299">
        <v>0.12889999999999999</v>
      </c>
      <c r="H299">
        <v>9.3699999999999992</v>
      </c>
      <c r="I299">
        <v>1.8700000000000001E-2</v>
      </c>
      <c r="J299">
        <v>0.1205</v>
      </c>
      <c r="K299">
        <v>0</v>
      </c>
      <c r="L299">
        <v>57.35</v>
      </c>
      <c r="M299">
        <v>0.11749999999999999</v>
      </c>
      <c r="N299">
        <v>101.6279</v>
      </c>
      <c r="O299" t="s">
        <v>358</v>
      </c>
      <c r="Q299">
        <f t="shared" si="8"/>
        <v>66.72</v>
      </c>
      <c r="R299">
        <f>I299-(K299*Standards!$I$15)</f>
        <v>1.8700000000000001E-2</v>
      </c>
      <c r="S299">
        <f t="shared" si="9"/>
        <v>2.6665000000000001E-2</v>
      </c>
      <c r="T299" t="s">
        <v>81</v>
      </c>
    </row>
    <row r="300" spans="1:20">
      <c r="A300">
        <v>141</v>
      </c>
      <c r="B300">
        <v>0</v>
      </c>
      <c r="C300">
        <v>1E-3</v>
      </c>
      <c r="D300">
        <v>34.369999999999997</v>
      </c>
      <c r="E300">
        <v>7.2900000000000006E-2</v>
      </c>
      <c r="F300">
        <v>0</v>
      </c>
      <c r="G300">
        <v>0.15079999999999999</v>
      </c>
      <c r="H300">
        <v>9.67</v>
      </c>
      <c r="I300">
        <v>2.9399999999999999E-2</v>
      </c>
      <c r="J300">
        <v>2.8799999999999999E-2</v>
      </c>
      <c r="K300">
        <v>0</v>
      </c>
      <c r="L300">
        <v>57.28</v>
      </c>
      <c r="M300">
        <v>8.3900000000000002E-2</v>
      </c>
      <c r="N300">
        <v>101.6867</v>
      </c>
      <c r="O300" t="s">
        <v>358</v>
      </c>
      <c r="Q300">
        <f t="shared" si="8"/>
        <v>66.95</v>
      </c>
      <c r="R300">
        <f>I300-(K300*Standards!$I$15)</f>
        <v>2.9399999999999999E-2</v>
      </c>
      <c r="S300">
        <f t="shared" si="9"/>
        <v>-4.6999999999999993E-4</v>
      </c>
      <c r="T300" t="s">
        <v>81</v>
      </c>
    </row>
    <row r="301" spans="1:20">
      <c r="A301">
        <v>144</v>
      </c>
      <c r="B301">
        <v>0</v>
      </c>
      <c r="C301">
        <v>3.1300000000000001E-2</v>
      </c>
      <c r="D301">
        <v>34.24</v>
      </c>
      <c r="E301">
        <v>5.9900000000000002E-2</v>
      </c>
      <c r="F301">
        <v>0</v>
      </c>
      <c r="G301">
        <v>0.13009999999999999</v>
      </c>
      <c r="H301">
        <v>9.59</v>
      </c>
      <c r="I301">
        <v>0.2203</v>
      </c>
      <c r="J301">
        <v>8.9099999999999999E-2</v>
      </c>
      <c r="K301">
        <v>0</v>
      </c>
      <c r="L301">
        <v>57.23</v>
      </c>
      <c r="M301">
        <v>0.1111</v>
      </c>
      <c r="N301">
        <v>101.7017</v>
      </c>
      <c r="O301" t="s">
        <v>358</v>
      </c>
      <c r="Q301">
        <f t="shared" si="8"/>
        <v>66.819999999999993</v>
      </c>
      <c r="R301">
        <f>I301-(K301*Standards!$I$15)</f>
        <v>0.2203</v>
      </c>
      <c r="S301">
        <f t="shared" si="9"/>
        <v>2.0285000000000001E-2</v>
      </c>
      <c r="T301" t="s">
        <v>81</v>
      </c>
    </row>
    <row r="302" spans="1:20">
      <c r="A302">
        <v>128</v>
      </c>
      <c r="B302">
        <v>0</v>
      </c>
      <c r="C302">
        <v>2.5999999999999999E-2</v>
      </c>
      <c r="D302">
        <v>34.49</v>
      </c>
      <c r="E302">
        <v>5.28E-2</v>
      </c>
      <c r="F302">
        <v>4.7999999999999996E-3</v>
      </c>
      <c r="G302">
        <v>0.1103</v>
      </c>
      <c r="H302">
        <v>9.65</v>
      </c>
      <c r="I302">
        <v>4.1300000000000003E-2</v>
      </c>
      <c r="J302">
        <v>9.7999999999999997E-3</v>
      </c>
      <c r="K302">
        <v>0</v>
      </c>
      <c r="L302">
        <v>57.18</v>
      </c>
      <c r="M302">
        <v>0.1154</v>
      </c>
      <c r="N302">
        <v>101.68040000000001</v>
      </c>
      <c r="O302" t="s">
        <v>358</v>
      </c>
      <c r="Q302">
        <f t="shared" si="8"/>
        <v>66.83</v>
      </c>
      <c r="R302">
        <f>I302-(K302*Standards!$I$15)</f>
        <v>4.1300000000000003E-2</v>
      </c>
      <c r="S302">
        <f t="shared" si="9"/>
        <v>2.3934999999999998E-2</v>
      </c>
      <c r="T302" t="s">
        <v>81</v>
      </c>
    </row>
    <row r="303" spans="1:20">
      <c r="A303">
        <v>123</v>
      </c>
      <c r="B303">
        <v>0</v>
      </c>
      <c r="C303">
        <v>3.56E-2</v>
      </c>
      <c r="D303">
        <v>34.56</v>
      </c>
      <c r="E303">
        <v>5.3400000000000003E-2</v>
      </c>
      <c r="F303">
        <v>0</v>
      </c>
      <c r="G303">
        <v>0.1173</v>
      </c>
      <c r="H303">
        <v>9.57</v>
      </c>
      <c r="I303">
        <v>0.37159999999999999</v>
      </c>
      <c r="J303">
        <v>0.2036</v>
      </c>
      <c r="K303">
        <v>0</v>
      </c>
      <c r="L303">
        <v>57.14</v>
      </c>
      <c r="M303">
        <v>9.8599999999999993E-2</v>
      </c>
      <c r="N303">
        <v>102.15</v>
      </c>
      <c r="O303" t="s">
        <v>358</v>
      </c>
      <c r="Q303">
        <f t="shared" si="8"/>
        <v>66.710000000000008</v>
      </c>
      <c r="R303">
        <f>I303-(K303*Standards!$I$15)</f>
        <v>0.37159999999999999</v>
      </c>
      <c r="S303">
        <f t="shared" si="9"/>
        <v>1.702E-2</v>
      </c>
      <c r="T303" t="s">
        <v>81</v>
      </c>
    </row>
    <row r="304" spans="1:20">
      <c r="A304">
        <v>170</v>
      </c>
      <c r="B304">
        <v>0</v>
      </c>
      <c r="C304">
        <v>4.2099999999999999E-2</v>
      </c>
      <c r="D304">
        <v>34.39</v>
      </c>
      <c r="E304">
        <v>7.46E-2</v>
      </c>
      <c r="F304">
        <v>0</v>
      </c>
      <c r="G304">
        <v>0.15429999999999999</v>
      </c>
      <c r="H304">
        <v>9.99</v>
      </c>
      <c r="I304">
        <v>7.8899999999999998E-2</v>
      </c>
      <c r="J304">
        <v>3.5999999999999999E-3</v>
      </c>
      <c r="K304">
        <v>0</v>
      </c>
      <c r="L304">
        <v>57.1</v>
      </c>
      <c r="M304">
        <v>0.1074</v>
      </c>
      <c r="N304">
        <v>101.9408</v>
      </c>
      <c r="O304" t="s">
        <v>358</v>
      </c>
      <c r="Q304">
        <f t="shared" si="8"/>
        <v>67.09</v>
      </c>
      <c r="R304">
        <f>I304-(K304*Standards!$I$15)</f>
        <v>7.8899999999999998E-2</v>
      </c>
      <c r="S304">
        <f t="shared" si="9"/>
        <v>3.8155000000000001E-2</v>
      </c>
      <c r="T304" t="s">
        <v>81</v>
      </c>
    </row>
    <row r="305" spans="1:31">
      <c r="A305">
        <v>160</v>
      </c>
      <c r="B305">
        <v>0</v>
      </c>
      <c r="C305">
        <v>2.7E-2</v>
      </c>
      <c r="D305">
        <v>34.590000000000003</v>
      </c>
      <c r="E305">
        <v>6.2199999999999998E-2</v>
      </c>
      <c r="F305">
        <v>0</v>
      </c>
      <c r="G305">
        <v>0.13830000000000001</v>
      </c>
      <c r="H305">
        <v>10.199999999999999</v>
      </c>
      <c r="I305">
        <v>2.2100000000000002E-2</v>
      </c>
      <c r="J305">
        <v>5.7000000000000002E-2</v>
      </c>
      <c r="K305">
        <v>0</v>
      </c>
      <c r="L305">
        <v>57.08</v>
      </c>
      <c r="M305">
        <v>9.6799999999999997E-2</v>
      </c>
      <c r="N305">
        <v>102.2734</v>
      </c>
      <c r="O305" t="s">
        <v>358</v>
      </c>
      <c r="Q305">
        <f t="shared" si="8"/>
        <v>67.28</v>
      </c>
      <c r="R305">
        <f>I305-(K305*Standards!$I$15)</f>
        <v>2.2100000000000002E-2</v>
      </c>
      <c r="S305">
        <f t="shared" si="9"/>
        <v>2.5895000000000001E-2</v>
      </c>
      <c r="T305" t="s">
        <v>81</v>
      </c>
    </row>
    <row r="306" spans="1:31">
      <c r="A306">
        <v>158</v>
      </c>
      <c r="B306">
        <v>0</v>
      </c>
      <c r="C306">
        <v>2.3599999999999999E-2</v>
      </c>
      <c r="D306">
        <v>34.42</v>
      </c>
      <c r="E306">
        <v>6.6299999999999998E-2</v>
      </c>
      <c r="F306">
        <v>0</v>
      </c>
      <c r="G306">
        <v>0.15179999999999999</v>
      </c>
      <c r="H306">
        <v>10.16</v>
      </c>
      <c r="I306">
        <v>9.2600000000000002E-2</v>
      </c>
      <c r="J306">
        <v>2.24E-2</v>
      </c>
      <c r="K306">
        <v>0</v>
      </c>
      <c r="L306">
        <v>57.01</v>
      </c>
      <c r="M306">
        <v>0.11459999999999999</v>
      </c>
      <c r="N306">
        <v>102.0612</v>
      </c>
      <c r="O306" t="s">
        <v>358</v>
      </c>
      <c r="Q306">
        <f t="shared" si="8"/>
        <v>67.17</v>
      </c>
      <c r="R306">
        <f>I306-(K306*Standards!$I$15)</f>
        <v>9.2600000000000002E-2</v>
      </c>
      <c r="S306">
        <f t="shared" si="9"/>
        <v>1.8970000000000001E-2</v>
      </c>
      <c r="T306" t="s">
        <v>81</v>
      </c>
    </row>
    <row r="307" spans="1:31">
      <c r="A307">
        <v>129</v>
      </c>
      <c r="B307">
        <v>0</v>
      </c>
      <c r="C307">
        <v>4.41E-2</v>
      </c>
      <c r="D307">
        <v>34.33</v>
      </c>
      <c r="E307">
        <v>6.1899999999999997E-2</v>
      </c>
      <c r="F307">
        <v>1.6999999999999999E-3</v>
      </c>
      <c r="G307">
        <v>0.14560000000000001</v>
      </c>
      <c r="H307">
        <v>9.65</v>
      </c>
      <c r="I307">
        <v>0.22409999999999999</v>
      </c>
      <c r="J307">
        <v>0.14249999999999999</v>
      </c>
      <c r="K307">
        <v>0</v>
      </c>
      <c r="L307">
        <v>56.95</v>
      </c>
      <c r="M307">
        <v>0.1114</v>
      </c>
      <c r="N307">
        <v>101.6613</v>
      </c>
      <c r="O307" t="s">
        <v>358</v>
      </c>
      <c r="Q307">
        <f t="shared" si="8"/>
        <v>66.600000000000009</v>
      </c>
      <c r="R307">
        <f>I307-(K307*Standards!$I$15)</f>
        <v>0.22409999999999999</v>
      </c>
      <c r="S307">
        <f t="shared" si="9"/>
        <v>3.2895000000000001E-2</v>
      </c>
      <c r="T307" t="s">
        <v>81</v>
      </c>
    </row>
    <row r="308" spans="1:31">
      <c r="A308">
        <v>127</v>
      </c>
      <c r="B308">
        <v>0</v>
      </c>
      <c r="C308">
        <v>0.03</v>
      </c>
      <c r="D308">
        <v>34.5</v>
      </c>
      <c r="E308">
        <v>4.4200000000000003E-2</v>
      </c>
      <c r="F308">
        <v>0</v>
      </c>
      <c r="G308">
        <v>0.1082</v>
      </c>
      <c r="H308">
        <v>9.4700000000000006</v>
      </c>
      <c r="I308">
        <v>7.5999999999999998E-2</v>
      </c>
      <c r="J308">
        <v>2.0299999999999999E-2</v>
      </c>
      <c r="K308">
        <v>0</v>
      </c>
      <c r="L308">
        <v>56.81</v>
      </c>
      <c r="M308">
        <v>0.10100000000000001</v>
      </c>
      <c r="N308">
        <v>101.1596</v>
      </c>
      <c r="O308" t="s">
        <v>358</v>
      </c>
      <c r="Q308">
        <f t="shared" si="8"/>
        <v>66.28</v>
      </c>
      <c r="R308">
        <f>I308-(K308*Standards!$I$15)</f>
        <v>7.5999999999999998E-2</v>
      </c>
      <c r="S308">
        <f t="shared" si="9"/>
        <v>2.6199999999999998E-2</v>
      </c>
      <c r="T308" t="s">
        <v>81</v>
      </c>
    </row>
    <row r="309" spans="1:31">
      <c r="A309">
        <v>125</v>
      </c>
      <c r="B309">
        <v>0</v>
      </c>
      <c r="C309">
        <v>5.5800000000000002E-2</v>
      </c>
      <c r="D309">
        <v>34.28</v>
      </c>
      <c r="E309">
        <v>5.3999999999999999E-2</v>
      </c>
      <c r="F309">
        <v>0</v>
      </c>
      <c r="G309">
        <v>0.12970000000000001</v>
      </c>
      <c r="H309">
        <v>9.41</v>
      </c>
      <c r="I309">
        <v>0.44679999999999997</v>
      </c>
      <c r="J309">
        <v>0.29449999999999998</v>
      </c>
      <c r="K309">
        <v>0</v>
      </c>
      <c r="L309">
        <v>56.8</v>
      </c>
      <c r="M309">
        <v>0.10580000000000001</v>
      </c>
      <c r="N309">
        <v>101.5765</v>
      </c>
      <c r="O309" t="s">
        <v>358</v>
      </c>
      <c r="Q309">
        <f t="shared" si="8"/>
        <v>66.209999999999994</v>
      </c>
      <c r="R309">
        <f>I309-(K309*Standards!$I$15)</f>
        <v>0.44679999999999997</v>
      </c>
      <c r="S309">
        <f t="shared" si="9"/>
        <v>3.3460000000000004E-2</v>
      </c>
      <c r="T309" t="s">
        <v>81</v>
      </c>
    </row>
    <row r="310" spans="1:31">
      <c r="A310">
        <v>156</v>
      </c>
      <c r="B310">
        <v>0</v>
      </c>
      <c r="C310">
        <v>4.1500000000000002E-2</v>
      </c>
      <c r="D310">
        <v>34.380000000000003</v>
      </c>
      <c r="E310">
        <v>6.9099999999999995E-2</v>
      </c>
      <c r="F310">
        <v>0</v>
      </c>
      <c r="G310">
        <v>0.16259999999999999</v>
      </c>
      <c r="H310">
        <v>10.29</v>
      </c>
      <c r="I310">
        <v>3.4500000000000003E-2</v>
      </c>
      <c r="J310">
        <v>6.8500000000000005E-2</v>
      </c>
      <c r="K310">
        <v>0</v>
      </c>
      <c r="L310">
        <v>56.76</v>
      </c>
      <c r="M310">
        <v>8.2199999999999995E-2</v>
      </c>
      <c r="N310">
        <v>101.8883</v>
      </c>
      <c r="O310" t="s">
        <v>358</v>
      </c>
      <c r="Q310">
        <f t="shared" si="8"/>
        <v>67.05</v>
      </c>
      <c r="R310">
        <f>I310-(K310*Standards!$I$15)</f>
        <v>3.4500000000000003E-2</v>
      </c>
      <c r="S310">
        <f t="shared" si="9"/>
        <v>3.9775000000000005E-2</v>
      </c>
      <c r="T310" t="s">
        <v>81</v>
      </c>
    </row>
    <row r="311" spans="1:31">
      <c r="A311">
        <v>139</v>
      </c>
      <c r="B311">
        <v>0</v>
      </c>
      <c r="C311">
        <v>2.3199999999999998E-2</v>
      </c>
      <c r="D311">
        <v>34.340000000000003</v>
      </c>
      <c r="E311">
        <v>6.7000000000000004E-2</v>
      </c>
      <c r="F311">
        <v>0</v>
      </c>
      <c r="G311">
        <v>0.14699999999999999</v>
      </c>
      <c r="H311">
        <v>10.34</v>
      </c>
      <c r="I311">
        <v>1.9199999999999998E-2</v>
      </c>
      <c r="J311">
        <v>0.1376</v>
      </c>
      <c r="K311">
        <v>0</v>
      </c>
      <c r="L311">
        <v>56.63</v>
      </c>
      <c r="M311">
        <v>8.7599999999999997E-2</v>
      </c>
      <c r="N311">
        <v>101.7915</v>
      </c>
      <c r="O311" t="s">
        <v>358</v>
      </c>
      <c r="Q311">
        <f t="shared" si="8"/>
        <v>66.97</v>
      </c>
      <c r="R311">
        <f>I311-(K311*Standards!$I$15)</f>
        <v>1.9199999999999998E-2</v>
      </c>
      <c r="S311">
        <f t="shared" si="9"/>
        <v>2.2239999999999999E-2</v>
      </c>
      <c r="T311" t="s">
        <v>81</v>
      </c>
    </row>
    <row r="312" spans="1:31">
      <c r="A312">
        <v>126</v>
      </c>
      <c r="B312">
        <v>0</v>
      </c>
      <c r="C312">
        <v>2.2499999999999999E-2</v>
      </c>
      <c r="D312">
        <v>34.5</v>
      </c>
      <c r="E312">
        <v>5.0999999999999997E-2</v>
      </c>
      <c r="F312">
        <v>0</v>
      </c>
      <c r="G312">
        <v>0.1268</v>
      </c>
      <c r="H312">
        <v>10.15</v>
      </c>
      <c r="I312">
        <v>0.1426</v>
      </c>
      <c r="J312">
        <v>7.5399999999999995E-2</v>
      </c>
      <c r="K312">
        <v>0</v>
      </c>
      <c r="L312">
        <v>56.42</v>
      </c>
      <c r="M312">
        <v>0.1109</v>
      </c>
      <c r="N312">
        <v>101.59910000000001</v>
      </c>
      <c r="O312" t="s">
        <v>358</v>
      </c>
      <c r="Q312">
        <f t="shared" si="8"/>
        <v>66.570000000000007</v>
      </c>
      <c r="R312">
        <f>I312-(K312*Standards!$I$15)</f>
        <v>0.1426</v>
      </c>
      <c r="S312">
        <f t="shared" si="9"/>
        <v>1.5369999999999998E-2</v>
      </c>
      <c r="T312" t="s">
        <v>81</v>
      </c>
    </row>
    <row r="313" spans="1:31">
      <c r="A313">
        <v>161</v>
      </c>
      <c r="B313">
        <v>0</v>
      </c>
      <c r="C313">
        <v>2.5499999999999998E-2</v>
      </c>
      <c r="D313">
        <v>34.549999999999997</v>
      </c>
      <c r="E313">
        <v>7.0000000000000007E-2</v>
      </c>
      <c r="F313">
        <v>0</v>
      </c>
      <c r="G313">
        <v>0.16619999999999999</v>
      </c>
      <c r="H313">
        <v>11.45</v>
      </c>
      <c r="I313">
        <v>1.4999999999999999E-2</v>
      </c>
      <c r="J313">
        <v>0</v>
      </c>
      <c r="K313">
        <v>0</v>
      </c>
      <c r="L313">
        <v>55.94</v>
      </c>
      <c r="M313">
        <v>8.6800000000000002E-2</v>
      </c>
      <c r="N313">
        <v>102.3034</v>
      </c>
      <c r="O313" t="s">
        <v>358</v>
      </c>
      <c r="Q313">
        <f t="shared" si="8"/>
        <v>67.39</v>
      </c>
      <c r="R313">
        <f>I313-(K313*Standards!$I$15)</f>
        <v>1.4999999999999999E-2</v>
      </c>
      <c r="S313">
        <f t="shared" si="9"/>
        <v>2.4749999999999998E-2</v>
      </c>
      <c r="T313" t="s">
        <v>81</v>
      </c>
    </row>
    <row r="314" spans="1:31">
      <c r="A314">
        <v>143</v>
      </c>
      <c r="B314">
        <v>0</v>
      </c>
      <c r="C314">
        <v>4.5100000000000001E-2</v>
      </c>
      <c r="D314">
        <v>34.53</v>
      </c>
      <c r="E314">
        <v>6.5000000000000002E-2</v>
      </c>
      <c r="F314">
        <v>2.7000000000000001E-3</v>
      </c>
      <c r="G314">
        <v>0.15579999999999999</v>
      </c>
      <c r="H314">
        <v>10.7</v>
      </c>
      <c r="I314">
        <v>0.2417</v>
      </c>
      <c r="J314">
        <v>0.1133</v>
      </c>
      <c r="K314">
        <v>0</v>
      </c>
      <c r="L314">
        <v>55.82</v>
      </c>
      <c r="M314">
        <v>9.8000000000000004E-2</v>
      </c>
      <c r="N314">
        <v>101.7715</v>
      </c>
      <c r="O314" t="s">
        <v>358</v>
      </c>
      <c r="Q314">
        <f t="shared" si="8"/>
        <v>66.52</v>
      </c>
      <c r="R314">
        <f>I314-(K314*Standards!$I$15)</f>
        <v>0.2417</v>
      </c>
      <c r="S314">
        <f t="shared" si="9"/>
        <v>3.3015000000000003E-2</v>
      </c>
      <c r="T314" t="s">
        <v>81</v>
      </c>
    </row>
    <row r="315" spans="1:31">
      <c r="A315">
        <v>149</v>
      </c>
      <c r="B315">
        <v>0</v>
      </c>
      <c r="C315">
        <v>2.12E-2</v>
      </c>
      <c r="D315">
        <v>34.49</v>
      </c>
      <c r="E315">
        <v>9.1300000000000006E-2</v>
      </c>
      <c r="F315">
        <v>0</v>
      </c>
      <c r="G315">
        <v>0.2097</v>
      </c>
      <c r="H315">
        <v>12.12</v>
      </c>
      <c r="I315">
        <v>0</v>
      </c>
      <c r="J315">
        <v>0</v>
      </c>
      <c r="K315">
        <v>0</v>
      </c>
      <c r="L315">
        <v>55.24</v>
      </c>
      <c r="M315">
        <v>9.9699999999999997E-2</v>
      </c>
      <c r="N315">
        <v>102.2719</v>
      </c>
      <c r="O315" t="s">
        <v>358</v>
      </c>
      <c r="Q315">
        <f t="shared" si="8"/>
        <v>67.36</v>
      </c>
      <c r="R315">
        <f>I315-(K315*Standards!$I$15)</f>
        <v>0</v>
      </c>
      <c r="S315">
        <f t="shared" si="9"/>
        <v>2.12E-2</v>
      </c>
      <c r="T315" t="s">
        <v>81</v>
      </c>
    </row>
    <row r="316" spans="1:31">
      <c r="A316">
        <v>145</v>
      </c>
      <c r="B316">
        <v>0</v>
      </c>
      <c r="C316">
        <v>3.5999999999999999E-3</v>
      </c>
      <c r="D316">
        <v>34.65</v>
      </c>
      <c r="E316">
        <v>8.3799999999999999E-2</v>
      </c>
      <c r="F316">
        <v>0</v>
      </c>
      <c r="G316">
        <v>0.1648</v>
      </c>
      <c r="H316">
        <v>12.03</v>
      </c>
      <c r="I316">
        <v>0</v>
      </c>
      <c r="J316">
        <v>3.1800000000000002E-2</v>
      </c>
      <c r="K316">
        <v>0</v>
      </c>
      <c r="L316">
        <v>54.93</v>
      </c>
      <c r="M316">
        <v>9.8400000000000001E-2</v>
      </c>
      <c r="N316">
        <v>101.9923</v>
      </c>
      <c r="O316" t="s">
        <v>358</v>
      </c>
      <c r="Q316">
        <f t="shared" si="8"/>
        <v>66.959999999999994</v>
      </c>
      <c r="R316">
        <f>I316-(K316*Standards!$I$15)</f>
        <v>0</v>
      </c>
      <c r="S316">
        <f t="shared" si="9"/>
        <v>3.5999999999999999E-3</v>
      </c>
      <c r="T316" t="s">
        <v>81</v>
      </c>
    </row>
    <row r="317" spans="1:31">
      <c r="A317">
        <v>61</v>
      </c>
      <c r="B317">
        <v>0</v>
      </c>
      <c r="C317">
        <v>5.6599999999999998E-2</v>
      </c>
      <c r="D317">
        <v>33.81</v>
      </c>
      <c r="E317">
        <v>4.9000000000000002E-2</v>
      </c>
      <c r="F317">
        <v>0</v>
      </c>
      <c r="G317">
        <v>0.1898</v>
      </c>
      <c r="H317">
        <v>5.6</v>
      </c>
      <c r="I317">
        <v>0.29389999999999999</v>
      </c>
      <c r="J317">
        <v>5.64</v>
      </c>
      <c r="K317">
        <v>0</v>
      </c>
      <c r="L317">
        <v>55.95</v>
      </c>
      <c r="M317">
        <v>7.0000000000000007E-2</v>
      </c>
      <c r="N317">
        <v>101.6592</v>
      </c>
      <c r="O317" t="s">
        <v>359</v>
      </c>
      <c r="Q317">
        <f t="shared" si="8"/>
        <v>61.550000000000004</v>
      </c>
      <c r="R317">
        <f>I317-(K317*Standards!$I$15)</f>
        <v>0.29389999999999999</v>
      </c>
      <c r="S317">
        <f t="shared" si="9"/>
        <v>4.1904999999999998E-2</v>
      </c>
      <c r="T317" t="s">
        <v>79</v>
      </c>
      <c r="U317">
        <f>COUNT(R317:R336)</f>
        <v>20</v>
      </c>
      <c r="V317">
        <f>MAX(H317:H336)</f>
        <v>6.11</v>
      </c>
      <c r="W317">
        <f>AVERAGE(H317:H336)</f>
        <v>5.452</v>
      </c>
      <c r="X317">
        <f>MAX(J317:J336)</f>
        <v>6.41</v>
      </c>
      <c r="Y317">
        <f>AVERAGE(J317:J336)</f>
        <v>5.74</v>
      </c>
      <c r="Z317">
        <f>10000*MAX(R317:R336)</f>
        <v>11900</v>
      </c>
      <c r="AA317">
        <f>10000*AVERAGE(R317:R336)</f>
        <v>6062.25</v>
      </c>
      <c r="AB317">
        <f>10000*MAX(G317:G336)</f>
        <v>1898</v>
      </c>
      <c r="AC317">
        <f>10000*AVERAGE(G317:G336)</f>
        <v>1482.3000000000002</v>
      </c>
      <c r="AD317">
        <f>10000*MAX(S317:S336)</f>
        <v>677</v>
      </c>
      <c r="AE317">
        <f>10000*AVERAGE(S317:S336)</f>
        <v>479.58749999999986</v>
      </c>
    </row>
    <row r="318" spans="1:31">
      <c r="A318">
        <v>62</v>
      </c>
      <c r="B318">
        <v>0</v>
      </c>
      <c r="C318">
        <v>7.6200000000000004E-2</v>
      </c>
      <c r="D318">
        <v>33.83</v>
      </c>
      <c r="E318">
        <v>2.6700000000000002E-2</v>
      </c>
      <c r="F318">
        <v>0</v>
      </c>
      <c r="G318">
        <v>0.14299999999999999</v>
      </c>
      <c r="H318">
        <v>5.17</v>
      </c>
      <c r="I318">
        <v>0.48139999999999999</v>
      </c>
      <c r="J318">
        <v>5.26</v>
      </c>
      <c r="K318">
        <v>0</v>
      </c>
      <c r="L318">
        <v>56.76</v>
      </c>
      <c r="M318">
        <v>7.8600000000000003E-2</v>
      </c>
      <c r="N318">
        <v>101.8258</v>
      </c>
      <c r="O318" t="s">
        <v>359</v>
      </c>
      <c r="Q318">
        <f t="shared" si="8"/>
        <v>61.93</v>
      </c>
      <c r="R318">
        <f>I318-(K318*Standards!$I$15)</f>
        <v>0.48139999999999999</v>
      </c>
      <c r="S318">
        <f t="shared" si="9"/>
        <v>5.2130000000000003E-2</v>
      </c>
      <c r="T318" t="s">
        <v>79</v>
      </c>
    </row>
    <row r="319" spans="1:31">
      <c r="A319">
        <v>63</v>
      </c>
      <c r="B319">
        <v>0</v>
      </c>
      <c r="C319">
        <v>7.9399999999999998E-2</v>
      </c>
      <c r="D319">
        <v>33.770000000000003</v>
      </c>
      <c r="E319">
        <v>1.29E-2</v>
      </c>
      <c r="F319">
        <v>0</v>
      </c>
      <c r="G319">
        <v>0.13919999999999999</v>
      </c>
      <c r="H319">
        <v>5.7</v>
      </c>
      <c r="I319">
        <v>0.67900000000000005</v>
      </c>
      <c r="J319">
        <v>4.76</v>
      </c>
      <c r="K319">
        <v>0</v>
      </c>
      <c r="L319">
        <v>56.26</v>
      </c>
      <c r="M319">
        <v>0.1023</v>
      </c>
      <c r="N319">
        <v>101.5027</v>
      </c>
      <c r="O319" t="s">
        <v>359</v>
      </c>
      <c r="Q319">
        <f t="shared" si="8"/>
        <v>61.96</v>
      </c>
      <c r="R319">
        <f>I319-(K319*Standards!$I$15)</f>
        <v>0.67900000000000005</v>
      </c>
      <c r="S319">
        <f t="shared" si="9"/>
        <v>4.5449999999999997E-2</v>
      </c>
      <c r="T319" t="s">
        <v>79</v>
      </c>
    </row>
    <row r="320" spans="1:31">
      <c r="A320">
        <v>64</v>
      </c>
      <c r="B320">
        <v>0</v>
      </c>
      <c r="C320">
        <v>5.8200000000000002E-2</v>
      </c>
      <c r="D320">
        <v>34.020000000000003</v>
      </c>
      <c r="E320">
        <v>4.7500000000000001E-2</v>
      </c>
      <c r="F320">
        <v>0</v>
      </c>
      <c r="G320">
        <v>0.1646</v>
      </c>
      <c r="H320">
        <v>5.72</v>
      </c>
      <c r="I320">
        <v>0.39510000000000001</v>
      </c>
      <c r="J320">
        <v>6.19</v>
      </c>
      <c r="K320">
        <v>0</v>
      </c>
      <c r="L320">
        <v>55.24</v>
      </c>
      <c r="M320">
        <v>9.6000000000000002E-2</v>
      </c>
      <c r="N320">
        <v>101.9314</v>
      </c>
      <c r="O320" t="s">
        <v>359</v>
      </c>
      <c r="Q320">
        <f t="shared" si="8"/>
        <v>60.96</v>
      </c>
      <c r="R320">
        <f>I320-(K320*Standards!$I$15)</f>
        <v>0.39510000000000001</v>
      </c>
      <c r="S320">
        <f t="shared" si="9"/>
        <v>3.8445E-2</v>
      </c>
      <c r="T320" t="s">
        <v>79</v>
      </c>
    </row>
    <row r="321" spans="1:20">
      <c r="A321">
        <v>65</v>
      </c>
      <c r="B321">
        <v>0</v>
      </c>
      <c r="C321">
        <v>6.7699999999999996E-2</v>
      </c>
      <c r="D321">
        <v>33.83</v>
      </c>
      <c r="E321">
        <v>3.8699999999999998E-2</v>
      </c>
      <c r="F321">
        <v>0</v>
      </c>
      <c r="G321">
        <v>0.14940000000000001</v>
      </c>
      <c r="H321">
        <v>5.4</v>
      </c>
      <c r="I321">
        <v>0.56899999999999995</v>
      </c>
      <c r="J321">
        <v>5.66</v>
      </c>
      <c r="K321">
        <v>0</v>
      </c>
      <c r="L321">
        <v>56.17</v>
      </c>
      <c r="M321">
        <v>8.6400000000000005E-2</v>
      </c>
      <c r="N321">
        <v>101.97110000000001</v>
      </c>
      <c r="O321" t="s">
        <v>359</v>
      </c>
      <c r="Q321">
        <f t="shared" si="8"/>
        <v>61.57</v>
      </c>
      <c r="R321">
        <f>I321-(K321*Standards!$I$15)</f>
        <v>0.56899999999999995</v>
      </c>
      <c r="S321">
        <f t="shared" si="9"/>
        <v>3.9249999999999993E-2</v>
      </c>
      <c r="T321" t="s">
        <v>79</v>
      </c>
    </row>
    <row r="322" spans="1:20">
      <c r="A322">
        <v>66</v>
      </c>
      <c r="B322">
        <v>0</v>
      </c>
      <c r="C322">
        <v>7.85E-2</v>
      </c>
      <c r="D322">
        <v>33.89</v>
      </c>
      <c r="E322">
        <v>2.64E-2</v>
      </c>
      <c r="F322">
        <v>0</v>
      </c>
      <c r="G322">
        <v>0.16800000000000001</v>
      </c>
      <c r="H322">
        <v>5.19</v>
      </c>
      <c r="I322">
        <v>0.41570000000000001</v>
      </c>
      <c r="J322">
        <v>5.49</v>
      </c>
      <c r="K322">
        <v>0</v>
      </c>
      <c r="L322">
        <v>56.63</v>
      </c>
      <c r="M322">
        <v>0.1111</v>
      </c>
      <c r="N322">
        <v>101.9996</v>
      </c>
      <c r="O322" t="s">
        <v>359</v>
      </c>
      <c r="Q322">
        <f t="shared" si="8"/>
        <v>61.82</v>
      </c>
      <c r="R322">
        <f>I322-(K322*Standards!$I$15)</f>
        <v>0.41570000000000001</v>
      </c>
      <c r="S322">
        <f t="shared" si="9"/>
        <v>5.7715000000000002E-2</v>
      </c>
      <c r="T322" t="s">
        <v>79</v>
      </c>
    </row>
    <row r="323" spans="1:20">
      <c r="A323">
        <v>67</v>
      </c>
      <c r="B323">
        <v>0</v>
      </c>
      <c r="C323">
        <v>9.2100000000000001E-2</v>
      </c>
      <c r="D323">
        <v>33.799999999999997</v>
      </c>
      <c r="E323">
        <v>3.49E-2</v>
      </c>
      <c r="F323">
        <v>0</v>
      </c>
      <c r="G323">
        <v>0.1394</v>
      </c>
      <c r="H323">
        <v>5.58</v>
      </c>
      <c r="I323">
        <v>0.70750000000000002</v>
      </c>
      <c r="J323">
        <v>5.95</v>
      </c>
      <c r="K323">
        <v>0</v>
      </c>
      <c r="L323">
        <v>55.48</v>
      </c>
      <c r="M323">
        <v>7.8899999999999998E-2</v>
      </c>
      <c r="N323">
        <v>101.86279999999999</v>
      </c>
      <c r="O323" t="s">
        <v>359</v>
      </c>
      <c r="Q323">
        <f t="shared" ref="Q323:Q386" si="10">H323+L323</f>
        <v>61.059999999999995</v>
      </c>
      <c r="R323">
        <f>I323-(K323*Standards!$I$15)</f>
        <v>0.70750000000000002</v>
      </c>
      <c r="S323">
        <f t="shared" ref="S323:S386" si="11">C323-(I323*0.05)</f>
        <v>5.6724999999999998E-2</v>
      </c>
      <c r="T323" t="s">
        <v>79</v>
      </c>
    </row>
    <row r="324" spans="1:20">
      <c r="A324">
        <v>68</v>
      </c>
      <c r="B324">
        <v>0</v>
      </c>
      <c r="C324">
        <v>8.5800000000000001E-2</v>
      </c>
      <c r="D324">
        <v>33.76</v>
      </c>
      <c r="E324">
        <v>1.7100000000000001E-2</v>
      </c>
      <c r="F324">
        <v>0</v>
      </c>
      <c r="G324">
        <v>0.14149999999999999</v>
      </c>
      <c r="H324">
        <v>5.08</v>
      </c>
      <c r="I324">
        <v>0.63329999999999997</v>
      </c>
      <c r="J324">
        <v>5.48</v>
      </c>
      <c r="K324">
        <v>0</v>
      </c>
      <c r="L324">
        <v>56.22</v>
      </c>
      <c r="M324">
        <v>0.12379999999999999</v>
      </c>
      <c r="N324">
        <v>101.5414</v>
      </c>
      <c r="O324" t="s">
        <v>359</v>
      </c>
      <c r="Q324">
        <f t="shared" si="10"/>
        <v>61.3</v>
      </c>
      <c r="R324">
        <f>I324-(K324*Standards!$I$15)</f>
        <v>0.63329999999999997</v>
      </c>
      <c r="S324">
        <f t="shared" si="11"/>
        <v>5.4135000000000003E-2</v>
      </c>
      <c r="T324" t="s">
        <v>79</v>
      </c>
    </row>
    <row r="325" spans="1:20">
      <c r="A325">
        <v>69</v>
      </c>
      <c r="B325">
        <v>0</v>
      </c>
      <c r="C325">
        <v>0.11940000000000001</v>
      </c>
      <c r="D325">
        <v>33.799999999999997</v>
      </c>
      <c r="E325">
        <v>0</v>
      </c>
      <c r="F325">
        <v>0</v>
      </c>
      <c r="G325">
        <v>0.11799999999999999</v>
      </c>
      <c r="H325">
        <v>5.38</v>
      </c>
      <c r="I325">
        <v>1.19</v>
      </c>
      <c r="J325">
        <v>5.88</v>
      </c>
      <c r="K325">
        <v>0</v>
      </c>
      <c r="L325">
        <v>55.32</v>
      </c>
      <c r="M325">
        <v>0.1178</v>
      </c>
      <c r="N325">
        <v>101.9251</v>
      </c>
      <c r="O325" t="s">
        <v>359</v>
      </c>
      <c r="Q325">
        <f t="shared" si="10"/>
        <v>60.7</v>
      </c>
      <c r="R325">
        <f>I325-(K325*Standards!$I$15)</f>
        <v>1.19</v>
      </c>
      <c r="S325">
        <f t="shared" si="11"/>
        <v>5.9900000000000009E-2</v>
      </c>
      <c r="T325" t="s">
        <v>79</v>
      </c>
    </row>
    <row r="326" spans="1:20">
      <c r="A326">
        <v>70</v>
      </c>
      <c r="B326">
        <v>0</v>
      </c>
      <c r="C326">
        <v>5.2900000000000003E-2</v>
      </c>
      <c r="D326">
        <v>34.06</v>
      </c>
      <c r="E326">
        <v>3.8800000000000001E-2</v>
      </c>
      <c r="F326">
        <v>0</v>
      </c>
      <c r="G326">
        <v>0.16089999999999999</v>
      </c>
      <c r="H326">
        <v>5.98</v>
      </c>
      <c r="I326">
        <v>0.27679999999999999</v>
      </c>
      <c r="J326">
        <v>6.39</v>
      </c>
      <c r="K326">
        <v>0</v>
      </c>
      <c r="L326">
        <v>54.99</v>
      </c>
      <c r="M326">
        <v>7.0900000000000005E-2</v>
      </c>
      <c r="N326">
        <v>102.0202</v>
      </c>
      <c r="O326" t="s">
        <v>359</v>
      </c>
      <c r="Q326">
        <f t="shared" si="10"/>
        <v>60.97</v>
      </c>
      <c r="R326">
        <f>I326-(K326*Standards!$I$15)</f>
        <v>0.27679999999999999</v>
      </c>
      <c r="S326">
        <f t="shared" si="11"/>
        <v>3.9060000000000004E-2</v>
      </c>
      <c r="T326" t="s">
        <v>79</v>
      </c>
    </row>
    <row r="327" spans="1:20">
      <c r="A327">
        <v>71</v>
      </c>
      <c r="B327">
        <v>0</v>
      </c>
      <c r="C327">
        <v>0.1187</v>
      </c>
      <c r="D327">
        <v>33.68</v>
      </c>
      <c r="E327">
        <v>0</v>
      </c>
      <c r="F327">
        <v>4.7000000000000002E-3</v>
      </c>
      <c r="G327">
        <v>0.12909999999999999</v>
      </c>
      <c r="H327">
        <v>4.8899999999999997</v>
      </c>
      <c r="I327">
        <v>1.02</v>
      </c>
      <c r="J327">
        <v>5.5</v>
      </c>
      <c r="K327">
        <v>0</v>
      </c>
      <c r="L327">
        <v>56.69</v>
      </c>
      <c r="M327">
        <v>0.10150000000000001</v>
      </c>
      <c r="N327">
        <v>102.1339</v>
      </c>
      <c r="O327" t="s">
        <v>359</v>
      </c>
      <c r="Q327">
        <f t="shared" si="10"/>
        <v>61.58</v>
      </c>
      <c r="R327">
        <f>I327-(K327*Standards!$I$15)</f>
        <v>1.02</v>
      </c>
      <c r="S327">
        <f t="shared" si="11"/>
        <v>6.7699999999999996E-2</v>
      </c>
      <c r="T327" t="s">
        <v>79</v>
      </c>
    </row>
    <row r="328" spans="1:20">
      <c r="A328">
        <v>76</v>
      </c>
      <c r="B328">
        <v>0</v>
      </c>
      <c r="C328">
        <v>8.9200000000000002E-2</v>
      </c>
      <c r="D328">
        <v>33.76</v>
      </c>
      <c r="E328">
        <v>6.1000000000000004E-3</v>
      </c>
      <c r="F328">
        <v>0</v>
      </c>
      <c r="G328">
        <v>0.114</v>
      </c>
      <c r="H328">
        <v>4.99</v>
      </c>
      <c r="I328">
        <v>0.77139999999999997</v>
      </c>
      <c r="J328">
        <v>5.66</v>
      </c>
      <c r="K328">
        <v>0</v>
      </c>
      <c r="L328">
        <v>56.21</v>
      </c>
      <c r="M328">
        <v>9.9000000000000005E-2</v>
      </c>
      <c r="N328">
        <v>101.6996</v>
      </c>
      <c r="O328" t="s">
        <v>359</v>
      </c>
      <c r="Q328">
        <f t="shared" si="10"/>
        <v>61.2</v>
      </c>
      <c r="R328">
        <f>I328-(K328*Standards!$I$15)</f>
        <v>0.77139999999999997</v>
      </c>
      <c r="S328">
        <f t="shared" si="11"/>
        <v>5.0630000000000001E-2</v>
      </c>
      <c r="T328" t="s">
        <v>79</v>
      </c>
    </row>
    <row r="329" spans="1:20">
      <c r="A329">
        <v>77</v>
      </c>
      <c r="B329">
        <v>0</v>
      </c>
      <c r="C329">
        <v>6.3299999999999995E-2</v>
      </c>
      <c r="D329">
        <v>33.81</v>
      </c>
      <c r="E329">
        <v>3.4599999999999999E-2</v>
      </c>
      <c r="F329">
        <v>0</v>
      </c>
      <c r="G329">
        <v>0.12139999999999999</v>
      </c>
      <c r="H329">
        <v>5.43</v>
      </c>
      <c r="I329">
        <v>0.37709999999999999</v>
      </c>
      <c r="J329">
        <v>5.65</v>
      </c>
      <c r="K329">
        <v>0</v>
      </c>
      <c r="L329">
        <v>56.19</v>
      </c>
      <c r="M329">
        <v>8.5800000000000001E-2</v>
      </c>
      <c r="N329">
        <v>101.76220000000001</v>
      </c>
      <c r="O329" t="s">
        <v>359</v>
      </c>
      <c r="Q329">
        <f t="shared" si="10"/>
        <v>61.62</v>
      </c>
      <c r="R329">
        <f>I329-(K329*Standards!$I$15)</f>
        <v>0.37709999999999999</v>
      </c>
      <c r="S329">
        <f t="shared" si="11"/>
        <v>4.4444999999999998E-2</v>
      </c>
      <c r="T329" t="s">
        <v>79</v>
      </c>
    </row>
    <row r="330" spans="1:20">
      <c r="A330">
        <v>78</v>
      </c>
      <c r="B330">
        <v>0</v>
      </c>
      <c r="C330">
        <v>9.35E-2</v>
      </c>
      <c r="D330">
        <v>33.840000000000003</v>
      </c>
      <c r="E330">
        <v>2.0500000000000001E-2</v>
      </c>
      <c r="F330">
        <v>0</v>
      </c>
      <c r="G330">
        <v>0.15809999999999999</v>
      </c>
      <c r="H330">
        <v>5.3</v>
      </c>
      <c r="I330">
        <v>0.84689999999999999</v>
      </c>
      <c r="J330">
        <v>5.81</v>
      </c>
      <c r="K330">
        <v>0</v>
      </c>
      <c r="L330">
        <v>55.73</v>
      </c>
      <c r="M330">
        <v>8.1000000000000003E-2</v>
      </c>
      <c r="N330">
        <v>101.87990000000001</v>
      </c>
      <c r="O330" t="s">
        <v>359</v>
      </c>
      <c r="Q330">
        <f t="shared" si="10"/>
        <v>61.029999999999994</v>
      </c>
      <c r="R330">
        <f>I330-(K330*Standards!$I$15)</f>
        <v>0.84689999999999999</v>
      </c>
      <c r="S330">
        <f t="shared" si="11"/>
        <v>5.1154999999999999E-2</v>
      </c>
      <c r="T330" t="s">
        <v>79</v>
      </c>
    </row>
    <row r="331" spans="1:20">
      <c r="A331">
        <v>79</v>
      </c>
      <c r="B331">
        <v>0</v>
      </c>
      <c r="C331">
        <v>7.2099999999999997E-2</v>
      </c>
      <c r="D331">
        <v>33.89</v>
      </c>
      <c r="E331">
        <v>2.4299999999999999E-2</v>
      </c>
      <c r="F331">
        <v>0</v>
      </c>
      <c r="G331">
        <v>0.16589999999999999</v>
      </c>
      <c r="H331">
        <v>6.11</v>
      </c>
      <c r="I331">
        <v>0.43759999999999999</v>
      </c>
      <c r="J331">
        <v>6.19</v>
      </c>
      <c r="K331">
        <v>0</v>
      </c>
      <c r="L331">
        <v>54.72</v>
      </c>
      <c r="M331">
        <v>0.105</v>
      </c>
      <c r="N331">
        <v>101.7149</v>
      </c>
      <c r="O331" t="s">
        <v>359</v>
      </c>
      <c r="Q331">
        <f t="shared" si="10"/>
        <v>60.83</v>
      </c>
      <c r="R331">
        <f>I331-(K331*Standards!$I$15)</f>
        <v>0.43759999999999999</v>
      </c>
      <c r="S331">
        <f t="shared" si="11"/>
        <v>5.0220000000000001E-2</v>
      </c>
      <c r="T331" t="s">
        <v>79</v>
      </c>
    </row>
    <row r="332" spans="1:20">
      <c r="A332">
        <v>80</v>
      </c>
      <c r="B332">
        <v>0</v>
      </c>
      <c r="C332">
        <v>6.8400000000000002E-2</v>
      </c>
      <c r="D332">
        <v>33.86</v>
      </c>
      <c r="E332">
        <v>3.7900000000000003E-2</v>
      </c>
      <c r="F332">
        <v>0</v>
      </c>
      <c r="G332">
        <v>0.16420000000000001</v>
      </c>
      <c r="H332">
        <v>5.94</v>
      </c>
      <c r="I332">
        <v>0.48380000000000001</v>
      </c>
      <c r="J332">
        <v>6.41</v>
      </c>
      <c r="K332">
        <v>0</v>
      </c>
      <c r="L332">
        <v>54.58</v>
      </c>
      <c r="M332">
        <v>7.5200000000000003E-2</v>
      </c>
      <c r="N332">
        <v>101.6194</v>
      </c>
      <c r="O332" t="s">
        <v>359</v>
      </c>
      <c r="Q332">
        <f t="shared" si="10"/>
        <v>60.519999999999996</v>
      </c>
      <c r="R332">
        <f>I332-(K332*Standards!$I$15)</f>
        <v>0.48380000000000001</v>
      </c>
      <c r="S332">
        <f t="shared" si="11"/>
        <v>4.4209999999999999E-2</v>
      </c>
      <c r="T332" t="s">
        <v>79</v>
      </c>
    </row>
    <row r="333" spans="1:20">
      <c r="A333">
        <v>81</v>
      </c>
      <c r="B333">
        <v>0</v>
      </c>
      <c r="C333">
        <v>7.3099999999999998E-2</v>
      </c>
      <c r="D333">
        <v>33.76</v>
      </c>
      <c r="E333">
        <v>2.5999999999999999E-2</v>
      </c>
      <c r="F333">
        <v>0</v>
      </c>
      <c r="G333">
        <v>0.1477</v>
      </c>
      <c r="H333">
        <v>5.04</v>
      </c>
      <c r="I333">
        <v>0.66010000000000002</v>
      </c>
      <c r="J333">
        <v>5.16</v>
      </c>
      <c r="K333">
        <v>0</v>
      </c>
      <c r="L333">
        <v>56.72</v>
      </c>
      <c r="M333">
        <v>8.2900000000000001E-2</v>
      </c>
      <c r="N333">
        <v>101.66970000000001</v>
      </c>
      <c r="O333" t="s">
        <v>359</v>
      </c>
      <c r="Q333">
        <f t="shared" si="10"/>
        <v>61.76</v>
      </c>
      <c r="R333">
        <f>I333-(K333*Standards!$I$15)</f>
        <v>0.66010000000000002</v>
      </c>
      <c r="S333">
        <f t="shared" si="11"/>
        <v>4.0094999999999999E-2</v>
      </c>
      <c r="T333" t="s">
        <v>79</v>
      </c>
    </row>
    <row r="334" spans="1:20">
      <c r="A334">
        <v>89</v>
      </c>
      <c r="B334">
        <v>0</v>
      </c>
      <c r="C334">
        <v>9.7000000000000003E-2</v>
      </c>
      <c r="D334">
        <v>33.659999999999997</v>
      </c>
      <c r="E334">
        <v>0</v>
      </c>
      <c r="F334">
        <v>0</v>
      </c>
      <c r="G334">
        <v>0.161</v>
      </c>
      <c r="H334">
        <v>5.64</v>
      </c>
      <c r="I334">
        <v>0.98089999999999999</v>
      </c>
      <c r="J334">
        <v>6.27</v>
      </c>
      <c r="K334">
        <v>0</v>
      </c>
      <c r="L334">
        <v>54.97</v>
      </c>
      <c r="M334">
        <v>0.1003</v>
      </c>
      <c r="N334">
        <v>101.8792</v>
      </c>
      <c r="O334" t="s">
        <v>359</v>
      </c>
      <c r="Q334">
        <f t="shared" si="10"/>
        <v>60.61</v>
      </c>
      <c r="R334">
        <f>I334-(K334*Standards!$I$15)</f>
        <v>0.98089999999999999</v>
      </c>
      <c r="S334">
        <f t="shared" si="11"/>
        <v>4.7954999999999998E-2</v>
      </c>
      <c r="T334" t="s">
        <v>79</v>
      </c>
    </row>
    <row r="335" spans="1:20">
      <c r="A335">
        <v>113</v>
      </c>
      <c r="B335">
        <v>0</v>
      </c>
      <c r="C335">
        <v>6.59E-2</v>
      </c>
      <c r="D335">
        <v>33.97</v>
      </c>
      <c r="E335">
        <v>3.0200000000000001E-2</v>
      </c>
      <c r="F335">
        <v>0</v>
      </c>
      <c r="G335">
        <v>0.1454</v>
      </c>
      <c r="H335">
        <v>5.5</v>
      </c>
      <c r="I335">
        <v>0.41220000000000001</v>
      </c>
      <c r="J335">
        <v>5.7</v>
      </c>
      <c r="K335">
        <v>0</v>
      </c>
      <c r="L335">
        <v>56.07</v>
      </c>
      <c r="M335">
        <v>9.2700000000000005E-2</v>
      </c>
      <c r="N335">
        <v>101.9864</v>
      </c>
      <c r="O335" t="s">
        <v>360</v>
      </c>
      <c r="Q335">
        <f t="shared" si="10"/>
        <v>61.57</v>
      </c>
      <c r="R335">
        <f>I335-(K335*Standards!$I$15)</f>
        <v>0.41220000000000001</v>
      </c>
      <c r="S335">
        <f t="shared" si="11"/>
        <v>4.5289999999999997E-2</v>
      </c>
      <c r="T335" t="s">
        <v>79</v>
      </c>
    </row>
    <row r="336" spans="1:20">
      <c r="A336">
        <v>114</v>
      </c>
      <c r="B336">
        <v>0</v>
      </c>
      <c r="C336">
        <v>5.74E-2</v>
      </c>
      <c r="D336">
        <v>33.979999999999997</v>
      </c>
      <c r="E336">
        <v>3.2300000000000002E-2</v>
      </c>
      <c r="F336">
        <v>0</v>
      </c>
      <c r="G336">
        <v>0.14399999999999999</v>
      </c>
      <c r="H336">
        <v>5.4</v>
      </c>
      <c r="I336">
        <v>0.49280000000000002</v>
      </c>
      <c r="J336">
        <v>5.75</v>
      </c>
      <c r="K336">
        <v>0</v>
      </c>
      <c r="L336">
        <v>56.08</v>
      </c>
      <c r="M336">
        <v>8.3299999999999999E-2</v>
      </c>
      <c r="N336">
        <v>102.0198</v>
      </c>
      <c r="O336" t="s">
        <v>360</v>
      </c>
      <c r="Q336">
        <f t="shared" si="10"/>
        <v>61.48</v>
      </c>
      <c r="R336">
        <f>I336-(K336*Standards!$I$15)</f>
        <v>0.49280000000000002</v>
      </c>
      <c r="S336">
        <f t="shared" si="11"/>
        <v>3.2759999999999997E-2</v>
      </c>
      <c r="T336" t="s">
        <v>79</v>
      </c>
    </row>
    <row r="337" spans="1:31">
      <c r="A337">
        <v>18</v>
      </c>
      <c r="B337">
        <v>0</v>
      </c>
      <c r="C337">
        <v>2.92E-2</v>
      </c>
      <c r="D337">
        <v>34.01</v>
      </c>
      <c r="E337">
        <v>6.9500000000000006E-2</v>
      </c>
      <c r="F337">
        <v>6.1000000000000004E-3</v>
      </c>
      <c r="G337">
        <v>0.2029</v>
      </c>
      <c r="H337">
        <v>7.17</v>
      </c>
      <c r="I337">
        <v>5.67E-2</v>
      </c>
      <c r="J337">
        <v>0.76970000000000005</v>
      </c>
      <c r="K337">
        <v>0</v>
      </c>
      <c r="L337">
        <v>59.93</v>
      </c>
      <c r="M337">
        <v>0.13730000000000001</v>
      </c>
      <c r="N337">
        <f t="shared" ref="N337:N360" si="12">SUM(B337:M337)</f>
        <v>102.3814</v>
      </c>
      <c r="O337" t="s">
        <v>361</v>
      </c>
      <c r="Q337">
        <f t="shared" si="10"/>
        <v>67.099999999999994</v>
      </c>
      <c r="R337">
        <f>I337-(K337*Standards!$I$15)</f>
        <v>5.67E-2</v>
      </c>
      <c r="S337">
        <f t="shared" si="11"/>
        <v>2.6365E-2</v>
      </c>
      <c r="T337" t="s">
        <v>44</v>
      </c>
      <c r="U337">
        <f>COUNT(R337:R360,R435:R443,R532:R587)</f>
        <v>89</v>
      </c>
      <c r="V337">
        <f>MAX(H337:H360,H435:H443,H532:H587)</f>
        <v>14.86</v>
      </c>
      <c r="W337">
        <f>AVERAGE(H337:H360,H435:H443,H532:H587)</f>
        <v>9.4704494382022446</v>
      </c>
      <c r="X337">
        <f>MAX(J337:J360,J435:J443,J532:J587)</f>
        <v>2.81</v>
      </c>
      <c r="Y337">
        <f>AVERAGE(J337:J360,J435:J443,J532:J587)</f>
        <v>0.31774269662921345</v>
      </c>
      <c r="Z337">
        <f>10000*MAX(R337:R360,R435:R443,R532:R587)</f>
        <v>2013</v>
      </c>
      <c r="AA337">
        <f>10000*AVERAGE(R337:R360,R435:R443,R532:R587)</f>
        <v>406.88072780898881</v>
      </c>
      <c r="AB337">
        <f>10000*MAX(G337:G360,G435:G443,G532:G587)</f>
        <v>6911.0000000000009</v>
      </c>
      <c r="AC337">
        <f>10000*AVERAGE(G337:G360,G435:G443,G532:G587)</f>
        <v>3860.3707865168535</v>
      </c>
      <c r="AD337">
        <f>10000*MAX(S337:S360,S435:S443,S532:S587)</f>
        <v>561.6</v>
      </c>
      <c r="AE337">
        <f>10000*AVERAGE(S337:S360,S435:S443,S532:S587)</f>
        <v>345.47415730337065</v>
      </c>
    </row>
    <row r="338" spans="1:31">
      <c r="A338">
        <v>19</v>
      </c>
      <c r="B338">
        <v>0</v>
      </c>
      <c r="C338">
        <v>2.8899999999999999E-2</v>
      </c>
      <c r="D338">
        <v>33.99</v>
      </c>
      <c r="E338">
        <v>6.0699999999999997E-2</v>
      </c>
      <c r="F338">
        <v>0</v>
      </c>
      <c r="G338">
        <v>0.19359999999999999</v>
      </c>
      <c r="H338">
        <v>8.91</v>
      </c>
      <c r="I338">
        <v>6.0199999999999997E-2</v>
      </c>
      <c r="J338">
        <v>1.62</v>
      </c>
      <c r="K338">
        <v>0</v>
      </c>
      <c r="L338">
        <v>57.5</v>
      </c>
      <c r="M338">
        <v>0.10340000000000001</v>
      </c>
      <c r="N338">
        <f t="shared" si="12"/>
        <v>102.46679999999999</v>
      </c>
      <c r="O338" t="s">
        <v>361</v>
      </c>
      <c r="Q338">
        <f t="shared" si="10"/>
        <v>66.41</v>
      </c>
      <c r="R338">
        <f>I338-(K338*Standards!$I$15)</f>
        <v>6.0199999999999997E-2</v>
      </c>
      <c r="S338">
        <f t="shared" si="11"/>
        <v>2.589E-2</v>
      </c>
      <c r="T338" t="s">
        <v>44</v>
      </c>
    </row>
    <row r="339" spans="1:31">
      <c r="A339">
        <v>15</v>
      </c>
      <c r="B339">
        <v>0</v>
      </c>
      <c r="C339">
        <v>2.8799999999999999E-2</v>
      </c>
      <c r="D339">
        <v>34.15</v>
      </c>
      <c r="E339">
        <v>6.7599999999999993E-2</v>
      </c>
      <c r="F339">
        <v>0</v>
      </c>
      <c r="G339">
        <v>0.16120000000000001</v>
      </c>
      <c r="H339">
        <v>9.4499999999999993</v>
      </c>
      <c r="I339">
        <v>2.3300000000000001E-2</v>
      </c>
      <c r="J339">
        <v>6.7599999999999993E-2</v>
      </c>
      <c r="K339">
        <v>0</v>
      </c>
      <c r="L339">
        <v>56.93</v>
      </c>
      <c r="M339">
        <v>8.4699999999999998E-2</v>
      </c>
      <c r="N339">
        <f t="shared" si="12"/>
        <v>100.96319999999999</v>
      </c>
      <c r="O339" t="s">
        <v>361</v>
      </c>
      <c r="Q339">
        <f t="shared" si="10"/>
        <v>66.38</v>
      </c>
      <c r="R339">
        <f>I339-(K339*Standards!$I$15)</f>
        <v>2.3300000000000001E-2</v>
      </c>
      <c r="S339">
        <f t="shared" si="11"/>
        <v>2.7635E-2</v>
      </c>
      <c r="T339" t="s">
        <v>44</v>
      </c>
    </row>
    <row r="340" spans="1:31">
      <c r="A340">
        <v>12</v>
      </c>
      <c r="B340">
        <v>0</v>
      </c>
      <c r="C340">
        <v>3.04E-2</v>
      </c>
      <c r="D340">
        <v>33.75</v>
      </c>
      <c r="E340">
        <v>5.8000000000000003E-2</v>
      </c>
      <c r="F340">
        <v>0</v>
      </c>
      <c r="G340">
        <v>0.16850000000000001</v>
      </c>
      <c r="H340">
        <v>9.15</v>
      </c>
      <c r="I340">
        <v>8.0699999999999994E-2</v>
      </c>
      <c r="J340">
        <v>0.70120000000000005</v>
      </c>
      <c r="K340">
        <v>0</v>
      </c>
      <c r="L340">
        <v>55.64</v>
      </c>
      <c r="M340">
        <v>0.1042</v>
      </c>
      <c r="N340">
        <f t="shared" si="12"/>
        <v>99.683000000000007</v>
      </c>
      <c r="O340" t="s">
        <v>361</v>
      </c>
      <c r="Q340">
        <f t="shared" si="10"/>
        <v>64.790000000000006</v>
      </c>
      <c r="R340">
        <f>I340-(K340*Standards!$I$15)</f>
        <v>8.0699999999999994E-2</v>
      </c>
      <c r="S340">
        <f t="shared" si="11"/>
        <v>2.6365E-2</v>
      </c>
      <c r="T340" t="s">
        <v>44</v>
      </c>
    </row>
    <row r="341" spans="1:31">
      <c r="A341">
        <v>6</v>
      </c>
      <c r="B341">
        <v>0</v>
      </c>
      <c r="C341">
        <v>4.6300000000000001E-2</v>
      </c>
      <c r="D341">
        <v>34.24</v>
      </c>
      <c r="E341">
        <v>8.9700000000000002E-2</v>
      </c>
      <c r="F341">
        <v>0</v>
      </c>
      <c r="G341">
        <v>0.23369999999999999</v>
      </c>
      <c r="H341">
        <v>7.95</v>
      </c>
      <c r="I341">
        <v>0.20130000000000001</v>
      </c>
      <c r="J341">
        <v>1.31</v>
      </c>
      <c r="K341">
        <v>0</v>
      </c>
      <c r="L341">
        <v>58.16</v>
      </c>
      <c r="M341">
        <v>0.1024</v>
      </c>
      <c r="N341">
        <f t="shared" si="12"/>
        <v>102.33340000000001</v>
      </c>
      <c r="O341" t="s">
        <v>362</v>
      </c>
      <c r="Q341">
        <f t="shared" si="10"/>
        <v>66.11</v>
      </c>
      <c r="R341">
        <f>I341-(K341*Standards!$I$15)</f>
        <v>0.20130000000000001</v>
      </c>
      <c r="S341">
        <f t="shared" si="11"/>
        <v>3.6235000000000003E-2</v>
      </c>
      <c r="T341" t="s">
        <v>44</v>
      </c>
    </row>
    <row r="342" spans="1:31">
      <c r="A342">
        <v>4</v>
      </c>
      <c r="B342">
        <v>0</v>
      </c>
      <c r="C342">
        <v>6.5100000000000005E-2</v>
      </c>
      <c r="D342">
        <v>34.01</v>
      </c>
      <c r="E342">
        <v>7.2099999999999997E-2</v>
      </c>
      <c r="F342">
        <v>0</v>
      </c>
      <c r="G342">
        <v>0.223</v>
      </c>
      <c r="H342">
        <v>8.57</v>
      </c>
      <c r="I342">
        <v>0.19739999999999999</v>
      </c>
      <c r="J342">
        <v>1.73</v>
      </c>
      <c r="K342">
        <v>0</v>
      </c>
      <c r="L342">
        <v>57.43</v>
      </c>
      <c r="M342">
        <v>8.9300000000000004E-2</v>
      </c>
      <c r="N342">
        <f t="shared" si="12"/>
        <v>102.38689999999998</v>
      </c>
      <c r="O342" t="s">
        <v>363</v>
      </c>
      <c r="Q342">
        <f t="shared" si="10"/>
        <v>66</v>
      </c>
      <c r="R342">
        <f>I342-(K342*Standards!$I$15)</f>
        <v>0.19739999999999999</v>
      </c>
      <c r="S342">
        <f t="shared" si="11"/>
        <v>5.5230000000000001E-2</v>
      </c>
      <c r="T342" t="s">
        <v>44</v>
      </c>
    </row>
    <row r="343" spans="1:31">
      <c r="A343">
        <v>34</v>
      </c>
      <c r="B343">
        <v>0</v>
      </c>
      <c r="C343">
        <v>3.2399999999999998E-2</v>
      </c>
      <c r="D343">
        <v>33.659999999999997</v>
      </c>
      <c r="E343">
        <v>0.1037</v>
      </c>
      <c r="F343">
        <v>0</v>
      </c>
      <c r="G343">
        <v>0.30170000000000002</v>
      </c>
      <c r="H343">
        <v>8.83</v>
      </c>
      <c r="I343">
        <v>6.2899999999999998E-2</v>
      </c>
      <c r="J343">
        <v>0.15659999999999999</v>
      </c>
      <c r="K343">
        <v>0</v>
      </c>
      <c r="L343">
        <v>57.38</v>
      </c>
      <c r="M343">
        <v>8.6300000000000002E-2</v>
      </c>
      <c r="N343">
        <f t="shared" si="12"/>
        <v>100.61359999999999</v>
      </c>
      <c r="O343" t="s">
        <v>364</v>
      </c>
      <c r="Q343">
        <f t="shared" si="10"/>
        <v>66.210000000000008</v>
      </c>
      <c r="R343">
        <f>I343-(K343*Standards!$I$15)</f>
        <v>6.2899999999999998E-2</v>
      </c>
      <c r="S343">
        <f t="shared" si="11"/>
        <v>2.9254999999999996E-2</v>
      </c>
      <c r="T343" t="s">
        <v>44</v>
      </c>
    </row>
    <row r="344" spans="1:31">
      <c r="A344">
        <v>29</v>
      </c>
      <c r="B344">
        <v>0</v>
      </c>
      <c r="C344">
        <v>3.04E-2</v>
      </c>
      <c r="D344">
        <v>33.64</v>
      </c>
      <c r="E344">
        <v>0.1124</v>
      </c>
      <c r="F344">
        <v>0</v>
      </c>
      <c r="G344">
        <v>0.30170000000000002</v>
      </c>
      <c r="H344">
        <v>9.27</v>
      </c>
      <c r="I344">
        <v>5.79E-2</v>
      </c>
      <c r="J344">
        <v>0.18279999999999999</v>
      </c>
      <c r="K344">
        <v>0</v>
      </c>
      <c r="L344">
        <v>57.1</v>
      </c>
      <c r="M344">
        <v>9.6100000000000005E-2</v>
      </c>
      <c r="N344">
        <f t="shared" si="12"/>
        <v>100.79130000000001</v>
      </c>
      <c r="O344" t="s">
        <v>364</v>
      </c>
      <c r="Q344">
        <f t="shared" si="10"/>
        <v>66.37</v>
      </c>
      <c r="R344">
        <f>I344-(K344*Standards!$I$15)</f>
        <v>5.79E-2</v>
      </c>
      <c r="S344">
        <f t="shared" si="11"/>
        <v>2.7505000000000002E-2</v>
      </c>
      <c r="T344" t="s">
        <v>44</v>
      </c>
    </row>
    <row r="345" spans="1:31">
      <c r="A345">
        <v>39</v>
      </c>
      <c r="B345">
        <v>0</v>
      </c>
      <c r="C345">
        <v>4.4499999999999998E-2</v>
      </c>
      <c r="D345">
        <v>33.53</v>
      </c>
      <c r="E345">
        <v>0.1046</v>
      </c>
      <c r="F345">
        <v>0</v>
      </c>
      <c r="G345">
        <v>0.28520000000000001</v>
      </c>
      <c r="H345">
        <v>9.7899999999999991</v>
      </c>
      <c r="I345">
        <v>4.5699999999999998E-2</v>
      </c>
      <c r="J345">
        <v>0.50009999999999999</v>
      </c>
      <c r="K345">
        <v>0</v>
      </c>
      <c r="L345">
        <v>56.23</v>
      </c>
      <c r="M345">
        <v>8.1699999999999995E-2</v>
      </c>
      <c r="N345">
        <f t="shared" si="12"/>
        <v>100.6118</v>
      </c>
      <c r="O345" t="s">
        <v>364</v>
      </c>
      <c r="Q345">
        <f t="shared" si="10"/>
        <v>66.02</v>
      </c>
      <c r="R345">
        <f>I345-(K345*Standards!$I$15)</f>
        <v>4.5699999999999998E-2</v>
      </c>
      <c r="S345">
        <f t="shared" si="11"/>
        <v>4.2214999999999996E-2</v>
      </c>
      <c r="T345" t="s">
        <v>44</v>
      </c>
    </row>
    <row r="346" spans="1:31">
      <c r="A346">
        <v>30</v>
      </c>
      <c r="B346">
        <v>0</v>
      </c>
      <c r="C346">
        <v>4.8899999999999999E-2</v>
      </c>
      <c r="D346">
        <v>34.049999999999997</v>
      </c>
      <c r="E346">
        <v>0.113</v>
      </c>
      <c r="F346">
        <v>0</v>
      </c>
      <c r="G346">
        <v>0.29659999999999997</v>
      </c>
      <c r="H346">
        <v>9.9499999999999993</v>
      </c>
      <c r="I346">
        <v>3.1600000000000003E-2</v>
      </c>
      <c r="J346">
        <v>0.1522</v>
      </c>
      <c r="K346">
        <v>0</v>
      </c>
      <c r="L346">
        <v>56.13</v>
      </c>
      <c r="M346">
        <v>9.69E-2</v>
      </c>
      <c r="N346">
        <f t="shared" si="12"/>
        <v>100.86920000000001</v>
      </c>
      <c r="O346" t="s">
        <v>364</v>
      </c>
      <c r="Q346">
        <f t="shared" si="10"/>
        <v>66.08</v>
      </c>
      <c r="R346">
        <f>I346-(K346*Standards!$I$15)</f>
        <v>3.1600000000000003E-2</v>
      </c>
      <c r="S346">
        <f t="shared" si="11"/>
        <v>4.7320000000000001E-2</v>
      </c>
      <c r="T346" t="s">
        <v>44</v>
      </c>
    </row>
    <row r="347" spans="1:31">
      <c r="A347">
        <v>37</v>
      </c>
      <c r="B347">
        <v>0</v>
      </c>
      <c r="C347">
        <v>5.79E-2</v>
      </c>
      <c r="D347">
        <v>33.44</v>
      </c>
      <c r="E347">
        <v>0.1075</v>
      </c>
      <c r="F347">
        <v>6.7000000000000002E-3</v>
      </c>
      <c r="G347">
        <v>0.27129999999999999</v>
      </c>
      <c r="H347">
        <v>10.4</v>
      </c>
      <c r="I347">
        <v>3.4799999999999998E-2</v>
      </c>
      <c r="J347">
        <v>3.7199999999999997E-2</v>
      </c>
      <c r="K347">
        <v>0</v>
      </c>
      <c r="L347">
        <v>56.09</v>
      </c>
      <c r="M347">
        <v>0.10539999999999999</v>
      </c>
      <c r="N347">
        <f t="shared" si="12"/>
        <v>100.5508</v>
      </c>
      <c r="O347" t="s">
        <v>364</v>
      </c>
      <c r="Q347">
        <f t="shared" si="10"/>
        <v>66.490000000000009</v>
      </c>
      <c r="R347">
        <f>I347-(K347*Standards!$I$15)</f>
        <v>3.4799999999999998E-2</v>
      </c>
      <c r="S347">
        <f t="shared" si="11"/>
        <v>5.6160000000000002E-2</v>
      </c>
      <c r="T347" t="s">
        <v>44</v>
      </c>
    </row>
    <row r="348" spans="1:31">
      <c r="A348">
        <v>45</v>
      </c>
      <c r="B348">
        <v>0</v>
      </c>
      <c r="C348">
        <v>1.3899999999999999E-2</v>
      </c>
      <c r="D348">
        <v>33.54</v>
      </c>
      <c r="E348">
        <v>0.10059999999999999</v>
      </c>
      <c r="F348">
        <v>0</v>
      </c>
      <c r="G348">
        <v>0.25729999999999997</v>
      </c>
      <c r="H348">
        <v>10.37</v>
      </c>
      <c r="I348">
        <v>2.06E-2</v>
      </c>
      <c r="J348">
        <v>8.5400000000000004E-2</v>
      </c>
      <c r="K348">
        <v>0</v>
      </c>
      <c r="L348">
        <v>56.06</v>
      </c>
      <c r="M348">
        <v>0.10199999999999999</v>
      </c>
      <c r="N348">
        <f t="shared" si="12"/>
        <v>100.5498</v>
      </c>
      <c r="O348" t="s">
        <v>365</v>
      </c>
      <c r="Q348">
        <f t="shared" si="10"/>
        <v>66.430000000000007</v>
      </c>
      <c r="R348">
        <f>I348-(K348*Standards!$I$15)</f>
        <v>2.06E-2</v>
      </c>
      <c r="S348">
        <f t="shared" si="11"/>
        <v>1.2869999999999999E-2</v>
      </c>
      <c r="T348" t="s">
        <v>44</v>
      </c>
    </row>
    <row r="349" spans="1:31">
      <c r="A349">
        <v>46</v>
      </c>
      <c r="B349">
        <v>0</v>
      </c>
      <c r="C349">
        <v>2.7E-2</v>
      </c>
      <c r="D349">
        <v>33.74</v>
      </c>
      <c r="E349">
        <v>8.7900000000000006E-2</v>
      </c>
      <c r="F349">
        <v>0</v>
      </c>
      <c r="G349">
        <v>0.26840000000000003</v>
      </c>
      <c r="H349">
        <v>10.43</v>
      </c>
      <c r="I349">
        <v>1.9099999999999999E-2</v>
      </c>
      <c r="J349">
        <v>5.3499999999999999E-2</v>
      </c>
      <c r="K349">
        <v>0</v>
      </c>
      <c r="L349">
        <v>56.04</v>
      </c>
      <c r="M349">
        <v>0.1022</v>
      </c>
      <c r="N349">
        <f t="shared" si="12"/>
        <v>100.76809999999999</v>
      </c>
      <c r="O349" t="s">
        <v>365</v>
      </c>
      <c r="Q349">
        <f t="shared" si="10"/>
        <v>66.47</v>
      </c>
      <c r="R349">
        <f>I349-(K349*Standards!$I$15)</f>
        <v>1.9099999999999999E-2</v>
      </c>
      <c r="S349">
        <f t="shared" si="11"/>
        <v>2.6044999999999999E-2</v>
      </c>
      <c r="T349" t="s">
        <v>44</v>
      </c>
    </row>
    <row r="350" spans="1:31">
      <c r="A350">
        <v>40</v>
      </c>
      <c r="B350">
        <v>0</v>
      </c>
      <c r="C350">
        <v>3.1E-2</v>
      </c>
      <c r="D350">
        <v>33.99</v>
      </c>
      <c r="E350">
        <v>9.6600000000000005E-2</v>
      </c>
      <c r="F350">
        <v>0</v>
      </c>
      <c r="G350">
        <v>0.26650000000000001</v>
      </c>
      <c r="H350">
        <v>10.23</v>
      </c>
      <c r="I350">
        <v>3.3599999999999998E-2</v>
      </c>
      <c r="J350">
        <v>3.8699999999999998E-2</v>
      </c>
      <c r="K350">
        <v>0</v>
      </c>
      <c r="L350">
        <v>55.96</v>
      </c>
      <c r="M350">
        <v>9.1499999999999998E-2</v>
      </c>
      <c r="N350">
        <f t="shared" si="12"/>
        <v>100.7379</v>
      </c>
      <c r="O350" t="s">
        <v>364</v>
      </c>
      <c r="Q350">
        <f t="shared" si="10"/>
        <v>66.19</v>
      </c>
      <c r="R350">
        <f>I350-(K350*Standards!$I$15)</f>
        <v>3.3599999999999998E-2</v>
      </c>
      <c r="S350">
        <f t="shared" si="11"/>
        <v>2.9319999999999999E-2</v>
      </c>
      <c r="T350" t="s">
        <v>44</v>
      </c>
    </row>
    <row r="351" spans="1:31">
      <c r="A351">
        <v>31</v>
      </c>
      <c r="B351">
        <v>0</v>
      </c>
      <c r="C351">
        <v>2.98E-2</v>
      </c>
      <c r="D351">
        <v>33.64</v>
      </c>
      <c r="E351">
        <v>0.1018</v>
      </c>
      <c r="F351">
        <v>4.7000000000000002E-3</v>
      </c>
      <c r="G351">
        <v>0.2591</v>
      </c>
      <c r="H351">
        <v>10.53</v>
      </c>
      <c r="I351">
        <v>3.8399999999999997E-2</v>
      </c>
      <c r="J351">
        <v>3.8800000000000001E-2</v>
      </c>
      <c r="K351">
        <v>0</v>
      </c>
      <c r="L351">
        <v>55.93</v>
      </c>
      <c r="M351">
        <v>0.10050000000000001</v>
      </c>
      <c r="N351">
        <f t="shared" si="12"/>
        <v>100.67309999999999</v>
      </c>
      <c r="O351" t="s">
        <v>364</v>
      </c>
      <c r="Q351">
        <f t="shared" si="10"/>
        <v>66.459999999999994</v>
      </c>
      <c r="R351">
        <f>I351-(K351*Standards!$I$15)</f>
        <v>3.8399999999999997E-2</v>
      </c>
      <c r="S351">
        <f t="shared" si="11"/>
        <v>2.7880000000000002E-2</v>
      </c>
      <c r="T351" t="s">
        <v>44</v>
      </c>
    </row>
    <row r="352" spans="1:31">
      <c r="A352">
        <v>47</v>
      </c>
      <c r="B352">
        <v>0</v>
      </c>
      <c r="C352">
        <v>2.64E-2</v>
      </c>
      <c r="D352">
        <v>33.79</v>
      </c>
      <c r="E352">
        <v>0.10249999999999999</v>
      </c>
      <c r="F352">
        <v>0</v>
      </c>
      <c r="G352">
        <v>0.26300000000000001</v>
      </c>
      <c r="H352">
        <v>10.61</v>
      </c>
      <c r="I352">
        <v>3.5000000000000003E-2</v>
      </c>
      <c r="J352">
        <v>0.01</v>
      </c>
      <c r="K352">
        <v>0</v>
      </c>
      <c r="L352">
        <v>55.87</v>
      </c>
      <c r="M352">
        <v>9.8000000000000004E-2</v>
      </c>
      <c r="N352">
        <f t="shared" si="12"/>
        <v>100.80489999999999</v>
      </c>
      <c r="O352" t="s">
        <v>365</v>
      </c>
      <c r="Q352">
        <f t="shared" si="10"/>
        <v>66.47999999999999</v>
      </c>
      <c r="R352">
        <f>I352-(K352*Standards!$I$15)</f>
        <v>3.5000000000000003E-2</v>
      </c>
      <c r="S352">
        <f t="shared" si="11"/>
        <v>2.4649999999999998E-2</v>
      </c>
      <c r="T352" t="s">
        <v>44</v>
      </c>
    </row>
    <row r="353" spans="1:31">
      <c r="A353">
        <v>38</v>
      </c>
      <c r="B353">
        <v>0</v>
      </c>
      <c r="C353">
        <v>4.1500000000000002E-2</v>
      </c>
      <c r="D353">
        <v>33.630000000000003</v>
      </c>
      <c r="E353">
        <v>0.1074</v>
      </c>
      <c r="F353">
        <v>0</v>
      </c>
      <c r="G353">
        <v>0.26979999999999998</v>
      </c>
      <c r="H353">
        <v>10.44</v>
      </c>
      <c r="I353">
        <v>4.6600000000000003E-2</v>
      </c>
      <c r="J353">
        <v>0.1414</v>
      </c>
      <c r="K353">
        <v>0</v>
      </c>
      <c r="L353">
        <v>55.84</v>
      </c>
      <c r="M353">
        <v>9.4299999999999995E-2</v>
      </c>
      <c r="N353">
        <f t="shared" si="12"/>
        <v>100.61099999999999</v>
      </c>
      <c r="O353" t="s">
        <v>364</v>
      </c>
      <c r="Q353">
        <f t="shared" si="10"/>
        <v>66.28</v>
      </c>
      <c r="R353">
        <f>I353-(K353*Standards!$I$15)</f>
        <v>4.6600000000000003E-2</v>
      </c>
      <c r="S353">
        <f t="shared" si="11"/>
        <v>3.9170000000000003E-2</v>
      </c>
      <c r="T353" t="s">
        <v>44</v>
      </c>
    </row>
    <row r="354" spans="1:31">
      <c r="A354">
        <v>28</v>
      </c>
      <c r="B354">
        <v>0</v>
      </c>
      <c r="C354">
        <v>4.8500000000000001E-2</v>
      </c>
      <c r="D354">
        <v>33.65</v>
      </c>
      <c r="E354">
        <v>0.1142</v>
      </c>
      <c r="F354">
        <v>0</v>
      </c>
      <c r="G354">
        <v>0.30230000000000001</v>
      </c>
      <c r="H354">
        <v>10.01</v>
      </c>
      <c r="I354">
        <v>3.4299999999999997E-2</v>
      </c>
      <c r="J354">
        <v>0.32919999999999999</v>
      </c>
      <c r="K354">
        <v>0</v>
      </c>
      <c r="L354">
        <v>55.68</v>
      </c>
      <c r="M354">
        <v>0.10589999999999999</v>
      </c>
      <c r="N354">
        <f t="shared" si="12"/>
        <v>100.2744</v>
      </c>
      <c r="O354" t="s">
        <v>364</v>
      </c>
      <c r="Q354">
        <f t="shared" si="10"/>
        <v>65.69</v>
      </c>
      <c r="R354">
        <f>I354-(K354*Standards!$I$15)</f>
        <v>3.4299999999999997E-2</v>
      </c>
      <c r="S354">
        <f t="shared" si="11"/>
        <v>4.6785E-2</v>
      </c>
      <c r="T354" t="s">
        <v>44</v>
      </c>
    </row>
    <row r="355" spans="1:31">
      <c r="A355">
        <v>35</v>
      </c>
      <c r="B355">
        <v>0</v>
      </c>
      <c r="C355">
        <v>2.5600000000000001E-2</v>
      </c>
      <c r="D355">
        <v>33.619999999999997</v>
      </c>
      <c r="E355">
        <v>9.3600000000000003E-2</v>
      </c>
      <c r="F355">
        <v>0</v>
      </c>
      <c r="G355">
        <v>0.27110000000000001</v>
      </c>
      <c r="H355">
        <v>10.44</v>
      </c>
      <c r="I355">
        <v>3.8100000000000002E-2</v>
      </c>
      <c r="J355">
        <v>0.60089999999999999</v>
      </c>
      <c r="K355">
        <v>0</v>
      </c>
      <c r="L355">
        <v>55.16</v>
      </c>
      <c r="M355">
        <v>9.4600000000000004E-2</v>
      </c>
      <c r="N355">
        <f t="shared" si="12"/>
        <v>100.34389999999999</v>
      </c>
      <c r="O355" t="s">
        <v>364</v>
      </c>
      <c r="Q355">
        <f t="shared" si="10"/>
        <v>65.599999999999994</v>
      </c>
      <c r="R355">
        <f>I355-(K355*Standards!$I$15)</f>
        <v>3.8100000000000002E-2</v>
      </c>
      <c r="S355">
        <f t="shared" si="11"/>
        <v>2.3695000000000001E-2</v>
      </c>
      <c r="T355" t="s">
        <v>44</v>
      </c>
    </row>
    <row r="356" spans="1:31">
      <c r="A356">
        <v>51</v>
      </c>
      <c r="B356">
        <v>0</v>
      </c>
      <c r="C356">
        <v>3.6999999999999998E-2</v>
      </c>
      <c r="D356">
        <v>34.03</v>
      </c>
      <c r="E356">
        <v>0.1082</v>
      </c>
      <c r="F356">
        <v>0</v>
      </c>
      <c r="G356">
        <v>0.25740000000000002</v>
      </c>
      <c r="H356">
        <v>10.25</v>
      </c>
      <c r="I356">
        <v>2.1600000000000001E-2</v>
      </c>
      <c r="J356">
        <v>4.5400000000000003E-2</v>
      </c>
      <c r="K356">
        <v>0</v>
      </c>
      <c r="L356">
        <v>55.87</v>
      </c>
      <c r="M356">
        <v>8.7599999999999997E-2</v>
      </c>
      <c r="N356">
        <f t="shared" si="12"/>
        <v>100.70719999999999</v>
      </c>
      <c r="O356" t="s">
        <v>366</v>
      </c>
      <c r="Q356">
        <f t="shared" si="10"/>
        <v>66.12</v>
      </c>
      <c r="R356">
        <f>I356-(K356*Standards!$I$15)</f>
        <v>2.1600000000000001E-2</v>
      </c>
      <c r="S356">
        <f t="shared" si="11"/>
        <v>3.5920000000000001E-2</v>
      </c>
      <c r="T356" t="s">
        <v>44</v>
      </c>
    </row>
    <row r="357" spans="1:31">
      <c r="A357">
        <v>50</v>
      </c>
      <c r="B357">
        <v>0</v>
      </c>
      <c r="C357">
        <v>2.7300000000000001E-2</v>
      </c>
      <c r="D357">
        <v>34.06</v>
      </c>
      <c r="E357">
        <v>0.10979999999999999</v>
      </c>
      <c r="F357">
        <v>0</v>
      </c>
      <c r="G357">
        <v>0.2641</v>
      </c>
      <c r="H357">
        <v>10.57</v>
      </c>
      <c r="I357">
        <v>2.1100000000000001E-2</v>
      </c>
      <c r="J357">
        <v>5.8400000000000001E-2</v>
      </c>
      <c r="K357">
        <v>0</v>
      </c>
      <c r="L357">
        <v>55.57</v>
      </c>
      <c r="M357">
        <v>0.1074</v>
      </c>
      <c r="N357">
        <f t="shared" si="12"/>
        <v>100.7881</v>
      </c>
      <c r="O357" t="s">
        <v>366</v>
      </c>
      <c r="Q357">
        <f t="shared" si="10"/>
        <v>66.14</v>
      </c>
      <c r="R357">
        <f>I357-(K357*Standards!$I$15)</f>
        <v>2.1100000000000001E-2</v>
      </c>
      <c r="S357">
        <f t="shared" si="11"/>
        <v>2.6245000000000001E-2</v>
      </c>
      <c r="T357" t="s">
        <v>44</v>
      </c>
    </row>
    <row r="358" spans="1:31">
      <c r="A358">
        <v>54</v>
      </c>
      <c r="B358">
        <v>0</v>
      </c>
      <c r="C358">
        <v>4.1799999999999997E-2</v>
      </c>
      <c r="D358">
        <v>34.020000000000003</v>
      </c>
      <c r="E358">
        <v>8.7300000000000003E-2</v>
      </c>
      <c r="F358">
        <v>0</v>
      </c>
      <c r="G358">
        <v>0.25290000000000001</v>
      </c>
      <c r="H358">
        <v>10.28</v>
      </c>
      <c r="I358">
        <v>1.9900000000000001E-2</v>
      </c>
      <c r="J358">
        <v>5.74E-2</v>
      </c>
      <c r="K358">
        <v>0</v>
      </c>
      <c r="L358">
        <v>55.73</v>
      </c>
      <c r="M358">
        <v>0.1173</v>
      </c>
      <c r="N358">
        <f t="shared" si="12"/>
        <v>100.6066</v>
      </c>
      <c r="O358" t="s">
        <v>367</v>
      </c>
      <c r="Q358">
        <f t="shared" si="10"/>
        <v>66.009999999999991</v>
      </c>
      <c r="R358">
        <f>I358-(K358*Standards!$I$15)</f>
        <v>1.9900000000000001E-2</v>
      </c>
      <c r="S358">
        <f t="shared" si="11"/>
        <v>4.0804999999999994E-2</v>
      </c>
      <c r="T358" t="s">
        <v>44</v>
      </c>
    </row>
    <row r="359" spans="1:31">
      <c r="A359">
        <v>55</v>
      </c>
      <c r="B359">
        <v>0</v>
      </c>
      <c r="C359">
        <v>2.7699999999999999E-2</v>
      </c>
      <c r="D359">
        <v>33.97</v>
      </c>
      <c r="E359">
        <v>0.1169</v>
      </c>
      <c r="F359">
        <v>0</v>
      </c>
      <c r="G359">
        <v>0.30170000000000002</v>
      </c>
      <c r="H359">
        <v>10.42</v>
      </c>
      <c r="I359">
        <v>3.7400000000000003E-2</v>
      </c>
      <c r="J359">
        <v>9.3899999999999997E-2</v>
      </c>
      <c r="K359">
        <v>0</v>
      </c>
      <c r="L359">
        <v>55.64</v>
      </c>
      <c r="M359">
        <v>0.108</v>
      </c>
      <c r="N359">
        <f t="shared" si="12"/>
        <v>100.71559999999999</v>
      </c>
      <c r="O359" t="s">
        <v>367</v>
      </c>
      <c r="Q359">
        <f t="shared" si="10"/>
        <v>66.06</v>
      </c>
      <c r="R359">
        <f>I359-(K359*Standards!$I$15)</f>
        <v>3.7400000000000003E-2</v>
      </c>
      <c r="S359">
        <f t="shared" si="11"/>
        <v>2.5829999999999999E-2</v>
      </c>
      <c r="T359" t="s">
        <v>44</v>
      </c>
    </row>
    <row r="360" spans="1:31">
      <c r="A360">
        <v>53</v>
      </c>
      <c r="B360">
        <v>0</v>
      </c>
      <c r="C360">
        <v>1.89E-2</v>
      </c>
      <c r="D360">
        <v>33.979999999999997</v>
      </c>
      <c r="E360">
        <v>0.1153</v>
      </c>
      <c r="F360">
        <v>1.17E-2</v>
      </c>
      <c r="G360">
        <v>0.28720000000000001</v>
      </c>
      <c r="H360">
        <v>10.220000000000001</v>
      </c>
      <c r="I360">
        <v>3.61E-2</v>
      </c>
      <c r="J360">
        <v>0.13880000000000001</v>
      </c>
      <c r="K360">
        <v>0</v>
      </c>
      <c r="L360">
        <v>55.55</v>
      </c>
      <c r="M360">
        <v>0.10349999999999999</v>
      </c>
      <c r="N360">
        <f t="shared" si="12"/>
        <v>100.46149999999999</v>
      </c>
      <c r="O360" t="s">
        <v>367</v>
      </c>
      <c r="Q360">
        <f t="shared" si="10"/>
        <v>65.77</v>
      </c>
      <c r="R360">
        <f>I360-(K360*Standards!$I$15)</f>
        <v>3.61E-2</v>
      </c>
      <c r="S360">
        <f t="shared" si="11"/>
        <v>1.7094999999999999E-2</v>
      </c>
      <c r="T360" t="s">
        <v>44</v>
      </c>
    </row>
    <row r="361" spans="1:31">
      <c r="A361">
        <v>304</v>
      </c>
      <c r="B361">
        <v>0</v>
      </c>
      <c r="C361">
        <v>4.5400000000000003E-2</v>
      </c>
      <c r="D361">
        <v>33.83</v>
      </c>
      <c r="E361">
        <v>9.4899999999999998E-2</v>
      </c>
      <c r="F361">
        <v>0</v>
      </c>
      <c r="G361">
        <v>0.29709999999999998</v>
      </c>
      <c r="H361">
        <v>3.9</v>
      </c>
      <c r="I361">
        <v>0.12280000000000001</v>
      </c>
      <c r="J361">
        <v>0.1993</v>
      </c>
      <c r="K361">
        <v>0</v>
      </c>
      <c r="L361">
        <v>63.71</v>
      </c>
      <c r="M361">
        <v>8.1299999999999997E-2</v>
      </c>
      <c r="N361">
        <v>102.2807</v>
      </c>
      <c r="O361" t="s">
        <v>368</v>
      </c>
      <c r="Q361">
        <f t="shared" si="10"/>
        <v>67.61</v>
      </c>
      <c r="R361">
        <f>I361-(K361*Standards!$I$15)</f>
        <v>0.12280000000000001</v>
      </c>
      <c r="S361">
        <f t="shared" si="11"/>
        <v>3.9260000000000003E-2</v>
      </c>
      <c r="T361" t="s">
        <v>49</v>
      </c>
      <c r="U361">
        <f>COUNT(R361:R366)</f>
        <v>6</v>
      </c>
      <c r="V361">
        <f>MAX(H361:H366)</f>
        <v>4.1399999999999997</v>
      </c>
      <c r="W361">
        <f>AVERAGE(H361:H366)</f>
        <v>3.9649999999999999</v>
      </c>
      <c r="X361">
        <f>MAX(J361:J366)</f>
        <v>0.62150000000000005</v>
      </c>
      <c r="Y361">
        <f>AVERAGE(J361:J366)</f>
        <v>0.30906666666666666</v>
      </c>
      <c r="Z361">
        <f>10000*MAX(R361:R366)</f>
        <v>1953</v>
      </c>
      <c r="AA361">
        <f>10000*AVERAGE(R361:R366)</f>
        <v>1409.8333333333333</v>
      </c>
      <c r="AB361">
        <f>10000*MAX(G361:G366)</f>
        <v>2970.9999999999995</v>
      </c>
      <c r="AC361">
        <f>10000*AVERAGE(G361:G366)</f>
        <v>2929.833333333333</v>
      </c>
      <c r="AD361">
        <f>10000*MAX(S361:S366)</f>
        <v>438.9</v>
      </c>
      <c r="AE361">
        <f>10000*AVERAGE(S361:S366)</f>
        <v>370.67500000000001</v>
      </c>
    </row>
    <row r="362" spans="1:31">
      <c r="A362">
        <v>306</v>
      </c>
      <c r="B362">
        <v>0</v>
      </c>
      <c r="C362">
        <v>4.5600000000000002E-2</v>
      </c>
      <c r="D362">
        <v>33.869999999999997</v>
      </c>
      <c r="E362">
        <v>9.4200000000000006E-2</v>
      </c>
      <c r="F362">
        <v>0</v>
      </c>
      <c r="G362">
        <v>0.29389999999999999</v>
      </c>
      <c r="H362">
        <v>3.97</v>
      </c>
      <c r="I362">
        <v>0.1633</v>
      </c>
      <c r="J362">
        <v>0.20449999999999999</v>
      </c>
      <c r="K362">
        <v>0</v>
      </c>
      <c r="L362">
        <v>63.6</v>
      </c>
      <c r="M362">
        <v>7.4800000000000005E-2</v>
      </c>
      <c r="N362">
        <v>102.31619999999999</v>
      </c>
      <c r="O362" t="s">
        <v>368</v>
      </c>
      <c r="Q362">
        <f t="shared" si="10"/>
        <v>67.570000000000007</v>
      </c>
      <c r="R362">
        <f>I362-(K362*Standards!$I$15)</f>
        <v>0.1633</v>
      </c>
      <c r="S362">
        <f t="shared" si="11"/>
        <v>3.7435000000000003E-2</v>
      </c>
      <c r="T362" t="s">
        <v>49</v>
      </c>
    </row>
    <row r="363" spans="1:31">
      <c r="A363">
        <v>302</v>
      </c>
      <c r="B363">
        <v>0</v>
      </c>
      <c r="C363">
        <v>3.3799999999999997E-2</v>
      </c>
      <c r="D363">
        <v>34.15</v>
      </c>
      <c r="E363">
        <v>7.6100000000000001E-2</v>
      </c>
      <c r="F363">
        <v>0</v>
      </c>
      <c r="G363">
        <v>0.29549999999999998</v>
      </c>
      <c r="H363">
        <v>3.78</v>
      </c>
      <c r="I363">
        <v>0.1953</v>
      </c>
      <c r="J363">
        <v>0.3765</v>
      </c>
      <c r="K363">
        <v>0</v>
      </c>
      <c r="L363">
        <v>63.58</v>
      </c>
      <c r="M363">
        <v>5.8299999999999998E-2</v>
      </c>
      <c r="N363">
        <v>102.5454</v>
      </c>
      <c r="O363" t="s">
        <v>368</v>
      </c>
      <c r="Q363">
        <f t="shared" si="10"/>
        <v>67.36</v>
      </c>
      <c r="R363">
        <f>I363-(K363*Standards!$I$15)</f>
        <v>0.1953</v>
      </c>
      <c r="S363">
        <f t="shared" si="11"/>
        <v>2.4034999999999994E-2</v>
      </c>
      <c r="T363" t="s">
        <v>49</v>
      </c>
    </row>
    <row r="364" spans="1:31">
      <c r="A364">
        <v>301</v>
      </c>
      <c r="B364">
        <v>0</v>
      </c>
      <c r="C364">
        <v>4.6800000000000001E-2</v>
      </c>
      <c r="D364">
        <v>33.950000000000003</v>
      </c>
      <c r="E364">
        <v>9.5799999999999996E-2</v>
      </c>
      <c r="F364">
        <v>0</v>
      </c>
      <c r="G364">
        <v>0.28810000000000002</v>
      </c>
      <c r="H364">
        <v>4.05</v>
      </c>
      <c r="I364">
        <v>0.12239999999999999</v>
      </c>
      <c r="J364">
        <v>0.1696</v>
      </c>
      <c r="K364">
        <v>0</v>
      </c>
      <c r="L364">
        <v>63.45</v>
      </c>
      <c r="M364">
        <v>6.1600000000000002E-2</v>
      </c>
      <c r="N364">
        <v>102.2342</v>
      </c>
      <c r="O364" t="s">
        <v>368</v>
      </c>
      <c r="Q364">
        <f t="shared" si="10"/>
        <v>67.5</v>
      </c>
      <c r="R364">
        <f>I364-(K364*Standards!$I$15)</f>
        <v>0.12239999999999999</v>
      </c>
      <c r="S364">
        <f t="shared" si="11"/>
        <v>4.0680000000000001E-2</v>
      </c>
      <c r="T364" t="s">
        <v>49</v>
      </c>
    </row>
    <row r="365" spans="1:31">
      <c r="A365">
        <v>305</v>
      </c>
      <c r="B365">
        <v>0</v>
      </c>
      <c r="C365">
        <v>5.0200000000000002E-2</v>
      </c>
      <c r="D365">
        <v>33.56</v>
      </c>
      <c r="E365">
        <v>9.6699999999999994E-2</v>
      </c>
      <c r="F365">
        <v>1.11E-2</v>
      </c>
      <c r="G365">
        <v>0.29570000000000002</v>
      </c>
      <c r="H365">
        <v>3.95</v>
      </c>
      <c r="I365">
        <v>0.12620000000000001</v>
      </c>
      <c r="J365">
        <v>0.28299999999999997</v>
      </c>
      <c r="K365">
        <v>0</v>
      </c>
      <c r="L365">
        <v>63.34</v>
      </c>
      <c r="M365">
        <v>9.0700000000000003E-2</v>
      </c>
      <c r="N365">
        <v>101.8036</v>
      </c>
      <c r="O365" t="s">
        <v>368</v>
      </c>
      <c r="Q365">
        <f t="shared" si="10"/>
        <v>67.290000000000006</v>
      </c>
      <c r="R365">
        <f>I365-(K365*Standards!$I$15)</f>
        <v>0.12620000000000001</v>
      </c>
      <c r="S365">
        <f t="shared" si="11"/>
        <v>4.3889999999999998E-2</v>
      </c>
      <c r="T365" t="s">
        <v>49</v>
      </c>
    </row>
    <row r="366" spans="1:31">
      <c r="A366">
        <v>303</v>
      </c>
      <c r="B366">
        <v>0</v>
      </c>
      <c r="C366">
        <v>4.2900000000000001E-2</v>
      </c>
      <c r="D366">
        <v>33.869999999999997</v>
      </c>
      <c r="E366">
        <v>0.1419</v>
      </c>
      <c r="F366">
        <v>0</v>
      </c>
      <c r="G366">
        <v>0.28760000000000002</v>
      </c>
      <c r="H366">
        <v>4.1399999999999997</v>
      </c>
      <c r="I366">
        <v>0.1159</v>
      </c>
      <c r="J366">
        <v>0.62150000000000005</v>
      </c>
      <c r="K366">
        <v>0</v>
      </c>
      <c r="L366">
        <v>62.94</v>
      </c>
      <c r="M366">
        <v>7.0300000000000001E-2</v>
      </c>
      <c r="N366">
        <v>102.23</v>
      </c>
      <c r="O366" t="s">
        <v>368</v>
      </c>
      <c r="Q366">
        <f t="shared" si="10"/>
        <v>67.08</v>
      </c>
      <c r="R366">
        <f>I366-(K366*Standards!$I$15)</f>
        <v>0.1159</v>
      </c>
      <c r="S366">
        <f t="shared" si="11"/>
        <v>3.7104999999999999E-2</v>
      </c>
      <c r="T366" t="s">
        <v>49</v>
      </c>
    </row>
    <row r="367" spans="1:31">
      <c r="A367">
        <v>9</v>
      </c>
      <c r="B367">
        <v>0</v>
      </c>
      <c r="C367">
        <v>3.4200000000000001E-2</v>
      </c>
      <c r="D367">
        <v>33.9</v>
      </c>
      <c r="E367">
        <v>7.2099999999999997E-2</v>
      </c>
      <c r="F367">
        <v>0</v>
      </c>
      <c r="G367">
        <v>0.1618</v>
      </c>
      <c r="H367">
        <v>2.63</v>
      </c>
      <c r="I367">
        <v>5.0099999999999999E-2</v>
      </c>
      <c r="J367">
        <v>3.1199999999999999E-2</v>
      </c>
      <c r="K367">
        <v>0</v>
      </c>
      <c r="L367">
        <v>65.06</v>
      </c>
      <c r="M367">
        <v>0.13350000000000001</v>
      </c>
      <c r="N367">
        <v>102.0728</v>
      </c>
      <c r="O367" t="s">
        <v>369</v>
      </c>
      <c r="Q367">
        <f t="shared" si="10"/>
        <v>67.69</v>
      </c>
      <c r="R367">
        <f>I367-(K367*Standards!$I$15)</f>
        <v>5.0099999999999999E-2</v>
      </c>
      <c r="S367">
        <f t="shared" si="11"/>
        <v>3.1695000000000001E-2</v>
      </c>
      <c r="T367" t="s">
        <v>53</v>
      </c>
      <c r="U367">
        <f>COUNT(R367:R430)</f>
        <v>64</v>
      </c>
      <c r="V367">
        <f>MAX(H367:H430)</f>
        <v>8.35</v>
      </c>
      <c r="W367">
        <f>AVERAGE(H367:H430)</f>
        <v>6.2429687500000002</v>
      </c>
      <c r="X367">
        <f>MAX(J367:J430)</f>
        <v>0.72470000000000001</v>
      </c>
      <c r="Y367">
        <f>AVERAGE(J367:J430)</f>
        <v>7.6621875000000006E-2</v>
      </c>
      <c r="Z367">
        <f>10000*MAX(R367:R430)</f>
        <v>13600.000000000002</v>
      </c>
      <c r="AA367">
        <f>10000*AVERAGE(R367:R430)</f>
        <v>1010.5646724609376</v>
      </c>
      <c r="AB367">
        <f>10000*MAX(G367:G430)</f>
        <v>1684</v>
      </c>
      <c r="AC367">
        <f>10000*AVERAGE(G367:G430)</f>
        <v>1402.6562499999998</v>
      </c>
      <c r="AD367">
        <f>10000*MAX(S367:S430)</f>
        <v>517.25</v>
      </c>
      <c r="AE367">
        <f>10000*AVERAGE(S367:S430)</f>
        <v>315.13828125000003</v>
      </c>
    </row>
    <row r="368" spans="1:31">
      <c r="A368">
        <v>13</v>
      </c>
      <c r="B368">
        <v>0</v>
      </c>
      <c r="C368">
        <v>3.1600000000000003E-2</v>
      </c>
      <c r="D368">
        <v>33.96</v>
      </c>
      <c r="E368">
        <v>7.1099999999999997E-2</v>
      </c>
      <c r="F368">
        <v>0</v>
      </c>
      <c r="G368">
        <v>0.15160000000000001</v>
      </c>
      <c r="H368">
        <v>7.22</v>
      </c>
      <c r="I368">
        <v>5.5199999999999999E-2</v>
      </c>
      <c r="J368">
        <v>3.6799999999999999E-2</v>
      </c>
      <c r="K368">
        <v>0</v>
      </c>
      <c r="L368">
        <v>59.91</v>
      </c>
      <c r="M368">
        <v>0.1069</v>
      </c>
      <c r="N368">
        <v>101.5431</v>
      </c>
      <c r="O368" t="s">
        <v>369</v>
      </c>
      <c r="Q368">
        <f t="shared" si="10"/>
        <v>67.13</v>
      </c>
      <c r="R368">
        <f>I368-(K368*Standards!$I$15)</f>
        <v>5.5199999999999999E-2</v>
      </c>
      <c r="S368">
        <f t="shared" si="11"/>
        <v>2.8840000000000005E-2</v>
      </c>
      <c r="T368" t="s">
        <v>53</v>
      </c>
    </row>
    <row r="369" spans="1:20">
      <c r="A369">
        <v>11</v>
      </c>
      <c r="B369">
        <v>0</v>
      </c>
      <c r="C369">
        <v>3.4000000000000002E-2</v>
      </c>
      <c r="D369">
        <v>33.96</v>
      </c>
      <c r="E369">
        <v>7.3899999999999993E-2</v>
      </c>
      <c r="F369">
        <v>0</v>
      </c>
      <c r="G369">
        <v>0.15260000000000001</v>
      </c>
      <c r="H369">
        <v>7.25</v>
      </c>
      <c r="I369">
        <v>6.2899999999999998E-2</v>
      </c>
      <c r="J369">
        <v>2.6599999999999999E-2</v>
      </c>
      <c r="K369">
        <v>0</v>
      </c>
      <c r="L369">
        <v>59.81</v>
      </c>
      <c r="M369">
        <v>0.1245</v>
      </c>
      <c r="N369">
        <v>101.4944</v>
      </c>
      <c r="O369" t="s">
        <v>369</v>
      </c>
      <c r="Q369">
        <f t="shared" si="10"/>
        <v>67.06</v>
      </c>
      <c r="R369">
        <f>I369-(K369*Standards!$I$15)</f>
        <v>6.2899999999999998E-2</v>
      </c>
      <c r="S369">
        <f t="shared" si="11"/>
        <v>3.0855E-2</v>
      </c>
      <c r="T369" t="s">
        <v>53</v>
      </c>
    </row>
    <row r="370" spans="1:20">
      <c r="A370">
        <v>12</v>
      </c>
      <c r="B370">
        <v>0</v>
      </c>
      <c r="C370">
        <v>3.2800000000000003E-2</v>
      </c>
      <c r="D370">
        <v>34.020000000000003</v>
      </c>
      <c r="E370">
        <v>7.7100000000000002E-2</v>
      </c>
      <c r="F370">
        <v>0</v>
      </c>
      <c r="G370">
        <v>0.13819999999999999</v>
      </c>
      <c r="H370">
        <v>7.17</v>
      </c>
      <c r="I370">
        <v>4.8599999999999997E-2</v>
      </c>
      <c r="J370">
        <v>2.7699999999999999E-2</v>
      </c>
      <c r="K370">
        <v>0</v>
      </c>
      <c r="L370">
        <v>59.69</v>
      </c>
      <c r="M370">
        <v>0.11990000000000001</v>
      </c>
      <c r="N370">
        <v>101.3242</v>
      </c>
      <c r="O370" t="s">
        <v>369</v>
      </c>
      <c r="Q370">
        <f t="shared" si="10"/>
        <v>66.86</v>
      </c>
      <c r="R370">
        <f>I370-(K370*Standards!$I$15)</f>
        <v>4.8599999999999997E-2</v>
      </c>
      <c r="S370">
        <f t="shared" si="11"/>
        <v>3.0370000000000001E-2</v>
      </c>
      <c r="T370" t="s">
        <v>53</v>
      </c>
    </row>
    <row r="371" spans="1:20">
      <c r="A371">
        <v>10</v>
      </c>
      <c r="B371">
        <v>0</v>
      </c>
      <c r="C371">
        <v>2.4E-2</v>
      </c>
      <c r="D371">
        <v>34</v>
      </c>
      <c r="E371">
        <v>6.59E-2</v>
      </c>
      <c r="F371">
        <v>0</v>
      </c>
      <c r="G371">
        <v>0.14649999999999999</v>
      </c>
      <c r="H371">
        <v>7.38</v>
      </c>
      <c r="I371">
        <v>0.15579999999999999</v>
      </c>
      <c r="J371">
        <v>0.1183</v>
      </c>
      <c r="K371">
        <v>0</v>
      </c>
      <c r="L371">
        <v>59.33</v>
      </c>
      <c r="M371">
        <v>0.1363</v>
      </c>
      <c r="N371">
        <v>101.35680000000001</v>
      </c>
      <c r="O371" t="s">
        <v>369</v>
      </c>
      <c r="Q371">
        <f t="shared" si="10"/>
        <v>66.709999999999994</v>
      </c>
      <c r="R371">
        <f>I371-(K371*Standards!$I$15)</f>
        <v>0.15579999999999999</v>
      </c>
      <c r="S371">
        <f t="shared" si="11"/>
        <v>1.6210000000000002E-2</v>
      </c>
      <c r="T371" t="s">
        <v>53</v>
      </c>
    </row>
    <row r="372" spans="1:20">
      <c r="A372">
        <v>8</v>
      </c>
      <c r="B372">
        <v>0</v>
      </c>
      <c r="C372">
        <v>5.9499999999999997E-2</v>
      </c>
      <c r="D372">
        <v>33.950000000000003</v>
      </c>
      <c r="E372">
        <v>5.1499999999999997E-2</v>
      </c>
      <c r="F372">
        <v>0</v>
      </c>
      <c r="G372">
        <v>0.13830000000000001</v>
      </c>
      <c r="H372">
        <v>7.54</v>
      </c>
      <c r="I372">
        <v>0.63380000000000003</v>
      </c>
      <c r="J372">
        <v>0.4264</v>
      </c>
      <c r="K372">
        <v>0</v>
      </c>
      <c r="L372">
        <v>58.6</v>
      </c>
      <c r="M372">
        <v>0.13669999999999999</v>
      </c>
      <c r="N372">
        <v>101.53619999999999</v>
      </c>
      <c r="O372" t="s">
        <v>369</v>
      </c>
      <c r="Q372">
        <f t="shared" si="10"/>
        <v>66.14</v>
      </c>
      <c r="R372">
        <f>I372-(K372*Standards!$I$15)</f>
        <v>0.63380000000000003</v>
      </c>
      <c r="S372">
        <f t="shared" si="11"/>
        <v>2.7809999999999994E-2</v>
      </c>
      <c r="T372" t="s">
        <v>53</v>
      </c>
    </row>
    <row r="373" spans="1:20">
      <c r="A373">
        <v>7</v>
      </c>
      <c r="B373">
        <v>0</v>
      </c>
      <c r="C373">
        <v>4.24E-2</v>
      </c>
      <c r="D373">
        <v>33.880000000000003</v>
      </c>
      <c r="E373">
        <v>7.6700000000000004E-2</v>
      </c>
      <c r="F373">
        <v>0</v>
      </c>
      <c r="G373">
        <v>0.1363</v>
      </c>
      <c r="H373">
        <v>7.52</v>
      </c>
      <c r="I373">
        <v>0.4209</v>
      </c>
      <c r="J373">
        <v>0.46550000000000002</v>
      </c>
      <c r="K373">
        <v>0.1164</v>
      </c>
      <c r="L373">
        <v>58.55</v>
      </c>
      <c r="M373">
        <v>0.1386</v>
      </c>
      <c r="N373">
        <v>101.3467</v>
      </c>
      <c r="O373" t="s">
        <v>369</v>
      </c>
      <c r="Q373">
        <f t="shared" si="10"/>
        <v>66.069999999999993</v>
      </c>
      <c r="R373">
        <f>I373-(K373*Standards!$I$15)</f>
        <v>0.42064246500000002</v>
      </c>
      <c r="S373">
        <f t="shared" si="11"/>
        <v>2.1354999999999999E-2</v>
      </c>
      <c r="T373" t="s">
        <v>53</v>
      </c>
    </row>
    <row r="374" spans="1:20">
      <c r="A374">
        <v>17</v>
      </c>
      <c r="B374">
        <v>0</v>
      </c>
      <c r="C374">
        <v>3.5299999999999998E-2</v>
      </c>
      <c r="D374">
        <v>33.840000000000003</v>
      </c>
      <c r="E374">
        <v>6.7699999999999996E-2</v>
      </c>
      <c r="F374">
        <v>5.3E-3</v>
      </c>
      <c r="G374">
        <v>0.14099999999999999</v>
      </c>
      <c r="H374">
        <v>2.44</v>
      </c>
      <c r="I374">
        <v>0</v>
      </c>
      <c r="J374">
        <v>0</v>
      </c>
      <c r="K374">
        <v>0</v>
      </c>
      <c r="L374">
        <v>65.52</v>
      </c>
      <c r="M374">
        <v>0.1119</v>
      </c>
      <c r="N374">
        <v>102.1611</v>
      </c>
      <c r="O374" t="s">
        <v>179</v>
      </c>
      <c r="Q374">
        <f t="shared" si="10"/>
        <v>67.959999999999994</v>
      </c>
      <c r="R374">
        <f>I374-(K374*Standards!$I$15)</f>
        <v>0</v>
      </c>
      <c r="S374">
        <f t="shared" si="11"/>
        <v>3.5299999999999998E-2</v>
      </c>
      <c r="T374" t="s">
        <v>53</v>
      </c>
    </row>
    <row r="375" spans="1:20">
      <c r="A375">
        <v>19</v>
      </c>
      <c r="B375">
        <v>0</v>
      </c>
      <c r="C375">
        <v>2.64E-2</v>
      </c>
      <c r="D375">
        <v>33.869999999999997</v>
      </c>
      <c r="E375">
        <v>7.4999999999999997E-2</v>
      </c>
      <c r="F375">
        <v>0</v>
      </c>
      <c r="G375">
        <v>0.14269999999999999</v>
      </c>
      <c r="H375">
        <v>2.4300000000000002</v>
      </c>
      <c r="I375">
        <v>4.0000000000000002E-4</v>
      </c>
      <c r="J375">
        <v>0</v>
      </c>
      <c r="K375">
        <v>0</v>
      </c>
      <c r="L375">
        <v>65.47</v>
      </c>
      <c r="M375">
        <v>8.0399999999999999E-2</v>
      </c>
      <c r="N375">
        <v>102.09480000000001</v>
      </c>
      <c r="O375" t="s">
        <v>179</v>
      </c>
      <c r="Q375">
        <f t="shared" si="10"/>
        <v>67.900000000000006</v>
      </c>
      <c r="R375">
        <f>I375-(K375*Standards!$I$15)</f>
        <v>4.0000000000000002E-4</v>
      </c>
      <c r="S375">
        <f t="shared" si="11"/>
        <v>2.6380000000000001E-2</v>
      </c>
      <c r="T375" t="s">
        <v>53</v>
      </c>
    </row>
    <row r="376" spans="1:20">
      <c r="A376">
        <v>18</v>
      </c>
      <c r="B376">
        <v>0</v>
      </c>
      <c r="C376">
        <v>2.8899999999999999E-2</v>
      </c>
      <c r="D376">
        <v>33.68</v>
      </c>
      <c r="E376">
        <v>5.0900000000000001E-2</v>
      </c>
      <c r="F376">
        <v>0</v>
      </c>
      <c r="G376">
        <v>0.1166</v>
      </c>
      <c r="H376">
        <v>2.31</v>
      </c>
      <c r="I376">
        <v>0</v>
      </c>
      <c r="J376">
        <v>0</v>
      </c>
      <c r="K376">
        <v>0</v>
      </c>
      <c r="L376">
        <v>65.290000000000006</v>
      </c>
      <c r="M376">
        <v>0.1157</v>
      </c>
      <c r="N376">
        <v>101.592</v>
      </c>
      <c r="O376" t="s">
        <v>179</v>
      </c>
      <c r="Q376">
        <f t="shared" si="10"/>
        <v>67.600000000000009</v>
      </c>
      <c r="R376">
        <f>I376-(K376*Standards!$I$15)</f>
        <v>0</v>
      </c>
      <c r="S376">
        <f t="shared" si="11"/>
        <v>2.8899999999999999E-2</v>
      </c>
      <c r="T376" t="s">
        <v>53</v>
      </c>
    </row>
    <row r="377" spans="1:20">
      <c r="A377">
        <v>21</v>
      </c>
      <c r="B377">
        <v>0</v>
      </c>
      <c r="C377">
        <v>1.2200000000000001E-2</v>
      </c>
      <c r="D377">
        <v>33.880000000000003</v>
      </c>
      <c r="E377">
        <v>6.9199999999999998E-2</v>
      </c>
      <c r="F377">
        <v>0</v>
      </c>
      <c r="G377">
        <v>0.13250000000000001</v>
      </c>
      <c r="H377">
        <v>2.46</v>
      </c>
      <c r="I377">
        <v>8.5000000000000006E-3</v>
      </c>
      <c r="J377">
        <v>8.3999999999999995E-3</v>
      </c>
      <c r="K377">
        <v>0</v>
      </c>
      <c r="L377">
        <v>65.150000000000006</v>
      </c>
      <c r="M377">
        <v>0.1246</v>
      </c>
      <c r="N377">
        <v>101.84529999999999</v>
      </c>
      <c r="O377" t="s">
        <v>179</v>
      </c>
      <c r="Q377">
        <f t="shared" si="10"/>
        <v>67.61</v>
      </c>
      <c r="R377">
        <f>I377-(K377*Standards!$I$15)</f>
        <v>8.5000000000000006E-3</v>
      </c>
      <c r="S377">
        <f t="shared" si="11"/>
        <v>1.1775000000000001E-2</v>
      </c>
      <c r="T377" t="s">
        <v>53</v>
      </c>
    </row>
    <row r="378" spans="1:20">
      <c r="A378">
        <v>20</v>
      </c>
      <c r="B378">
        <v>0</v>
      </c>
      <c r="C378">
        <v>7.2300000000000003E-2</v>
      </c>
      <c r="D378">
        <v>33.65</v>
      </c>
      <c r="E378">
        <v>5.9200000000000003E-2</v>
      </c>
      <c r="F378">
        <v>0</v>
      </c>
      <c r="G378">
        <v>0.13089999999999999</v>
      </c>
      <c r="H378">
        <v>2.42</v>
      </c>
      <c r="I378">
        <v>0.50870000000000004</v>
      </c>
      <c r="J378">
        <v>0.28460000000000002</v>
      </c>
      <c r="K378">
        <v>0</v>
      </c>
      <c r="L378">
        <v>64.63</v>
      </c>
      <c r="M378">
        <v>0.1459</v>
      </c>
      <c r="N378">
        <v>101.9016</v>
      </c>
      <c r="O378" t="s">
        <v>179</v>
      </c>
      <c r="Q378">
        <f t="shared" si="10"/>
        <v>67.05</v>
      </c>
      <c r="R378">
        <f>I378-(K378*Standards!$I$15)</f>
        <v>0.50870000000000004</v>
      </c>
      <c r="S378">
        <f t="shared" si="11"/>
        <v>4.6865000000000004E-2</v>
      </c>
      <c r="T378" t="s">
        <v>53</v>
      </c>
    </row>
    <row r="379" spans="1:20">
      <c r="A379">
        <v>45</v>
      </c>
      <c r="B379">
        <v>0</v>
      </c>
      <c r="C379">
        <v>4.7199999999999999E-2</v>
      </c>
      <c r="D379">
        <v>33.79</v>
      </c>
      <c r="E379">
        <v>7.7899999999999997E-2</v>
      </c>
      <c r="F379">
        <v>0</v>
      </c>
      <c r="G379">
        <v>0.13389999999999999</v>
      </c>
      <c r="H379">
        <v>2.6</v>
      </c>
      <c r="I379">
        <v>6.9199999999999998E-2</v>
      </c>
      <c r="J379">
        <v>2.4400000000000002E-2</v>
      </c>
      <c r="K379">
        <v>0</v>
      </c>
      <c r="L379">
        <v>64.58</v>
      </c>
      <c r="M379">
        <v>0.12820000000000001</v>
      </c>
      <c r="N379">
        <v>101.4507</v>
      </c>
      <c r="O379" t="s">
        <v>179</v>
      </c>
      <c r="Q379">
        <f t="shared" si="10"/>
        <v>67.179999999999993</v>
      </c>
      <c r="R379">
        <f>I379-(K379*Standards!$I$15)</f>
        <v>6.9199999999999998E-2</v>
      </c>
      <c r="S379">
        <f t="shared" si="11"/>
        <v>4.3740000000000001E-2</v>
      </c>
      <c r="T379" t="s">
        <v>53</v>
      </c>
    </row>
    <row r="380" spans="1:20">
      <c r="A380">
        <v>49</v>
      </c>
      <c r="B380">
        <v>0</v>
      </c>
      <c r="C380">
        <v>3.9399999999999998E-2</v>
      </c>
      <c r="D380">
        <v>33.590000000000003</v>
      </c>
      <c r="E380">
        <v>4.3400000000000001E-2</v>
      </c>
      <c r="F380">
        <v>0</v>
      </c>
      <c r="G380">
        <v>0.1229</v>
      </c>
      <c r="H380">
        <v>2.3199999999999998</v>
      </c>
      <c r="I380">
        <v>2.1899999999999999E-2</v>
      </c>
      <c r="J380">
        <v>0</v>
      </c>
      <c r="K380">
        <v>0</v>
      </c>
      <c r="L380">
        <v>64.55</v>
      </c>
      <c r="M380">
        <v>9.1800000000000007E-2</v>
      </c>
      <c r="N380">
        <v>100.77930000000001</v>
      </c>
      <c r="O380" t="s">
        <v>179</v>
      </c>
      <c r="Q380">
        <f t="shared" si="10"/>
        <v>66.86999999999999</v>
      </c>
      <c r="R380">
        <f>I380-(K380*Standards!$I$15)</f>
        <v>2.1899999999999999E-2</v>
      </c>
      <c r="S380">
        <f t="shared" si="11"/>
        <v>3.8304999999999999E-2</v>
      </c>
      <c r="T380" t="s">
        <v>53</v>
      </c>
    </row>
    <row r="381" spans="1:20">
      <c r="A381">
        <v>46</v>
      </c>
      <c r="B381">
        <v>0</v>
      </c>
      <c r="C381">
        <v>3.4799999999999998E-2</v>
      </c>
      <c r="D381">
        <v>33.770000000000003</v>
      </c>
      <c r="E381">
        <v>6.3299999999999995E-2</v>
      </c>
      <c r="F381">
        <v>0</v>
      </c>
      <c r="G381">
        <v>0.1386</v>
      </c>
      <c r="H381">
        <v>2.67</v>
      </c>
      <c r="I381">
        <v>9.0300000000000005E-2</v>
      </c>
      <c r="J381">
        <v>2.7400000000000001E-2</v>
      </c>
      <c r="K381">
        <v>0</v>
      </c>
      <c r="L381">
        <v>64.48</v>
      </c>
      <c r="M381">
        <v>0.1202</v>
      </c>
      <c r="N381">
        <v>101.3946</v>
      </c>
      <c r="O381" t="s">
        <v>179</v>
      </c>
      <c r="Q381">
        <f t="shared" si="10"/>
        <v>67.150000000000006</v>
      </c>
      <c r="R381">
        <f>I381-(K381*Standards!$I$15)</f>
        <v>9.0300000000000005E-2</v>
      </c>
      <c r="S381">
        <f t="shared" si="11"/>
        <v>3.0284999999999996E-2</v>
      </c>
      <c r="T381" t="s">
        <v>53</v>
      </c>
    </row>
    <row r="382" spans="1:20">
      <c r="A382">
        <v>48</v>
      </c>
      <c r="B382">
        <v>0</v>
      </c>
      <c r="C382">
        <v>4.0099999999999997E-2</v>
      </c>
      <c r="D382">
        <v>33.81</v>
      </c>
      <c r="E382">
        <v>6.0600000000000001E-2</v>
      </c>
      <c r="F382">
        <v>0</v>
      </c>
      <c r="G382">
        <v>0.14119999999999999</v>
      </c>
      <c r="H382">
        <v>2.65</v>
      </c>
      <c r="I382">
        <v>6.6799999999999998E-2</v>
      </c>
      <c r="J382">
        <v>0.19409999999999999</v>
      </c>
      <c r="K382">
        <v>0.1109</v>
      </c>
      <c r="L382">
        <v>64.260000000000005</v>
      </c>
      <c r="M382">
        <v>0.11219999999999999</v>
      </c>
      <c r="N382">
        <v>101.44589999999999</v>
      </c>
      <c r="O382" t="s">
        <v>179</v>
      </c>
      <c r="Q382">
        <f t="shared" si="10"/>
        <v>66.910000000000011</v>
      </c>
      <c r="R382">
        <f>I382-(K382*Standards!$I$15)</f>
        <v>6.6554633749999995E-2</v>
      </c>
      <c r="S382">
        <f t="shared" si="11"/>
        <v>3.6759999999999994E-2</v>
      </c>
      <c r="T382" t="s">
        <v>53</v>
      </c>
    </row>
    <row r="383" spans="1:20">
      <c r="A383">
        <v>47</v>
      </c>
      <c r="B383">
        <v>0</v>
      </c>
      <c r="C383">
        <v>3.9899999999999998E-2</v>
      </c>
      <c r="D383">
        <v>33.58</v>
      </c>
      <c r="E383">
        <v>5.8900000000000001E-2</v>
      </c>
      <c r="F383">
        <v>0</v>
      </c>
      <c r="G383">
        <v>0.1421</v>
      </c>
      <c r="H383">
        <v>2.79</v>
      </c>
      <c r="I383">
        <v>9.2499999999999999E-2</v>
      </c>
      <c r="J383">
        <v>4.2799999999999998E-2</v>
      </c>
      <c r="K383">
        <v>0</v>
      </c>
      <c r="L383">
        <v>63.72</v>
      </c>
      <c r="M383">
        <v>0.10970000000000001</v>
      </c>
      <c r="N383">
        <v>100.5759</v>
      </c>
      <c r="O383" t="s">
        <v>179</v>
      </c>
      <c r="Q383">
        <f t="shared" si="10"/>
        <v>66.510000000000005</v>
      </c>
      <c r="R383">
        <f>I383-(K383*Standards!$I$15)</f>
        <v>9.2499999999999999E-2</v>
      </c>
      <c r="S383">
        <f t="shared" si="11"/>
        <v>3.5275000000000001E-2</v>
      </c>
      <c r="T383" t="s">
        <v>53</v>
      </c>
    </row>
    <row r="384" spans="1:20">
      <c r="A384">
        <v>50</v>
      </c>
      <c r="B384">
        <v>0</v>
      </c>
      <c r="C384">
        <v>0.1135</v>
      </c>
      <c r="D384">
        <v>33.630000000000003</v>
      </c>
      <c r="E384">
        <v>3.49E-2</v>
      </c>
      <c r="F384">
        <v>0</v>
      </c>
      <c r="G384">
        <v>0.1283</v>
      </c>
      <c r="H384">
        <v>2.4700000000000002</v>
      </c>
      <c r="I384">
        <v>1.36</v>
      </c>
      <c r="J384">
        <v>0.72470000000000001</v>
      </c>
      <c r="K384">
        <v>0</v>
      </c>
      <c r="L384">
        <v>62.51</v>
      </c>
      <c r="M384">
        <v>0.10349999999999999</v>
      </c>
      <c r="N384">
        <v>101.0749</v>
      </c>
      <c r="O384" t="s">
        <v>179</v>
      </c>
      <c r="Q384">
        <f t="shared" si="10"/>
        <v>64.98</v>
      </c>
      <c r="R384">
        <f>I384-(K384*Standards!$I$15)</f>
        <v>1.36</v>
      </c>
      <c r="S384">
        <f t="shared" si="11"/>
        <v>4.5499999999999999E-2</v>
      </c>
      <c r="T384" t="s">
        <v>53</v>
      </c>
    </row>
    <row r="385" spans="1:20">
      <c r="A385">
        <v>84</v>
      </c>
      <c r="B385">
        <v>0</v>
      </c>
      <c r="C385">
        <v>3.5000000000000001E-3</v>
      </c>
      <c r="D385">
        <v>33.950000000000003</v>
      </c>
      <c r="E385">
        <v>5.8500000000000003E-2</v>
      </c>
      <c r="F385">
        <v>0</v>
      </c>
      <c r="G385">
        <v>0.14149999999999999</v>
      </c>
      <c r="H385">
        <v>6.66</v>
      </c>
      <c r="I385">
        <v>3.6700000000000003E-2</v>
      </c>
      <c r="J385">
        <v>1.1299999999999999E-2</v>
      </c>
      <c r="K385">
        <v>0</v>
      </c>
      <c r="L385">
        <v>60.24</v>
      </c>
      <c r="M385">
        <v>9.64E-2</v>
      </c>
      <c r="N385">
        <v>101.1978</v>
      </c>
      <c r="O385" t="s">
        <v>179</v>
      </c>
      <c r="Q385">
        <f t="shared" si="10"/>
        <v>66.900000000000006</v>
      </c>
      <c r="R385">
        <f>I385-(K385*Standards!$I$15)</f>
        <v>3.6700000000000003E-2</v>
      </c>
      <c r="S385">
        <f t="shared" si="11"/>
        <v>1.6649999999999998E-3</v>
      </c>
      <c r="T385" t="s">
        <v>53</v>
      </c>
    </row>
    <row r="386" spans="1:20">
      <c r="A386">
        <v>23</v>
      </c>
      <c r="B386">
        <v>0</v>
      </c>
      <c r="C386">
        <v>3.2800000000000003E-2</v>
      </c>
      <c r="D386">
        <v>34</v>
      </c>
      <c r="E386">
        <v>5.8799999999999998E-2</v>
      </c>
      <c r="F386">
        <v>0</v>
      </c>
      <c r="G386">
        <v>0.1389</v>
      </c>
      <c r="H386">
        <v>6.86</v>
      </c>
      <c r="I386">
        <v>7.0199999999999999E-2</v>
      </c>
      <c r="J386">
        <v>2.69E-2</v>
      </c>
      <c r="K386">
        <v>0</v>
      </c>
      <c r="L386">
        <v>60.19</v>
      </c>
      <c r="M386">
        <v>0.13789999999999999</v>
      </c>
      <c r="N386">
        <v>101.5154</v>
      </c>
      <c r="O386" t="s">
        <v>179</v>
      </c>
      <c r="Q386">
        <f t="shared" si="10"/>
        <v>67.05</v>
      </c>
      <c r="R386">
        <f>I386-(K386*Standards!$I$15)</f>
        <v>7.0199999999999999E-2</v>
      </c>
      <c r="S386">
        <f t="shared" si="11"/>
        <v>2.9290000000000004E-2</v>
      </c>
      <c r="T386" t="s">
        <v>53</v>
      </c>
    </row>
    <row r="387" spans="1:20">
      <c r="A387">
        <v>93</v>
      </c>
      <c r="B387">
        <v>0</v>
      </c>
      <c r="C387">
        <v>2.29E-2</v>
      </c>
      <c r="D387">
        <v>33.83</v>
      </c>
      <c r="E387">
        <v>3.9399999999999998E-2</v>
      </c>
      <c r="F387">
        <v>0</v>
      </c>
      <c r="G387">
        <v>0.12970000000000001</v>
      </c>
      <c r="H387">
        <v>6.52</v>
      </c>
      <c r="I387">
        <v>5.7999999999999996E-3</v>
      </c>
      <c r="J387">
        <v>0</v>
      </c>
      <c r="K387">
        <v>0</v>
      </c>
      <c r="L387">
        <v>60.06</v>
      </c>
      <c r="M387">
        <v>6.6199999999999995E-2</v>
      </c>
      <c r="N387">
        <v>100.67400000000001</v>
      </c>
      <c r="O387" t="s">
        <v>179</v>
      </c>
      <c r="Q387">
        <f t="shared" ref="Q387:Q450" si="13">H387+L387</f>
        <v>66.58</v>
      </c>
      <c r="R387">
        <f>I387-(K387*Standards!$I$15)</f>
        <v>5.7999999999999996E-3</v>
      </c>
      <c r="S387">
        <f t="shared" ref="S387:S450" si="14">C387-(I387*0.05)</f>
        <v>2.2610000000000002E-2</v>
      </c>
      <c r="T387" t="s">
        <v>53</v>
      </c>
    </row>
    <row r="388" spans="1:20">
      <c r="A388">
        <v>79</v>
      </c>
      <c r="B388">
        <v>0</v>
      </c>
      <c r="C388">
        <v>2.1000000000000001E-2</v>
      </c>
      <c r="D388">
        <v>34.01</v>
      </c>
      <c r="E388">
        <v>5.5300000000000002E-2</v>
      </c>
      <c r="F388">
        <v>0</v>
      </c>
      <c r="G388">
        <v>0.1447</v>
      </c>
      <c r="H388">
        <v>6.79</v>
      </c>
      <c r="I388">
        <v>4.7899999999999998E-2</v>
      </c>
      <c r="J388">
        <v>7.8399999999999997E-2</v>
      </c>
      <c r="K388">
        <v>0</v>
      </c>
      <c r="L388">
        <v>60.02</v>
      </c>
      <c r="M388">
        <v>7.2099999999999997E-2</v>
      </c>
      <c r="N388">
        <v>101.2393</v>
      </c>
      <c r="O388" t="s">
        <v>179</v>
      </c>
      <c r="Q388">
        <f t="shared" si="13"/>
        <v>66.81</v>
      </c>
      <c r="R388">
        <f>I388-(K388*Standards!$I$15)</f>
        <v>4.7899999999999998E-2</v>
      </c>
      <c r="S388">
        <f t="shared" si="14"/>
        <v>1.8605E-2</v>
      </c>
      <c r="T388" t="s">
        <v>53</v>
      </c>
    </row>
    <row r="389" spans="1:20">
      <c r="A389">
        <v>86</v>
      </c>
      <c r="B389">
        <v>0</v>
      </c>
      <c r="C389">
        <v>3.73E-2</v>
      </c>
      <c r="D389">
        <v>34.19</v>
      </c>
      <c r="E389">
        <v>3.04E-2</v>
      </c>
      <c r="F389">
        <v>0</v>
      </c>
      <c r="G389">
        <v>0.13159999999999999</v>
      </c>
      <c r="H389">
        <v>6.61</v>
      </c>
      <c r="I389">
        <v>2.8E-3</v>
      </c>
      <c r="J389">
        <v>1.8700000000000001E-2</v>
      </c>
      <c r="K389">
        <v>0</v>
      </c>
      <c r="L389">
        <v>60.02</v>
      </c>
      <c r="M389">
        <v>0.1026</v>
      </c>
      <c r="N389">
        <v>101.1433</v>
      </c>
      <c r="O389" t="s">
        <v>179</v>
      </c>
      <c r="Q389">
        <f t="shared" si="13"/>
        <v>66.63000000000001</v>
      </c>
      <c r="R389">
        <f>I389-(K389*Standards!$I$15)</f>
        <v>2.8E-3</v>
      </c>
      <c r="S389">
        <f t="shared" si="14"/>
        <v>3.7159999999999999E-2</v>
      </c>
      <c r="T389" t="s">
        <v>53</v>
      </c>
    </row>
    <row r="390" spans="1:20">
      <c r="A390">
        <v>77</v>
      </c>
      <c r="B390">
        <v>0</v>
      </c>
      <c r="C390">
        <v>5.3199999999999997E-2</v>
      </c>
      <c r="D390">
        <v>33.96</v>
      </c>
      <c r="E390">
        <v>6.1600000000000002E-2</v>
      </c>
      <c r="F390">
        <v>0</v>
      </c>
      <c r="G390">
        <v>0.14149999999999999</v>
      </c>
      <c r="H390">
        <v>6.66</v>
      </c>
      <c r="I390">
        <v>2.9499999999999998E-2</v>
      </c>
      <c r="J390">
        <v>7.8700000000000006E-2</v>
      </c>
      <c r="K390">
        <v>0</v>
      </c>
      <c r="L390">
        <v>60.01</v>
      </c>
      <c r="M390">
        <v>0.121</v>
      </c>
      <c r="N390">
        <v>101.11539999999999</v>
      </c>
      <c r="O390" t="s">
        <v>179</v>
      </c>
      <c r="Q390">
        <f t="shared" si="13"/>
        <v>66.67</v>
      </c>
      <c r="R390">
        <f>I390-(K390*Standards!$I$15)</f>
        <v>2.9499999999999998E-2</v>
      </c>
      <c r="S390">
        <f t="shared" si="14"/>
        <v>5.1725E-2</v>
      </c>
      <c r="T390" t="s">
        <v>53</v>
      </c>
    </row>
    <row r="391" spans="1:20">
      <c r="A391">
        <v>30</v>
      </c>
      <c r="B391">
        <v>0</v>
      </c>
      <c r="C391">
        <v>4.7E-2</v>
      </c>
      <c r="D391">
        <v>34</v>
      </c>
      <c r="E391">
        <v>5.7299999999999997E-2</v>
      </c>
      <c r="F391">
        <v>0</v>
      </c>
      <c r="G391">
        <v>0.1434</v>
      </c>
      <c r="H391">
        <v>6.87</v>
      </c>
      <c r="I391">
        <v>0.1794</v>
      </c>
      <c r="J391">
        <v>0.1227</v>
      </c>
      <c r="K391">
        <v>0</v>
      </c>
      <c r="L391">
        <v>59.85</v>
      </c>
      <c r="M391">
        <v>0.128</v>
      </c>
      <c r="N391">
        <v>101.3977</v>
      </c>
      <c r="O391" t="s">
        <v>179</v>
      </c>
      <c r="Q391">
        <f t="shared" si="13"/>
        <v>66.72</v>
      </c>
      <c r="R391">
        <f>I391-(K391*Standards!$I$15)</f>
        <v>0.1794</v>
      </c>
      <c r="S391">
        <f t="shared" si="14"/>
        <v>3.8030000000000001E-2</v>
      </c>
      <c r="T391" t="s">
        <v>53</v>
      </c>
    </row>
    <row r="392" spans="1:20">
      <c r="A392">
        <v>92</v>
      </c>
      <c r="B392">
        <v>0</v>
      </c>
      <c r="C392">
        <v>4.3099999999999999E-2</v>
      </c>
      <c r="D392">
        <v>33.68</v>
      </c>
      <c r="E392">
        <v>6.2799999999999995E-2</v>
      </c>
      <c r="F392">
        <v>0</v>
      </c>
      <c r="G392">
        <v>0.13339999999999999</v>
      </c>
      <c r="H392">
        <v>6.5</v>
      </c>
      <c r="I392">
        <v>6.7999999999999996E-3</v>
      </c>
      <c r="J392">
        <v>0</v>
      </c>
      <c r="K392">
        <v>0</v>
      </c>
      <c r="L392">
        <v>59.84</v>
      </c>
      <c r="M392">
        <v>8.0699999999999994E-2</v>
      </c>
      <c r="N392">
        <v>100.3467</v>
      </c>
      <c r="O392" t="s">
        <v>179</v>
      </c>
      <c r="Q392">
        <f t="shared" si="13"/>
        <v>66.34</v>
      </c>
      <c r="R392">
        <f>I392-(K392*Standards!$I$15)</f>
        <v>6.7999999999999996E-3</v>
      </c>
      <c r="S392">
        <f t="shared" si="14"/>
        <v>4.2759999999999999E-2</v>
      </c>
      <c r="T392" t="s">
        <v>53</v>
      </c>
    </row>
    <row r="393" spans="1:20">
      <c r="A393">
        <v>80</v>
      </c>
      <c r="B393">
        <v>0</v>
      </c>
      <c r="C393">
        <v>4.0899999999999999E-2</v>
      </c>
      <c r="D393">
        <v>34.01</v>
      </c>
      <c r="E393">
        <v>5.67E-2</v>
      </c>
      <c r="F393">
        <v>0</v>
      </c>
      <c r="G393">
        <v>0.14649999999999999</v>
      </c>
      <c r="H393">
        <v>6.89</v>
      </c>
      <c r="I393">
        <v>4.82E-2</v>
      </c>
      <c r="J393">
        <v>8.7599999999999997E-2</v>
      </c>
      <c r="K393">
        <v>0</v>
      </c>
      <c r="L393">
        <v>59.77</v>
      </c>
      <c r="M393">
        <v>8.0699999999999994E-2</v>
      </c>
      <c r="N393">
        <v>101.1305</v>
      </c>
      <c r="O393" t="s">
        <v>179</v>
      </c>
      <c r="Q393">
        <f t="shared" si="13"/>
        <v>66.66</v>
      </c>
      <c r="R393">
        <f>I393-(K393*Standards!$I$15)</f>
        <v>4.82E-2</v>
      </c>
      <c r="S393">
        <f t="shared" si="14"/>
        <v>3.8489999999999996E-2</v>
      </c>
      <c r="T393" t="s">
        <v>53</v>
      </c>
    </row>
    <row r="394" spans="1:20">
      <c r="A394">
        <v>83</v>
      </c>
      <c r="B394">
        <v>0</v>
      </c>
      <c r="C394">
        <v>2.7300000000000001E-2</v>
      </c>
      <c r="D394">
        <v>34.06</v>
      </c>
      <c r="E394">
        <v>5.2200000000000003E-2</v>
      </c>
      <c r="F394">
        <v>0</v>
      </c>
      <c r="G394">
        <v>0.12859999999999999</v>
      </c>
      <c r="H394">
        <v>6.4</v>
      </c>
      <c r="I394">
        <v>7.0000000000000001E-3</v>
      </c>
      <c r="J394">
        <v>0</v>
      </c>
      <c r="K394">
        <v>0</v>
      </c>
      <c r="L394">
        <v>59.76</v>
      </c>
      <c r="M394">
        <v>8.7999999999999995E-2</v>
      </c>
      <c r="N394">
        <v>100.523</v>
      </c>
      <c r="O394" t="s">
        <v>179</v>
      </c>
      <c r="Q394">
        <f t="shared" si="13"/>
        <v>66.16</v>
      </c>
      <c r="R394">
        <f>I394-(K394*Standards!$I$15)</f>
        <v>7.0000000000000001E-3</v>
      </c>
      <c r="S394">
        <f t="shared" si="14"/>
        <v>2.6950000000000002E-2</v>
      </c>
      <c r="T394" t="s">
        <v>53</v>
      </c>
    </row>
    <row r="395" spans="1:20">
      <c r="A395">
        <v>74</v>
      </c>
      <c r="B395">
        <v>0</v>
      </c>
      <c r="C395">
        <v>3.4000000000000002E-2</v>
      </c>
      <c r="D395">
        <v>33.93</v>
      </c>
      <c r="E395">
        <v>5.57E-2</v>
      </c>
      <c r="F395">
        <v>0</v>
      </c>
      <c r="G395">
        <v>0.14299999999999999</v>
      </c>
      <c r="H395">
        <v>6.85</v>
      </c>
      <c r="I395">
        <v>3.4700000000000002E-2</v>
      </c>
      <c r="J395">
        <v>3.7000000000000002E-3</v>
      </c>
      <c r="K395">
        <v>0</v>
      </c>
      <c r="L395">
        <v>59.74</v>
      </c>
      <c r="M395">
        <v>0.1061</v>
      </c>
      <c r="N395">
        <v>100.89709999999999</v>
      </c>
      <c r="O395" t="s">
        <v>179</v>
      </c>
      <c r="Q395">
        <f t="shared" si="13"/>
        <v>66.59</v>
      </c>
      <c r="R395">
        <f>I395-(K395*Standards!$I$15)</f>
        <v>3.4700000000000002E-2</v>
      </c>
      <c r="S395">
        <f t="shared" si="14"/>
        <v>3.2265000000000002E-2</v>
      </c>
      <c r="T395" t="s">
        <v>53</v>
      </c>
    </row>
    <row r="396" spans="1:20">
      <c r="A396">
        <v>97</v>
      </c>
      <c r="B396">
        <v>0</v>
      </c>
      <c r="C396">
        <v>3.56E-2</v>
      </c>
      <c r="D396">
        <v>34.1</v>
      </c>
      <c r="E396">
        <v>4.2099999999999999E-2</v>
      </c>
      <c r="F396">
        <v>0</v>
      </c>
      <c r="G396">
        <v>0.1386</v>
      </c>
      <c r="H396">
        <v>6.78</v>
      </c>
      <c r="I396">
        <v>3.4099999999999998E-2</v>
      </c>
      <c r="J396">
        <v>3.5999999999999999E-3</v>
      </c>
      <c r="K396">
        <v>0</v>
      </c>
      <c r="L396">
        <v>59.73</v>
      </c>
      <c r="M396">
        <v>9.5699999999999993E-2</v>
      </c>
      <c r="N396">
        <v>100.95959999999999</v>
      </c>
      <c r="O396" t="s">
        <v>179</v>
      </c>
      <c r="Q396">
        <f t="shared" si="13"/>
        <v>66.509999999999991</v>
      </c>
      <c r="R396">
        <f>I396-(K396*Standards!$I$15)</f>
        <v>3.4099999999999998E-2</v>
      </c>
      <c r="S396">
        <f t="shared" si="14"/>
        <v>3.3895000000000002E-2</v>
      </c>
      <c r="T396" t="s">
        <v>53</v>
      </c>
    </row>
    <row r="397" spans="1:20">
      <c r="A397">
        <v>32</v>
      </c>
      <c r="B397">
        <v>0</v>
      </c>
      <c r="C397">
        <v>2.8799999999999999E-2</v>
      </c>
      <c r="D397">
        <v>33.71</v>
      </c>
      <c r="E397">
        <v>8.0600000000000005E-2</v>
      </c>
      <c r="F397">
        <v>0</v>
      </c>
      <c r="G397">
        <v>0.13450000000000001</v>
      </c>
      <c r="H397">
        <v>7.07</v>
      </c>
      <c r="I397">
        <v>3.1300000000000001E-2</v>
      </c>
      <c r="J397">
        <v>4.7800000000000002E-2</v>
      </c>
      <c r="K397">
        <v>0</v>
      </c>
      <c r="L397">
        <v>59.68</v>
      </c>
      <c r="M397">
        <v>0.13769999999999999</v>
      </c>
      <c r="N397">
        <v>100.92059999999999</v>
      </c>
      <c r="O397" t="s">
        <v>179</v>
      </c>
      <c r="Q397">
        <f t="shared" si="13"/>
        <v>66.75</v>
      </c>
      <c r="R397">
        <f>I397-(K397*Standards!$I$15)</f>
        <v>3.1300000000000001E-2</v>
      </c>
      <c r="S397">
        <f t="shared" si="14"/>
        <v>2.7234999999999999E-2</v>
      </c>
      <c r="T397" t="s">
        <v>53</v>
      </c>
    </row>
    <row r="398" spans="1:20">
      <c r="A398">
        <v>90</v>
      </c>
      <c r="B398">
        <v>0</v>
      </c>
      <c r="C398">
        <v>3.1800000000000002E-2</v>
      </c>
      <c r="D398">
        <v>33.880000000000003</v>
      </c>
      <c r="E398">
        <v>6.6500000000000004E-2</v>
      </c>
      <c r="F398">
        <v>0</v>
      </c>
      <c r="G398">
        <v>0.14949999999999999</v>
      </c>
      <c r="H398">
        <v>6.67</v>
      </c>
      <c r="I398">
        <v>3.5799999999999998E-2</v>
      </c>
      <c r="J398">
        <v>1.43E-2</v>
      </c>
      <c r="K398">
        <v>0</v>
      </c>
      <c r="L398">
        <v>59.67</v>
      </c>
      <c r="M398">
        <v>9.9299999999999999E-2</v>
      </c>
      <c r="N398">
        <v>100.61709999999999</v>
      </c>
      <c r="O398" t="s">
        <v>179</v>
      </c>
      <c r="Q398">
        <f t="shared" si="13"/>
        <v>66.34</v>
      </c>
      <c r="R398">
        <f>I398-(K398*Standards!$I$15)</f>
        <v>3.5799999999999998E-2</v>
      </c>
      <c r="S398">
        <f t="shared" si="14"/>
        <v>3.0010000000000002E-2</v>
      </c>
      <c r="T398" t="s">
        <v>53</v>
      </c>
    </row>
    <row r="399" spans="1:20">
      <c r="A399">
        <v>100</v>
      </c>
      <c r="B399">
        <v>0</v>
      </c>
      <c r="C399">
        <v>2.93E-2</v>
      </c>
      <c r="D399">
        <v>34</v>
      </c>
      <c r="E399">
        <v>5.2299999999999999E-2</v>
      </c>
      <c r="F399">
        <v>2.7000000000000001E-3</v>
      </c>
      <c r="G399">
        <v>0.14119999999999999</v>
      </c>
      <c r="H399">
        <v>6.49</v>
      </c>
      <c r="I399">
        <v>1.7899999999999999E-2</v>
      </c>
      <c r="J399">
        <v>3.3E-3</v>
      </c>
      <c r="K399">
        <v>0</v>
      </c>
      <c r="L399">
        <v>59.66</v>
      </c>
      <c r="M399">
        <v>8.8099999999999998E-2</v>
      </c>
      <c r="N399">
        <v>100.4847</v>
      </c>
      <c r="O399" t="s">
        <v>179</v>
      </c>
      <c r="Q399">
        <f t="shared" si="13"/>
        <v>66.149999999999991</v>
      </c>
      <c r="R399">
        <f>I399-(K399*Standards!$I$15)</f>
        <v>1.7899999999999999E-2</v>
      </c>
      <c r="S399">
        <f t="shared" si="14"/>
        <v>2.8405E-2</v>
      </c>
      <c r="T399" t="s">
        <v>53</v>
      </c>
    </row>
    <row r="400" spans="1:20">
      <c r="A400">
        <v>91</v>
      </c>
      <c r="B400">
        <v>0</v>
      </c>
      <c r="C400">
        <v>3.73E-2</v>
      </c>
      <c r="D400">
        <v>33.75</v>
      </c>
      <c r="E400">
        <v>5.5100000000000003E-2</v>
      </c>
      <c r="F400">
        <v>0</v>
      </c>
      <c r="G400">
        <v>0.14099999999999999</v>
      </c>
      <c r="H400">
        <v>6.6</v>
      </c>
      <c r="I400">
        <v>1.3100000000000001E-2</v>
      </c>
      <c r="J400">
        <v>1E-3</v>
      </c>
      <c r="K400">
        <v>0</v>
      </c>
      <c r="L400">
        <v>59.65</v>
      </c>
      <c r="M400">
        <v>8.4000000000000005E-2</v>
      </c>
      <c r="N400">
        <v>100.3314</v>
      </c>
      <c r="O400" t="s">
        <v>179</v>
      </c>
      <c r="Q400">
        <f t="shared" si="13"/>
        <v>66.25</v>
      </c>
      <c r="R400">
        <f>I400-(K400*Standards!$I$15)</f>
        <v>1.3100000000000001E-2</v>
      </c>
      <c r="S400">
        <f t="shared" si="14"/>
        <v>3.6644999999999997E-2</v>
      </c>
      <c r="T400" t="s">
        <v>53</v>
      </c>
    </row>
    <row r="401" spans="1:20">
      <c r="A401">
        <v>78</v>
      </c>
      <c r="B401">
        <v>0</v>
      </c>
      <c r="C401">
        <v>4.0899999999999999E-2</v>
      </c>
      <c r="D401">
        <v>33.92</v>
      </c>
      <c r="E401">
        <v>5.8000000000000003E-2</v>
      </c>
      <c r="F401">
        <v>0</v>
      </c>
      <c r="G401">
        <v>0.15040000000000001</v>
      </c>
      <c r="H401">
        <v>7.07</v>
      </c>
      <c r="I401">
        <v>3.5099999999999999E-2</v>
      </c>
      <c r="J401">
        <v>9.4700000000000006E-2</v>
      </c>
      <c r="K401">
        <v>0</v>
      </c>
      <c r="L401">
        <v>59.61</v>
      </c>
      <c r="M401">
        <v>0.1181</v>
      </c>
      <c r="N401">
        <v>101.0971</v>
      </c>
      <c r="O401" t="s">
        <v>179</v>
      </c>
      <c r="Q401">
        <f t="shared" si="13"/>
        <v>66.680000000000007</v>
      </c>
      <c r="R401">
        <f>I401-(K401*Standards!$I$15)</f>
        <v>3.5099999999999999E-2</v>
      </c>
      <c r="S401">
        <f t="shared" si="14"/>
        <v>3.9144999999999999E-2</v>
      </c>
      <c r="T401" t="s">
        <v>53</v>
      </c>
    </row>
    <row r="402" spans="1:20">
      <c r="A402">
        <v>98</v>
      </c>
      <c r="B402">
        <v>0</v>
      </c>
      <c r="C402">
        <v>4.1500000000000002E-2</v>
      </c>
      <c r="D402">
        <v>34.159999999999997</v>
      </c>
      <c r="E402">
        <v>6.5299999999999997E-2</v>
      </c>
      <c r="F402">
        <v>0</v>
      </c>
      <c r="G402">
        <v>0.1419</v>
      </c>
      <c r="H402">
        <v>6.93</v>
      </c>
      <c r="I402">
        <v>3.49E-2</v>
      </c>
      <c r="J402">
        <v>1.03E-2</v>
      </c>
      <c r="K402">
        <v>0</v>
      </c>
      <c r="L402">
        <v>59.6</v>
      </c>
      <c r="M402">
        <v>4.9200000000000001E-2</v>
      </c>
      <c r="N402">
        <v>101.0331</v>
      </c>
      <c r="O402" t="s">
        <v>179</v>
      </c>
      <c r="Q402">
        <f t="shared" si="13"/>
        <v>66.53</v>
      </c>
      <c r="R402">
        <f>I402-(K402*Standards!$I$15)</f>
        <v>3.49E-2</v>
      </c>
      <c r="S402">
        <f t="shared" si="14"/>
        <v>3.9754999999999999E-2</v>
      </c>
      <c r="T402" t="s">
        <v>53</v>
      </c>
    </row>
    <row r="403" spans="1:20">
      <c r="A403">
        <v>76</v>
      </c>
      <c r="B403">
        <v>0</v>
      </c>
      <c r="C403">
        <v>4.1700000000000001E-2</v>
      </c>
      <c r="D403">
        <v>34.04</v>
      </c>
      <c r="E403">
        <v>6.5100000000000005E-2</v>
      </c>
      <c r="F403">
        <v>0</v>
      </c>
      <c r="G403">
        <v>0.15409999999999999</v>
      </c>
      <c r="H403">
        <v>6.9</v>
      </c>
      <c r="I403">
        <v>1.24E-2</v>
      </c>
      <c r="J403">
        <v>2.5000000000000001E-3</v>
      </c>
      <c r="K403">
        <v>0</v>
      </c>
      <c r="L403">
        <v>59.55</v>
      </c>
      <c r="M403">
        <v>9.1600000000000001E-2</v>
      </c>
      <c r="N403">
        <v>100.8573</v>
      </c>
      <c r="O403" t="s">
        <v>179</v>
      </c>
      <c r="Q403">
        <f t="shared" si="13"/>
        <v>66.45</v>
      </c>
      <c r="R403">
        <f>I403-(K403*Standards!$I$15)</f>
        <v>1.24E-2</v>
      </c>
      <c r="S403">
        <f t="shared" si="14"/>
        <v>4.1079999999999998E-2</v>
      </c>
      <c r="T403" t="s">
        <v>53</v>
      </c>
    </row>
    <row r="404" spans="1:20">
      <c r="A404">
        <v>102</v>
      </c>
      <c r="B404">
        <v>0</v>
      </c>
      <c r="C404">
        <v>2.3400000000000001E-2</v>
      </c>
      <c r="D404">
        <v>34</v>
      </c>
      <c r="E404">
        <v>5.3100000000000001E-2</v>
      </c>
      <c r="F404">
        <v>0</v>
      </c>
      <c r="G404">
        <v>0.14149999999999999</v>
      </c>
      <c r="H404">
        <v>6.89</v>
      </c>
      <c r="I404">
        <v>3.2599999999999997E-2</v>
      </c>
      <c r="J404">
        <v>8.3999999999999995E-3</v>
      </c>
      <c r="K404">
        <v>0</v>
      </c>
      <c r="L404">
        <v>59.54</v>
      </c>
      <c r="M404">
        <v>8.2299999999999998E-2</v>
      </c>
      <c r="N404">
        <v>100.77119999999999</v>
      </c>
      <c r="O404" t="s">
        <v>179</v>
      </c>
      <c r="Q404">
        <f t="shared" si="13"/>
        <v>66.429999999999993</v>
      </c>
      <c r="R404">
        <f>I404-(K404*Standards!$I$15)</f>
        <v>3.2599999999999997E-2</v>
      </c>
      <c r="S404">
        <f t="shared" si="14"/>
        <v>2.1770000000000001E-2</v>
      </c>
      <c r="T404" t="s">
        <v>53</v>
      </c>
    </row>
    <row r="405" spans="1:20">
      <c r="A405">
        <v>89</v>
      </c>
      <c r="B405">
        <v>0</v>
      </c>
      <c r="C405">
        <v>4.4499999999999998E-2</v>
      </c>
      <c r="D405">
        <v>33.630000000000003</v>
      </c>
      <c r="E405">
        <v>6.4299999999999996E-2</v>
      </c>
      <c r="F405">
        <v>5.3E-3</v>
      </c>
      <c r="G405">
        <v>0.15409999999999999</v>
      </c>
      <c r="H405">
        <v>6.94</v>
      </c>
      <c r="I405">
        <v>1.7500000000000002E-2</v>
      </c>
      <c r="J405">
        <v>0</v>
      </c>
      <c r="K405">
        <v>0</v>
      </c>
      <c r="L405">
        <v>59.54</v>
      </c>
      <c r="M405">
        <v>9.7900000000000001E-2</v>
      </c>
      <c r="N405">
        <v>100.4935</v>
      </c>
      <c r="O405" t="s">
        <v>179</v>
      </c>
      <c r="Q405">
        <f t="shared" si="13"/>
        <v>66.48</v>
      </c>
      <c r="R405">
        <f>I405-(K405*Standards!$I$15)</f>
        <v>1.7500000000000002E-2</v>
      </c>
      <c r="S405">
        <f t="shared" si="14"/>
        <v>4.3624999999999997E-2</v>
      </c>
      <c r="T405" t="s">
        <v>53</v>
      </c>
    </row>
    <row r="406" spans="1:20">
      <c r="A406">
        <v>75</v>
      </c>
      <c r="B406">
        <v>0</v>
      </c>
      <c r="C406">
        <v>1.77E-2</v>
      </c>
      <c r="D406">
        <v>33.92</v>
      </c>
      <c r="E406">
        <v>0.06</v>
      </c>
      <c r="F406">
        <v>0</v>
      </c>
      <c r="G406">
        <v>0.15210000000000001</v>
      </c>
      <c r="H406">
        <v>7.04</v>
      </c>
      <c r="I406">
        <v>4.1099999999999998E-2</v>
      </c>
      <c r="J406">
        <v>3.2599999999999997E-2</v>
      </c>
      <c r="K406">
        <v>0</v>
      </c>
      <c r="L406">
        <v>59.52</v>
      </c>
      <c r="M406">
        <v>0.10150000000000001</v>
      </c>
      <c r="N406">
        <v>100.8849</v>
      </c>
      <c r="O406" t="s">
        <v>179</v>
      </c>
      <c r="Q406">
        <f t="shared" si="13"/>
        <v>66.56</v>
      </c>
      <c r="R406">
        <f>I406-(K406*Standards!$I$15)</f>
        <v>4.1099999999999998E-2</v>
      </c>
      <c r="S406">
        <f t="shared" si="14"/>
        <v>1.5644999999999999E-2</v>
      </c>
      <c r="T406" t="s">
        <v>53</v>
      </c>
    </row>
    <row r="407" spans="1:20">
      <c r="A407">
        <v>87</v>
      </c>
      <c r="B407">
        <v>0</v>
      </c>
      <c r="C407">
        <v>3.61E-2</v>
      </c>
      <c r="D407">
        <v>33.78</v>
      </c>
      <c r="E407">
        <v>5.0500000000000003E-2</v>
      </c>
      <c r="F407">
        <v>3.3999999999999998E-3</v>
      </c>
      <c r="G407">
        <v>0.1285</v>
      </c>
      <c r="H407">
        <v>6.63</v>
      </c>
      <c r="I407">
        <v>4.2999999999999997E-2</v>
      </c>
      <c r="J407">
        <v>1.9599999999999999E-2</v>
      </c>
      <c r="K407">
        <v>0</v>
      </c>
      <c r="L407">
        <v>59.51</v>
      </c>
      <c r="M407">
        <v>7.9500000000000001E-2</v>
      </c>
      <c r="N407">
        <v>100.2805</v>
      </c>
      <c r="O407" t="s">
        <v>179</v>
      </c>
      <c r="Q407">
        <f t="shared" si="13"/>
        <v>66.14</v>
      </c>
      <c r="R407">
        <f>I407-(K407*Standards!$I$15)</f>
        <v>4.2999999999999997E-2</v>
      </c>
      <c r="S407">
        <f t="shared" si="14"/>
        <v>3.3950000000000001E-2</v>
      </c>
      <c r="T407" t="s">
        <v>53</v>
      </c>
    </row>
    <row r="408" spans="1:20">
      <c r="A408">
        <v>29</v>
      </c>
      <c r="B408">
        <v>0</v>
      </c>
      <c r="C408">
        <v>3.09E-2</v>
      </c>
      <c r="D408">
        <v>33.93</v>
      </c>
      <c r="E408">
        <v>7.17E-2</v>
      </c>
      <c r="F408">
        <v>0</v>
      </c>
      <c r="G408">
        <v>0.14030000000000001</v>
      </c>
      <c r="H408">
        <v>7.36</v>
      </c>
      <c r="I408">
        <v>0.161</v>
      </c>
      <c r="J408">
        <v>0.1066</v>
      </c>
      <c r="K408">
        <v>0</v>
      </c>
      <c r="L408">
        <v>59.45</v>
      </c>
      <c r="M408">
        <v>0.1313</v>
      </c>
      <c r="N408">
        <v>101.3818</v>
      </c>
      <c r="O408" t="s">
        <v>179</v>
      </c>
      <c r="Q408">
        <f t="shared" si="13"/>
        <v>66.81</v>
      </c>
      <c r="R408">
        <f>I408-(K408*Standards!$I$15)</f>
        <v>0.161</v>
      </c>
      <c r="S408">
        <f t="shared" si="14"/>
        <v>2.2850000000000002E-2</v>
      </c>
      <c r="T408" t="s">
        <v>53</v>
      </c>
    </row>
    <row r="409" spans="1:20">
      <c r="A409">
        <v>81</v>
      </c>
      <c r="B409">
        <v>0</v>
      </c>
      <c r="C409">
        <v>5.11E-2</v>
      </c>
      <c r="D409">
        <v>33.869999999999997</v>
      </c>
      <c r="E409">
        <v>4.8099999999999997E-2</v>
      </c>
      <c r="F409">
        <v>0</v>
      </c>
      <c r="G409">
        <v>0.1515</v>
      </c>
      <c r="H409">
        <v>6.92</v>
      </c>
      <c r="I409">
        <v>6.4600000000000005E-2</v>
      </c>
      <c r="J409">
        <v>2.92E-2</v>
      </c>
      <c r="K409">
        <v>0</v>
      </c>
      <c r="L409">
        <v>59.39</v>
      </c>
      <c r="M409">
        <v>9.1300000000000006E-2</v>
      </c>
      <c r="N409">
        <v>100.61579999999999</v>
      </c>
      <c r="O409" t="s">
        <v>179</v>
      </c>
      <c r="Q409">
        <f t="shared" si="13"/>
        <v>66.31</v>
      </c>
      <c r="R409">
        <f>I409-(K409*Standards!$I$15)</f>
        <v>6.4600000000000005E-2</v>
      </c>
      <c r="S409">
        <f t="shared" si="14"/>
        <v>4.7869999999999996E-2</v>
      </c>
      <c r="T409" t="s">
        <v>53</v>
      </c>
    </row>
    <row r="410" spans="1:20">
      <c r="A410">
        <v>103</v>
      </c>
      <c r="B410">
        <v>0</v>
      </c>
      <c r="C410">
        <v>2.52E-2</v>
      </c>
      <c r="D410">
        <v>34.049999999999997</v>
      </c>
      <c r="E410">
        <v>4.8300000000000003E-2</v>
      </c>
      <c r="F410">
        <v>0</v>
      </c>
      <c r="G410">
        <v>0.14299999999999999</v>
      </c>
      <c r="H410">
        <v>6.93</v>
      </c>
      <c r="I410">
        <v>3.5000000000000003E-2</v>
      </c>
      <c r="J410">
        <v>8.4400000000000003E-2</v>
      </c>
      <c r="K410">
        <v>0</v>
      </c>
      <c r="L410">
        <v>59.38</v>
      </c>
      <c r="M410">
        <v>9.2700000000000005E-2</v>
      </c>
      <c r="N410">
        <v>100.7886</v>
      </c>
      <c r="O410" t="s">
        <v>179</v>
      </c>
      <c r="Q410">
        <f t="shared" si="13"/>
        <v>66.31</v>
      </c>
      <c r="R410">
        <f>I410-(K410*Standards!$I$15)</f>
        <v>3.5000000000000003E-2</v>
      </c>
      <c r="S410">
        <f t="shared" si="14"/>
        <v>2.3449999999999999E-2</v>
      </c>
      <c r="T410" t="s">
        <v>53</v>
      </c>
    </row>
    <row r="411" spans="1:20">
      <c r="A411">
        <v>51</v>
      </c>
      <c r="B411">
        <v>0</v>
      </c>
      <c r="C411">
        <v>5.5599999999999997E-2</v>
      </c>
      <c r="D411">
        <v>33.700000000000003</v>
      </c>
      <c r="E411">
        <v>6.0499999999999998E-2</v>
      </c>
      <c r="F411">
        <v>0</v>
      </c>
      <c r="G411">
        <v>0.14169999999999999</v>
      </c>
      <c r="H411">
        <v>6.9</v>
      </c>
      <c r="I411">
        <v>0.14380000000000001</v>
      </c>
      <c r="J411">
        <v>0.15040000000000001</v>
      </c>
      <c r="K411">
        <v>0</v>
      </c>
      <c r="L411">
        <v>59.36</v>
      </c>
      <c r="M411">
        <v>0.125</v>
      </c>
      <c r="N411">
        <v>100.6369</v>
      </c>
      <c r="O411" t="s">
        <v>179</v>
      </c>
      <c r="Q411">
        <f t="shared" si="13"/>
        <v>66.260000000000005</v>
      </c>
      <c r="R411">
        <f>I411-(K411*Standards!$I$15)</f>
        <v>0.14380000000000001</v>
      </c>
      <c r="S411">
        <f t="shared" si="14"/>
        <v>4.8409999999999995E-2</v>
      </c>
      <c r="T411" t="s">
        <v>53</v>
      </c>
    </row>
    <row r="412" spans="1:20">
      <c r="A412">
        <v>82</v>
      </c>
      <c r="B412">
        <v>0</v>
      </c>
      <c r="C412">
        <v>5.1499999999999997E-2</v>
      </c>
      <c r="D412">
        <v>33.85</v>
      </c>
      <c r="E412">
        <v>5.1499999999999997E-2</v>
      </c>
      <c r="F412">
        <v>0</v>
      </c>
      <c r="G412">
        <v>0.1242</v>
      </c>
      <c r="H412">
        <v>6.76</v>
      </c>
      <c r="I412">
        <v>0</v>
      </c>
      <c r="J412">
        <v>0</v>
      </c>
      <c r="K412">
        <v>0</v>
      </c>
      <c r="L412">
        <v>59.3</v>
      </c>
      <c r="M412">
        <v>0.1045</v>
      </c>
      <c r="N412">
        <v>100.24160000000001</v>
      </c>
      <c r="O412" t="s">
        <v>179</v>
      </c>
      <c r="Q412">
        <f t="shared" si="13"/>
        <v>66.06</v>
      </c>
      <c r="R412">
        <f>I412-(K412*Standards!$I$15)</f>
        <v>0</v>
      </c>
      <c r="S412">
        <f t="shared" si="14"/>
        <v>5.1499999999999997E-2</v>
      </c>
      <c r="T412" t="s">
        <v>53</v>
      </c>
    </row>
    <row r="413" spans="1:20">
      <c r="A413">
        <v>31</v>
      </c>
      <c r="B413">
        <v>0</v>
      </c>
      <c r="C413">
        <v>3.0499999999999999E-2</v>
      </c>
      <c r="D413">
        <v>33.909999999999997</v>
      </c>
      <c r="E413">
        <v>6.6100000000000006E-2</v>
      </c>
      <c r="F413">
        <v>0</v>
      </c>
      <c r="G413">
        <v>0.14729999999999999</v>
      </c>
      <c r="H413">
        <v>7.33</v>
      </c>
      <c r="I413">
        <v>9.01E-2</v>
      </c>
      <c r="J413">
        <v>0.13539999999999999</v>
      </c>
      <c r="K413">
        <v>0</v>
      </c>
      <c r="L413">
        <v>59.28</v>
      </c>
      <c r="M413">
        <v>0.1208</v>
      </c>
      <c r="N413">
        <v>101.1101</v>
      </c>
      <c r="O413" t="s">
        <v>179</v>
      </c>
      <c r="Q413">
        <f t="shared" si="13"/>
        <v>66.61</v>
      </c>
      <c r="R413">
        <f>I413-(K413*Standards!$I$15)</f>
        <v>9.01E-2</v>
      </c>
      <c r="S413">
        <f t="shared" si="14"/>
        <v>2.5994999999999997E-2</v>
      </c>
      <c r="T413" t="s">
        <v>53</v>
      </c>
    </row>
    <row r="414" spans="1:20">
      <c r="A414">
        <v>88</v>
      </c>
      <c r="B414">
        <v>0</v>
      </c>
      <c r="C414">
        <v>2.4199999999999999E-2</v>
      </c>
      <c r="D414">
        <v>33.659999999999997</v>
      </c>
      <c r="E414">
        <v>4.3200000000000002E-2</v>
      </c>
      <c r="F414">
        <v>0</v>
      </c>
      <c r="G414">
        <v>0.1303</v>
      </c>
      <c r="H414">
        <v>7.06</v>
      </c>
      <c r="I414">
        <v>3.1399999999999997E-2</v>
      </c>
      <c r="J414">
        <v>1.35E-2</v>
      </c>
      <c r="K414">
        <v>0</v>
      </c>
      <c r="L414">
        <v>59.28</v>
      </c>
      <c r="M414">
        <v>0.1273</v>
      </c>
      <c r="N414">
        <v>100.3698</v>
      </c>
      <c r="O414" t="s">
        <v>179</v>
      </c>
      <c r="Q414">
        <f t="shared" si="13"/>
        <v>66.34</v>
      </c>
      <c r="R414">
        <f>I414-(K414*Standards!$I$15)</f>
        <v>3.1399999999999997E-2</v>
      </c>
      <c r="S414">
        <f t="shared" si="14"/>
        <v>2.2630000000000001E-2</v>
      </c>
      <c r="T414" t="s">
        <v>53</v>
      </c>
    </row>
    <row r="415" spans="1:20">
      <c r="A415">
        <v>104</v>
      </c>
      <c r="B415">
        <v>0</v>
      </c>
      <c r="C415">
        <v>3.0700000000000002E-2</v>
      </c>
      <c r="D415">
        <v>33.9</v>
      </c>
      <c r="E415">
        <v>4.9500000000000002E-2</v>
      </c>
      <c r="F415">
        <v>0</v>
      </c>
      <c r="G415">
        <v>0.1381</v>
      </c>
      <c r="H415">
        <v>6.82</v>
      </c>
      <c r="I415">
        <v>3.5900000000000001E-2</v>
      </c>
      <c r="J415">
        <v>0</v>
      </c>
      <c r="K415">
        <v>0</v>
      </c>
      <c r="L415">
        <v>59.24</v>
      </c>
      <c r="M415">
        <v>8.8599999999999998E-2</v>
      </c>
      <c r="N415">
        <v>100.3027</v>
      </c>
      <c r="O415" t="s">
        <v>179</v>
      </c>
      <c r="Q415">
        <f t="shared" si="13"/>
        <v>66.06</v>
      </c>
      <c r="R415">
        <f>I415-(K415*Standards!$I$15)</f>
        <v>3.5900000000000001E-2</v>
      </c>
      <c r="S415">
        <f t="shared" si="14"/>
        <v>2.8905E-2</v>
      </c>
      <c r="T415" t="s">
        <v>53</v>
      </c>
    </row>
    <row r="416" spans="1:20">
      <c r="A416">
        <v>43</v>
      </c>
      <c r="B416">
        <v>0</v>
      </c>
      <c r="C416">
        <v>6.9099999999999995E-2</v>
      </c>
      <c r="D416">
        <v>33.909999999999997</v>
      </c>
      <c r="E416">
        <v>6.9199999999999998E-2</v>
      </c>
      <c r="F416">
        <v>0</v>
      </c>
      <c r="G416">
        <v>0.13589999999999999</v>
      </c>
      <c r="H416">
        <v>6.78</v>
      </c>
      <c r="I416">
        <v>0.3523</v>
      </c>
      <c r="J416">
        <v>0.22939999999999999</v>
      </c>
      <c r="K416">
        <v>0</v>
      </c>
      <c r="L416">
        <v>59.2</v>
      </c>
      <c r="M416">
        <v>0.1246</v>
      </c>
      <c r="N416">
        <v>100.8704</v>
      </c>
      <c r="O416" t="s">
        <v>179</v>
      </c>
      <c r="Q416">
        <f t="shared" si="13"/>
        <v>65.98</v>
      </c>
      <c r="R416">
        <f>I416-(K416*Standards!$I$15)</f>
        <v>0.3523</v>
      </c>
      <c r="S416">
        <f t="shared" si="14"/>
        <v>5.1484999999999989E-2</v>
      </c>
      <c r="T416" t="s">
        <v>53</v>
      </c>
    </row>
    <row r="417" spans="1:31">
      <c r="A417">
        <v>28</v>
      </c>
      <c r="B417">
        <v>0</v>
      </c>
      <c r="C417">
        <v>2.46E-2</v>
      </c>
      <c r="D417">
        <v>33.869999999999997</v>
      </c>
      <c r="E417">
        <v>7.1999999999999995E-2</v>
      </c>
      <c r="F417">
        <v>0</v>
      </c>
      <c r="G417">
        <v>0.14680000000000001</v>
      </c>
      <c r="H417">
        <v>7.37</v>
      </c>
      <c r="I417">
        <v>0.1638</v>
      </c>
      <c r="J417">
        <v>9.8900000000000002E-2</v>
      </c>
      <c r="K417">
        <v>0</v>
      </c>
      <c r="L417">
        <v>59.12</v>
      </c>
      <c r="M417">
        <v>9.7699999999999995E-2</v>
      </c>
      <c r="N417">
        <v>100.9637</v>
      </c>
      <c r="O417" t="s">
        <v>179</v>
      </c>
      <c r="Q417">
        <f t="shared" si="13"/>
        <v>66.489999999999995</v>
      </c>
      <c r="R417">
        <f>I417-(K417*Standards!$I$15)</f>
        <v>0.1638</v>
      </c>
      <c r="S417">
        <f t="shared" si="14"/>
        <v>1.6410000000000001E-2</v>
      </c>
      <c r="T417" t="s">
        <v>53</v>
      </c>
    </row>
    <row r="418" spans="1:31">
      <c r="A418">
        <v>33</v>
      </c>
      <c r="B418">
        <v>0</v>
      </c>
      <c r="C418">
        <v>3.5799999999999998E-2</v>
      </c>
      <c r="D418">
        <v>33.700000000000003</v>
      </c>
      <c r="E418">
        <v>7.2700000000000001E-2</v>
      </c>
      <c r="F418">
        <v>0</v>
      </c>
      <c r="G418">
        <v>0.15279999999999999</v>
      </c>
      <c r="H418">
        <v>7.34</v>
      </c>
      <c r="I418">
        <v>0.1043</v>
      </c>
      <c r="J418">
        <v>5.5100000000000003E-2</v>
      </c>
      <c r="K418">
        <v>0</v>
      </c>
      <c r="L418">
        <v>59.07</v>
      </c>
      <c r="M418">
        <v>0.12590000000000001</v>
      </c>
      <c r="N418">
        <v>100.65649999999999</v>
      </c>
      <c r="O418" t="s">
        <v>179</v>
      </c>
      <c r="Q418">
        <f t="shared" si="13"/>
        <v>66.41</v>
      </c>
      <c r="R418">
        <f>I418-(K418*Standards!$I$15)</f>
        <v>0.1043</v>
      </c>
      <c r="S418">
        <f t="shared" si="14"/>
        <v>3.0584999999999998E-2</v>
      </c>
      <c r="T418" t="s">
        <v>53</v>
      </c>
    </row>
    <row r="419" spans="1:31">
      <c r="A419">
        <v>85</v>
      </c>
      <c r="B419">
        <v>0</v>
      </c>
      <c r="C419">
        <v>2.6599999999999999E-2</v>
      </c>
      <c r="D419">
        <v>33.909999999999997</v>
      </c>
      <c r="E419">
        <v>4.7399999999999998E-2</v>
      </c>
      <c r="F419">
        <v>0</v>
      </c>
      <c r="G419">
        <v>0.1336</v>
      </c>
      <c r="H419">
        <v>7.7</v>
      </c>
      <c r="I419">
        <v>4.2599999999999999E-2</v>
      </c>
      <c r="J419">
        <v>2.58E-2</v>
      </c>
      <c r="K419">
        <v>0</v>
      </c>
      <c r="L419">
        <v>58.92</v>
      </c>
      <c r="M419">
        <v>8.0699999999999994E-2</v>
      </c>
      <c r="N419">
        <v>100.8867</v>
      </c>
      <c r="O419" t="s">
        <v>179</v>
      </c>
      <c r="Q419">
        <f t="shared" si="13"/>
        <v>66.62</v>
      </c>
      <c r="R419">
        <f>I419-(K419*Standards!$I$15)</f>
        <v>4.2599999999999999E-2</v>
      </c>
      <c r="S419">
        <f t="shared" si="14"/>
        <v>2.4469999999999999E-2</v>
      </c>
      <c r="T419" t="s">
        <v>53</v>
      </c>
    </row>
    <row r="420" spans="1:31">
      <c r="A420">
        <v>44</v>
      </c>
      <c r="B420">
        <v>0</v>
      </c>
      <c r="C420">
        <v>3.0099999999999998E-2</v>
      </c>
      <c r="D420">
        <v>33.75</v>
      </c>
      <c r="E420">
        <v>6.5600000000000006E-2</v>
      </c>
      <c r="F420">
        <v>0</v>
      </c>
      <c r="G420">
        <v>0.15160000000000001</v>
      </c>
      <c r="H420">
        <v>7.12</v>
      </c>
      <c r="I420">
        <v>0.1464</v>
      </c>
      <c r="J420">
        <v>0.2399</v>
      </c>
      <c r="K420">
        <v>4.7100000000000003E-2</v>
      </c>
      <c r="L420">
        <v>58.91</v>
      </c>
      <c r="M420">
        <v>0.1386</v>
      </c>
      <c r="N420">
        <v>100.5993</v>
      </c>
      <c r="O420" t="s">
        <v>179</v>
      </c>
      <c r="Q420">
        <f t="shared" si="13"/>
        <v>66.03</v>
      </c>
      <c r="R420">
        <f>I420-(K420*Standards!$I$15)</f>
        <v>0.14629579125</v>
      </c>
      <c r="S420">
        <f t="shared" si="14"/>
        <v>2.2779999999999998E-2</v>
      </c>
      <c r="T420" t="s">
        <v>53</v>
      </c>
    </row>
    <row r="421" spans="1:31">
      <c r="A421">
        <v>22</v>
      </c>
      <c r="B421">
        <v>0</v>
      </c>
      <c r="C421">
        <v>2.4799999999999999E-2</v>
      </c>
      <c r="D421">
        <v>33.96</v>
      </c>
      <c r="E421">
        <v>7.9100000000000004E-2</v>
      </c>
      <c r="F421">
        <v>0</v>
      </c>
      <c r="G421">
        <v>0.1444</v>
      </c>
      <c r="H421">
        <v>7.6</v>
      </c>
      <c r="I421">
        <v>0.22450000000000001</v>
      </c>
      <c r="J421">
        <v>0.1326</v>
      </c>
      <c r="K421">
        <v>0</v>
      </c>
      <c r="L421">
        <v>58.89</v>
      </c>
      <c r="M421">
        <v>0.1356</v>
      </c>
      <c r="N421">
        <v>101.1909</v>
      </c>
      <c r="O421" t="s">
        <v>179</v>
      </c>
      <c r="Q421">
        <f t="shared" si="13"/>
        <v>66.489999999999995</v>
      </c>
      <c r="R421">
        <f>I421-(K421*Standards!$I$15)</f>
        <v>0.22450000000000001</v>
      </c>
      <c r="S421">
        <f t="shared" si="14"/>
        <v>1.3574999999999999E-2</v>
      </c>
      <c r="T421" t="s">
        <v>53</v>
      </c>
    </row>
    <row r="422" spans="1:31">
      <c r="A422">
        <v>34</v>
      </c>
      <c r="B422">
        <v>0</v>
      </c>
      <c r="C422">
        <v>3.6200000000000003E-2</v>
      </c>
      <c r="D422">
        <v>33.74</v>
      </c>
      <c r="E422">
        <v>6.5699999999999995E-2</v>
      </c>
      <c r="F422">
        <v>0</v>
      </c>
      <c r="G422">
        <v>0.15740000000000001</v>
      </c>
      <c r="H422">
        <v>7.41</v>
      </c>
      <c r="I422">
        <v>0.1079</v>
      </c>
      <c r="J422">
        <v>6.2399999999999997E-2</v>
      </c>
      <c r="K422">
        <v>0</v>
      </c>
      <c r="L422">
        <v>58.7</v>
      </c>
      <c r="M422">
        <v>0.12280000000000001</v>
      </c>
      <c r="N422">
        <v>100.4024</v>
      </c>
      <c r="O422" t="s">
        <v>179</v>
      </c>
      <c r="Q422">
        <f t="shared" si="13"/>
        <v>66.11</v>
      </c>
      <c r="R422">
        <f>I422-(K422*Standards!$I$15)</f>
        <v>0.1079</v>
      </c>
      <c r="S422">
        <f t="shared" si="14"/>
        <v>3.0805000000000003E-2</v>
      </c>
      <c r="T422" t="s">
        <v>53</v>
      </c>
    </row>
    <row r="423" spans="1:31">
      <c r="A423">
        <v>107</v>
      </c>
      <c r="B423">
        <v>0</v>
      </c>
      <c r="C423">
        <v>4.1399999999999999E-2</v>
      </c>
      <c r="D423">
        <v>33.93</v>
      </c>
      <c r="E423">
        <v>2.75E-2</v>
      </c>
      <c r="F423">
        <v>0</v>
      </c>
      <c r="G423">
        <v>0.1143</v>
      </c>
      <c r="H423">
        <v>7.64</v>
      </c>
      <c r="I423">
        <v>2.3900000000000001E-2</v>
      </c>
      <c r="J423">
        <v>4.0000000000000001E-3</v>
      </c>
      <c r="K423">
        <v>0</v>
      </c>
      <c r="L423">
        <v>58.69</v>
      </c>
      <c r="M423">
        <v>6.0900000000000003E-2</v>
      </c>
      <c r="N423">
        <v>100.53189999999999</v>
      </c>
      <c r="O423" t="s">
        <v>179</v>
      </c>
      <c r="Q423">
        <f t="shared" si="13"/>
        <v>66.33</v>
      </c>
      <c r="R423">
        <f>I423-(K423*Standards!$I$15)</f>
        <v>2.3900000000000001E-2</v>
      </c>
      <c r="S423">
        <f t="shared" si="14"/>
        <v>4.0204999999999998E-2</v>
      </c>
      <c r="T423" t="s">
        <v>53</v>
      </c>
    </row>
    <row r="424" spans="1:31">
      <c r="A424">
        <v>99</v>
      </c>
      <c r="B424">
        <v>0</v>
      </c>
      <c r="C424">
        <v>2.5399999999999999E-2</v>
      </c>
      <c r="D424">
        <v>33.909999999999997</v>
      </c>
      <c r="E424">
        <v>4.9099999999999998E-2</v>
      </c>
      <c r="F424">
        <v>0</v>
      </c>
      <c r="G424">
        <v>0.1459</v>
      </c>
      <c r="H424">
        <v>7.17</v>
      </c>
      <c r="I424">
        <v>4.2599999999999999E-2</v>
      </c>
      <c r="J424">
        <v>0</v>
      </c>
      <c r="K424">
        <v>0</v>
      </c>
      <c r="L424">
        <v>58.68</v>
      </c>
      <c r="M424">
        <v>9.2100000000000001E-2</v>
      </c>
      <c r="N424">
        <v>100.11499999999999</v>
      </c>
      <c r="O424" t="s">
        <v>179</v>
      </c>
      <c r="Q424">
        <f t="shared" si="13"/>
        <v>65.849999999999994</v>
      </c>
      <c r="R424">
        <f>I424-(K424*Standards!$I$15)</f>
        <v>4.2599999999999999E-2</v>
      </c>
      <c r="S424">
        <f t="shared" si="14"/>
        <v>2.3269999999999999E-2</v>
      </c>
      <c r="T424" t="s">
        <v>53</v>
      </c>
    </row>
    <row r="425" spans="1:31">
      <c r="A425">
        <v>24</v>
      </c>
      <c r="B425">
        <v>0</v>
      </c>
      <c r="C425">
        <v>3.4099999999999998E-2</v>
      </c>
      <c r="D425">
        <v>34.14</v>
      </c>
      <c r="E425">
        <v>0.08</v>
      </c>
      <c r="F425">
        <v>0</v>
      </c>
      <c r="G425">
        <v>0.15340000000000001</v>
      </c>
      <c r="H425">
        <v>8.08</v>
      </c>
      <c r="I425">
        <v>8.0500000000000002E-2</v>
      </c>
      <c r="J425">
        <v>4.7500000000000001E-2</v>
      </c>
      <c r="K425">
        <v>0</v>
      </c>
      <c r="L425">
        <v>58.65</v>
      </c>
      <c r="M425">
        <v>0.1462</v>
      </c>
      <c r="N425">
        <v>101.4117</v>
      </c>
      <c r="O425" t="s">
        <v>179</v>
      </c>
      <c r="Q425">
        <f t="shared" si="13"/>
        <v>66.73</v>
      </c>
      <c r="R425">
        <f>I425-(K425*Standards!$I$15)</f>
        <v>8.0500000000000002E-2</v>
      </c>
      <c r="S425">
        <f t="shared" si="14"/>
        <v>3.0074999999999998E-2</v>
      </c>
      <c r="T425" t="s">
        <v>53</v>
      </c>
    </row>
    <row r="426" spans="1:31">
      <c r="A426">
        <v>105</v>
      </c>
      <c r="B426">
        <v>0</v>
      </c>
      <c r="C426">
        <v>4.1799999999999997E-2</v>
      </c>
      <c r="D426">
        <v>34.19</v>
      </c>
      <c r="E426">
        <v>3.2800000000000003E-2</v>
      </c>
      <c r="F426">
        <v>0</v>
      </c>
      <c r="G426">
        <v>0.1177</v>
      </c>
      <c r="H426">
        <v>7.67</v>
      </c>
      <c r="I426">
        <v>2.4299999999999999E-2</v>
      </c>
      <c r="J426">
        <v>3.1399999999999997E-2</v>
      </c>
      <c r="K426">
        <v>0</v>
      </c>
      <c r="L426">
        <v>58.58</v>
      </c>
      <c r="M426">
        <v>7.3400000000000007E-2</v>
      </c>
      <c r="N426">
        <v>100.76139999999999</v>
      </c>
      <c r="O426" t="s">
        <v>179</v>
      </c>
      <c r="Q426">
        <f t="shared" si="13"/>
        <v>66.25</v>
      </c>
      <c r="R426">
        <f>I426-(K426*Standards!$I$15)</f>
        <v>2.4299999999999999E-2</v>
      </c>
      <c r="S426">
        <f t="shared" si="14"/>
        <v>4.0584999999999996E-2</v>
      </c>
      <c r="T426" t="s">
        <v>53</v>
      </c>
    </row>
    <row r="427" spans="1:31">
      <c r="A427">
        <v>94</v>
      </c>
      <c r="B427">
        <v>0</v>
      </c>
      <c r="C427">
        <v>3.7199999999999997E-2</v>
      </c>
      <c r="D427">
        <v>33.54</v>
      </c>
      <c r="E427">
        <v>4.1000000000000002E-2</v>
      </c>
      <c r="F427">
        <v>0</v>
      </c>
      <c r="G427">
        <v>0.1192</v>
      </c>
      <c r="H427">
        <v>7.47</v>
      </c>
      <c r="I427">
        <v>7.1000000000000004E-3</v>
      </c>
      <c r="J427">
        <v>0</v>
      </c>
      <c r="K427">
        <v>0</v>
      </c>
      <c r="L427">
        <v>58.56</v>
      </c>
      <c r="M427">
        <v>7.4999999999999997E-2</v>
      </c>
      <c r="N427">
        <v>99.849599999999995</v>
      </c>
      <c r="O427" t="s">
        <v>179</v>
      </c>
      <c r="Q427">
        <f t="shared" si="13"/>
        <v>66.03</v>
      </c>
      <c r="R427">
        <f>I427-(K427*Standards!$I$15)</f>
        <v>7.1000000000000004E-3</v>
      </c>
      <c r="S427">
        <f t="shared" si="14"/>
        <v>3.6844999999999996E-2</v>
      </c>
      <c r="T427" t="s">
        <v>53</v>
      </c>
    </row>
    <row r="428" spans="1:31">
      <c r="A428">
        <v>101</v>
      </c>
      <c r="B428">
        <v>0</v>
      </c>
      <c r="C428">
        <v>4.5400000000000003E-2</v>
      </c>
      <c r="D428">
        <v>33.86</v>
      </c>
      <c r="E428">
        <v>6.5100000000000005E-2</v>
      </c>
      <c r="F428">
        <v>0</v>
      </c>
      <c r="G428">
        <v>0.16839999999999999</v>
      </c>
      <c r="H428">
        <v>7.67</v>
      </c>
      <c r="I428">
        <v>4.3700000000000003E-2</v>
      </c>
      <c r="J428">
        <v>5.1499999999999997E-2</v>
      </c>
      <c r="K428">
        <v>0</v>
      </c>
      <c r="L428">
        <v>58.02</v>
      </c>
      <c r="M428">
        <v>9.5600000000000004E-2</v>
      </c>
      <c r="N428">
        <v>100.0196</v>
      </c>
      <c r="O428" t="s">
        <v>179</v>
      </c>
      <c r="Q428">
        <f t="shared" si="13"/>
        <v>65.69</v>
      </c>
      <c r="R428">
        <f>I428-(K428*Standards!$I$15)</f>
        <v>4.3700000000000003E-2</v>
      </c>
      <c r="S428">
        <f t="shared" si="14"/>
        <v>4.3215000000000003E-2</v>
      </c>
      <c r="T428" t="s">
        <v>53</v>
      </c>
    </row>
    <row r="429" spans="1:31">
      <c r="A429">
        <v>106</v>
      </c>
      <c r="B429">
        <v>0</v>
      </c>
      <c r="C429">
        <v>2.07E-2</v>
      </c>
      <c r="D429">
        <v>33.82</v>
      </c>
      <c r="E429">
        <v>3.8600000000000002E-2</v>
      </c>
      <c r="F429">
        <v>0</v>
      </c>
      <c r="G429">
        <v>0.1333</v>
      </c>
      <c r="H429">
        <v>8.35</v>
      </c>
      <c r="I429">
        <v>5.4999999999999997E-3</v>
      </c>
      <c r="J429">
        <v>5.3199999999999997E-2</v>
      </c>
      <c r="K429">
        <v>0</v>
      </c>
      <c r="L429">
        <v>57.95</v>
      </c>
      <c r="M429">
        <v>8.6900000000000005E-2</v>
      </c>
      <c r="N429">
        <v>100.45820000000001</v>
      </c>
      <c r="O429" t="s">
        <v>179</v>
      </c>
      <c r="Q429">
        <f t="shared" si="13"/>
        <v>66.3</v>
      </c>
      <c r="R429">
        <f>I429-(K429*Standards!$I$15)</f>
        <v>5.4999999999999997E-3</v>
      </c>
      <c r="S429">
        <f t="shared" si="14"/>
        <v>2.0424999999999999E-2</v>
      </c>
      <c r="T429" t="s">
        <v>53</v>
      </c>
    </row>
    <row r="430" spans="1:31">
      <c r="A430">
        <v>52</v>
      </c>
      <c r="B430">
        <v>0</v>
      </c>
      <c r="C430">
        <v>2.7300000000000001E-2</v>
      </c>
      <c r="D430">
        <v>33.909999999999997</v>
      </c>
      <c r="E430">
        <v>5.6399999999999999E-2</v>
      </c>
      <c r="F430">
        <v>0</v>
      </c>
      <c r="G430">
        <v>0.13969999999999999</v>
      </c>
      <c r="H430">
        <v>8.2100000000000009</v>
      </c>
      <c r="I430">
        <v>7.3700000000000002E-2</v>
      </c>
      <c r="J430">
        <v>0.24759999999999999</v>
      </c>
      <c r="K430">
        <v>3.5700000000000003E-2</v>
      </c>
      <c r="L430">
        <v>57.71</v>
      </c>
      <c r="M430">
        <v>0.1169</v>
      </c>
      <c r="N430">
        <v>100.52719999999999</v>
      </c>
      <c r="O430" t="s">
        <v>179</v>
      </c>
      <c r="Q430">
        <f t="shared" si="13"/>
        <v>65.92</v>
      </c>
      <c r="R430">
        <f>I430-(K430*Standards!$I$15)</f>
        <v>7.3621013750000006E-2</v>
      </c>
      <c r="S430">
        <f t="shared" si="14"/>
        <v>2.3615000000000001E-2</v>
      </c>
      <c r="T430" t="s">
        <v>53</v>
      </c>
    </row>
    <row r="431" spans="1:31">
      <c r="A431">
        <v>23</v>
      </c>
      <c r="B431">
        <v>0</v>
      </c>
      <c r="C431">
        <v>5.1999999999999998E-2</v>
      </c>
      <c r="D431">
        <v>34.24</v>
      </c>
      <c r="E431">
        <v>4.99E-2</v>
      </c>
      <c r="F431">
        <v>0</v>
      </c>
      <c r="G431">
        <v>0.12509999999999999</v>
      </c>
      <c r="H431">
        <v>10.72</v>
      </c>
      <c r="I431">
        <v>1.8800000000000001E-2</v>
      </c>
      <c r="J431">
        <v>2.0400000000000001E-2</v>
      </c>
      <c r="K431">
        <v>0</v>
      </c>
      <c r="L431">
        <v>56.77</v>
      </c>
      <c r="M431">
        <v>0.1042</v>
      </c>
      <c r="N431">
        <v>102.1003</v>
      </c>
      <c r="O431" t="s">
        <v>370</v>
      </c>
      <c r="Q431">
        <f t="shared" si="13"/>
        <v>67.490000000000009</v>
      </c>
      <c r="R431">
        <f>I431-(K431*Standards!$I$15)</f>
        <v>1.8800000000000001E-2</v>
      </c>
      <c r="S431">
        <f t="shared" si="14"/>
        <v>5.1059999999999994E-2</v>
      </c>
      <c r="T431" t="s">
        <v>71</v>
      </c>
      <c r="U431">
        <f>COUNT(R431:R434,R493:R506)</f>
        <v>18</v>
      </c>
      <c r="V431">
        <f>MAX(H431:H434,H493:H506)</f>
        <v>10.84</v>
      </c>
      <c r="W431">
        <f>AVERAGE(H431:H434,H493:H506)</f>
        <v>6.3527777777777779</v>
      </c>
      <c r="X431">
        <f>MAX(J431:J434,J493:J506)</f>
        <v>5.8099999999999999E-2</v>
      </c>
      <c r="Y431">
        <f>AVERAGE(J431:J434,J493:J506)</f>
        <v>1.5772222222222226E-2</v>
      </c>
      <c r="Z431">
        <f>10000*MAX(R431:R434,R493:R506)</f>
        <v>532</v>
      </c>
      <c r="AA431">
        <f>10000*AVERAGE(R431:R434,R493:R506)</f>
        <v>399.38888888888886</v>
      </c>
      <c r="AB431">
        <f>10000*MAX(G431:G434,G493:G506)</f>
        <v>1438</v>
      </c>
      <c r="AC431">
        <f>10000*AVERAGE(G431:G434,G493:G506)</f>
        <v>1295.7777777777776</v>
      </c>
      <c r="AD431">
        <f>10000*MAX(S431:S434,S493:S506)</f>
        <v>563.15000000000009</v>
      </c>
      <c r="AE431">
        <f>10000*AVERAGE(S431:S434,S493:S506)</f>
        <v>435.75277777777774</v>
      </c>
    </row>
    <row r="432" spans="1:31">
      <c r="A432">
        <v>22</v>
      </c>
      <c r="B432">
        <v>0</v>
      </c>
      <c r="C432">
        <v>9.4999999999999998E-3</v>
      </c>
      <c r="D432">
        <v>33.909999999999997</v>
      </c>
      <c r="E432">
        <v>5.7500000000000002E-2</v>
      </c>
      <c r="F432">
        <v>0</v>
      </c>
      <c r="G432">
        <v>0.1293</v>
      </c>
      <c r="H432">
        <v>10.7</v>
      </c>
      <c r="I432">
        <v>1.55E-2</v>
      </c>
      <c r="J432">
        <v>3.4599999999999999E-2</v>
      </c>
      <c r="K432">
        <v>0</v>
      </c>
      <c r="L432">
        <v>56.49</v>
      </c>
      <c r="M432">
        <v>0.11360000000000001</v>
      </c>
      <c r="N432">
        <v>101.4599</v>
      </c>
      <c r="O432" t="s">
        <v>370</v>
      </c>
      <c r="Q432">
        <f t="shared" si="13"/>
        <v>67.19</v>
      </c>
      <c r="R432">
        <f>I432-(K432*Standards!$I$15)</f>
        <v>1.55E-2</v>
      </c>
      <c r="S432">
        <f t="shared" si="14"/>
        <v>8.7250000000000001E-3</v>
      </c>
      <c r="T432" t="s">
        <v>71</v>
      </c>
    </row>
    <row r="433" spans="1:31">
      <c r="A433">
        <v>24</v>
      </c>
      <c r="B433">
        <v>0</v>
      </c>
      <c r="C433">
        <v>3.61E-2</v>
      </c>
      <c r="D433">
        <v>34.21</v>
      </c>
      <c r="E433">
        <v>5.79E-2</v>
      </c>
      <c r="F433">
        <v>0</v>
      </c>
      <c r="G433">
        <v>0.1244</v>
      </c>
      <c r="H433">
        <v>10.84</v>
      </c>
      <c r="I433">
        <v>1.9699999999999999E-2</v>
      </c>
      <c r="J433">
        <v>4.82E-2</v>
      </c>
      <c r="K433">
        <v>0</v>
      </c>
      <c r="L433">
        <v>56.45</v>
      </c>
      <c r="M433">
        <v>0.11310000000000001</v>
      </c>
      <c r="N433">
        <v>101.8993</v>
      </c>
      <c r="O433" t="s">
        <v>370</v>
      </c>
      <c r="Q433">
        <f t="shared" si="13"/>
        <v>67.290000000000006</v>
      </c>
      <c r="R433">
        <f>I433-(K433*Standards!$I$15)</f>
        <v>1.9699999999999999E-2</v>
      </c>
      <c r="S433">
        <f t="shared" si="14"/>
        <v>3.5115E-2</v>
      </c>
      <c r="T433" t="s">
        <v>71</v>
      </c>
    </row>
    <row r="434" spans="1:31">
      <c r="A434">
        <v>25</v>
      </c>
      <c r="B434">
        <v>0</v>
      </c>
      <c r="C434">
        <v>3.7699999999999997E-2</v>
      </c>
      <c r="D434">
        <v>34.229999999999997</v>
      </c>
      <c r="E434">
        <v>4.9000000000000002E-2</v>
      </c>
      <c r="F434">
        <v>0</v>
      </c>
      <c r="G434">
        <v>0.12709999999999999</v>
      </c>
      <c r="H434">
        <v>10.71</v>
      </c>
      <c r="I434">
        <v>2.3800000000000002E-2</v>
      </c>
      <c r="J434">
        <v>5.8099999999999999E-2</v>
      </c>
      <c r="K434">
        <v>0</v>
      </c>
      <c r="L434">
        <v>56.39</v>
      </c>
      <c r="M434">
        <v>9.5399999999999999E-2</v>
      </c>
      <c r="N434">
        <v>101.721</v>
      </c>
      <c r="O434" t="s">
        <v>370</v>
      </c>
      <c r="Q434">
        <f t="shared" si="13"/>
        <v>67.099999999999994</v>
      </c>
      <c r="R434">
        <f>I434-(K434*Standards!$I$15)</f>
        <v>2.3800000000000002E-2</v>
      </c>
      <c r="S434">
        <f t="shared" si="14"/>
        <v>3.6510000000000001E-2</v>
      </c>
      <c r="T434" t="s">
        <v>71</v>
      </c>
    </row>
    <row r="435" spans="1:31">
      <c r="A435">
        <v>57</v>
      </c>
      <c r="B435">
        <v>0</v>
      </c>
      <c r="C435">
        <v>3.5700000000000003E-2</v>
      </c>
      <c r="D435">
        <v>34.450000000000003</v>
      </c>
      <c r="E435">
        <v>0.1021</v>
      </c>
      <c r="F435">
        <v>0</v>
      </c>
      <c r="G435">
        <v>0.23910000000000001</v>
      </c>
      <c r="H435">
        <v>8.67</v>
      </c>
      <c r="I435">
        <v>1.78E-2</v>
      </c>
      <c r="J435">
        <v>0.22140000000000001</v>
      </c>
      <c r="K435">
        <v>0</v>
      </c>
      <c r="L435">
        <v>58.93</v>
      </c>
      <c r="M435">
        <v>7.4999999999999997E-2</v>
      </c>
      <c r="N435">
        <v>102.7411</v>
      </c>
      <c r="O435" t="s">
        <v>371</v>
      </c>
      <c r="Q435">
        <f t="shared" si="13"/>
        <v>67.599999999999994</v>
      </c>
      <c r="R435">
        <f>I435-(K435*Standards!$I$15)</f>
        <v>1.78E-2</v>
      </c>
      <c r="S435">
        <f t="shared" si="14"/>
        <v>3.4810000000000001E-2</v>
      </c>
      <c r="T435" t="s">
        <v>44</v>
      </c>
    </row>
    <row r="436" spans="1:31">
      <c r="A436">
        <v>99</v>
      </c>
      <c r="B436">
        <v>0</v>
      </c>
      <c r="C436">
        <v>3.4000000000000002E-2</v>
      </c>
      <c r="D436">
        <v>34.32</v>
      </c>
      <c r="E436">
        <v>0.1125</v>
      </c>
      <c r="F436">
        <v>2.3E-3</v>
      </c>
      <c r="G436">
        <v>0.26590000000000003</v>
      </c>
      <c r="H436">
        <v>9.2100000000000009</v>
      </c>
      <c r="I436">
        <v>1.09E-2</v>
      </c>
      <c r="J436">
        <v>1.56</v>
      </c>
      <c r="K436">
        <v>0</v>
      </c>
      <c r="L436">
        <v>56.36</v>
      </c>
      <c r="M436">
        <v>7.4899999999999994E-2</v>
      </c>
      <c r="N436">
        <v>101.9504</v>
      </c>
      <c r="O436" t="s">
        <v>372</v>
      </c>
      <c r="Q436">
        <f t="shared" si="13"/>
        <v>65.569999999999993</v>
      </c>
      <c r="R436">
        <f>I436-(K436*Standards!$I$15)</f>
        <v>1.09E-2</v>
      </c>
      <c r="S436">
        <f t="shared" si="14"/>
        <v>3.3455000000000006E-2</v>
      </c>
      <c r="T436" t="s">
        <v>44</v>
      </c>
    </row>
    <row r="437" spans="1:31">
      <c r="A437">
        <v>104</v>
      </c>
      <c r="B437">
        <v>0</v>
      </c>
      <c r="C437">
        <v>2.0199999999999999E-2</v>
      </c>
      <c r="D437">
        <v>34.47</v>
      </c>
      <c r="E437">
        <v>0.1134</v>
      </c>
      <c r="F437">
        <v>8.2000000000000007E-3</v>
      </c>
      <c r="G437">
        <v>0.25609999999999999</v>
      </c>
      <c r="H437">
        <v>9.56</v>
      </c>
      <c r="I437">
        <v>7.7999999999999996E-3</v>
      </c>
      <c r="J437">
        <v>6.6000000000000003E-2</v>
      </c>
      <c r="K437">
        <v>0</v>
      </c>
      <c r="L437">
        <v>57.28</v>
      </c>
      <c r="M437">
        <v>7.8100000000000003E-2</v>
      </c>
      <c r="N437">
        <v>101.85980000000001</v>
      </c>
      <c r="O437" t="s">
        <v>372</v>
      </c>
      <c r="Q437">
        <f t="shared" si="13"/>
        <v>66.84</v>
      </c>
      <c r="R437">
        <f>I437-(K437*Standards!$I$15)</f>
        <v>7.7999999999999996E-3</v>
      </c>
      <c r="S437">
        <f t="shared" si="14"/>
        <v>1.9809999999999998E-2</v>
      </c>
      <c r="T437" t="s">
        <v>44</v>
      </c>
    </row>
    <row r="438" spans="1:31">
      <c r="A438">
        <v>105</v>
      </c>
      <c r="B438">
        <v>0</v>
      </c>
      <c r="C438">
        <v>3.1E-2</v>
      </c>
      <c r="D438">
        <v>34.380000000000003</v>
      </c>
      <c r="E438">
        <v>9.64E-2</v>
      </c>
      <c r="F438">
        <v>0</v>
      </c>
      <c r="G438">
        <v>0.25219999999999998</v>
      </c>
      <c r="H438">
        <v>9.6300000000000008</v>
      </c>
      <c r="I438">
        <v>7.4999999999999997E-3</v>
      </c>
      <c r="J438">
        <v>6.8500000000000005E-2</v>
      </c>
      <c r="K438">
        <v>0</v>
      </c>
      <c r="L438">
        <v>56.54</v>
      </c>
      <c r="M438">
        <v>9.7799999999999998E-2</v>
      </c>
      <c r="N438">
        <v>101.1033</v>
      </c>
      <c r="O438" t="s">
        <v>372</v>
      </c>
      <c r="Q438">
        <f t="shared" si="13"/>
        <v>66.17</v>
      </c>
      <c r="R438">
        <f>I438-(K438*Standards!$I$15)</f>
        <v>7.4999999999999997E-3</v>
      </c>
      <c r="S438">
        <f t="shared" si="14"/>
        <v>3.0624999999999999E-2</v>
      </c>
      <c r="T438" t="s">
        <v>44</v>
      </c>
    </row>
    <row r="439" spans="1:31">
      <c r="A439">
        <v>9</v>
      </c>
      <c r="B439">
        <v>0</v>
      </c>
      <c r="C439">
        <v>3.9399999999999998E-2</v>
      </c>
      <c r="D439">
        <v>34.33</v>
      </c>
      <c r="E439">
        <v>0.1608</v>
      </c>
      <c r="F439">
        <v>9.7000000000000003E-3</v>
      </c>
      <c r="G439">
        <v>0.311</v>
      </c>
      <c r="H439">
        <v>10.46</v>
      </c>
      <c r="I439">
        <v>9.8900000000000002E-2</v>
      </c>
      <c r="J439">
        <v>0.1173</v>
      </c>
      <c r="K439">
        <v>0</v>
      </c>
      <c r="L439">
        <v>56.37</v>
      </c>
      <c r="M439">
        <v>8.8999999999999996E-2</v>
      </c>
      <c r="N439">
        <v>101.986</v>
      </c>
      <c r="O439" t="s">
        <v>373</v>
      </c>
      <c r="Q439">
        <f t="shared" si="13"/>
        <v>66.83</v>
      </c>
      <c r="R439">
        <f>I439-(K439*Standards!$I$15)</f>
        <v>9.8900000000000002E-2</v>
      </c>
      <c r="S439">
        <f t="shared" si="14"/>
        <v>3.4455E-2</v>
      </c>
      <c r="T439" t="s">
        <v>44</v>
      </c>
    </row>
    <row r="440" spans="1:31">
      <c r="A440">
        <v>10</v>
      </c>
      <c r="B440">
        <v>0</v>
      </c>
      <c r="C440">
        <v>3.61E-2</v>
      </c>
      <c r="D440">
        <v>34.229999999999997</v>
      </c>
      <c r="E440">
        <v>0.15479999999999999</v>
      </c>
      <c r="F440">
        <v>1.1299999999999999E-2</v>
      </c>
      <c r="G440">
        <v>0.32240000000000002</v>
      </c>
      <c r="H440">
        <v>9.9600000000000009</v>
      </c>
      <c r="I440">
        <v>0.1164</v>
      </c>
      <c r="J440">
        <v>0.1236</v>
      </c>
      <c r="K440">
        <v>0</v>
      </c>
      <c r="L440">
        <v>57.12</v>
      </c>
      <c r="M440">
        <v>0.1148</v>
      </c>
      <c r="N440">
        <v>102.1893</v>
      </c>
      <c r="O440" t="s">
        <v>373</v>
      </c>
      <c r="Q440">
        <f t="shared" si="13"/>
        <v>67.08</v>
      </c>
      <c r="R440">
        <f>I440-(K440*Standards!$I$15)</f>
        <v>0.1164</v>
      </c>
      <c r="S440">
        <f t="shared" si="14"/>
        <v>3.0280000000000001E-2</v>
      </c>
      <c r="T440" t="s">
        <v>44</v>
      </c>
    </row>
    <row r="441" spans="1:31">
      <c r="A441">
        <v>14</v>
      </c>
      <c r="B441">
        <v>0</v>
      </c>
      <c r="C441">
        <v>3.95E-2</v>
      </c>
      <c r="D441">
        <v>34.44</v>
      </c>
      <c r="E441">
        <v>0.1527</v>
      </c>
      <c r="F441">
        <v>0</v>
      </c>
      <c r="G441">
        <v>0.32629999999999998</v>
      </c>
      <c r="H441">
        <v>10.42</v>
      </c>
      <c r="I441">
        <v>9.4200000000000006E-2</v>
      </c>
      <c r="J441">
        <v>0.111</v>
      </c>
      <c r="K441">
        <v>0</v>
      </c>
      <c r="L441">
        <v>56.92</v>
      </c>
      <c r="M441">
        <v>8.4199999999999997E-2</v>
      </c>
      <c r="N441">
        <v>102.5878</v>
      </c>
      <c r="O441" t="s">
        <v>373</v>
      </c>
      <c r="Q441">
        <f t="shared" si="13"/>
        <v>67.34</v>
      </c>
      <c r="R441">
        <f>I441-(K441*Standards!$I$15)</f>
        <v>9.4200000000000006E-2</v>
      </c>
      <c r="S441">
        <f t="shared" si="14"/>
        <v>3.4790000000000001E-2</v>
      </c>
      <c r="T441" t="s">
        <v>44</v>
      </c>
    </row>
    <row r="442" spans="1:31">
      <c r="A442">
        <v>15</v>
      </c>
      <c r="B442">
        <v>0</v>
      </c>
      <c r="C442">
        <v>4.6800000000000001E-2</v>
      </c>
      <c r="D442">
        <v>34.4</v>
      </c>
      <c r="E442">
        <v>0.15440000000000001</v>
      </c>
      <c r="F442">
        <v>0</v>
      </c>
      <c r="G442">
        <v>0.31509999999999999</v>
      </c>
      <c r="H442">
        <v>9.9499999999999993</v>
      </c>
      <c r="I442">
        <v>0.1167</v>
      </c>
      <c r="J442">
        <v>0.24410000000000001</v>
      </c>
      <c r="K442">
        <v>0</v>
      </c>
      <c r="L442">
        <v>57.17</v>
      </c>
      <c r="M442">
        <v>0.107</v>
      </c>
      <c r="N442">
        <v>102.504</v>
      </c>
      <c r="O442" t="s">
        <v>373</v>
      </c>
      <c r="Q442">
        <f t="shared" si="13"/>
        <v>67.12</v>
      </c>
      <c r="R442">
        <f>I442-(K442*Standards!$I$15)</f>
        <v>0.1167</v>
      </c>
      <c r="S442">
        <f t="shared" si="14"/>
        <v>4.0965000000000001E-2</v>
      </c>
      <c r="T442" t="s">
        <v>44</v>
      </c>
    </row>
    <row r="443" spans="1:31">
      <c r="A443">
        <v>16</v>
      </c>
      <c r="B443">
        <v>0</v>
      </c>
      <c r="C443">
        <v>4.7199999999999999E-2</v>
      </c>
      <c r="D443">
        <v>34.200000000000003</v>
      </c>
      <c r="E443">
        <v>0.16139999999999999</v>
      </c>
      <c r="F443">
        <v>0</v>
      </c>
      <c r="G443">
        <v>0.312</v>
      </c>
      <c r="H443">
        <v>9.7100000000000009</v>
      </c>
      <c r="I443">
        <v>0.1164</v>
      </c>
      <c r="J443">
        <v>0.27529999999999999</v>
      </c>
      <c r="K443">
        <v>0</v>
      </c>
      <c r="L443">
        <v>56.92</v>
      </c>
      <c r="M443">
        <v>8.9200000000000002E-2</v>
      </c>
      <c r="N443">
        <v>101.8314</v>
      </c>
      <c r="O443" t="s">
        <v>373</v>
      </c>
      <c r="Q443">
        <f t="shared" si="13"/>
        <v>66.63</v>
      </c>
      <c r="R443">
        <f>I443-(K443*Standards!$I$15)</f>
        <v>0.1164</v>
      </c>
      <c r="S443">
        <f t="shared" si="14"/>
        <v>4.138E-2</v>
      </c>
      <c r="T443" t="s">
        <v>44</v>
      </c>
    </row>
    <row r="444" spans="1:31">
      <c r="A444">
        <v>44</v>
      </c>
      <c r="B444">
        <v>0</v>
      </c>
      <c r="C444">
        <v>6.4199999999999993E-2</v>
      </c>
      <c r="D444">
        <v>33.29</v>
      </c>
      <c r="E444">
        <v>0</v>
      </c>
      <c r="F444">
        <v>0</v>
      </c>
      <c r="G444">
        <v>2.1399999999999999E-2</v>
      </c>
      <c r="H444">
        <v>0.2021</v>
      </c>
      <c r="I444">
        <v>1.14E-2</v>
      </c>
      <c r="J444">
        <v>4.7800000000000002E-2</v>
      </c>
      <c r="K444">
        <v>3.8800000000000001E-2</v>
      </c>
      <c r="L444">
        <v>66.67</v>
      </c>
      <c r="M444">
        <v>0.1113</v>
      </c>
      <c r="N444">
        <v>100.4569</v>
      </c>
      <c r="O444" t="s">
        <v>374</v>
      </c>
      <c r="Q444">
        <f t="shared" si="13"/>
        <v>66.872100000000003</v>
      </c>
      <c r="R444">
        <f>I444-(K444*Standards!$I$15)</f>
        <v>1.1314155000000001E-2</v>
      </c>
      <c r="S444">
        <f t="shared" si="14"/>
        <v>6.3629999999999992E-2</v>
      </c>
      <c r="T444" t="s">
        <v>185</v>
      </c>
    </row>
    <row r="445" spans="1:31">
      <c r="A445">
        <v>45</v>
      </c>
      <c r="B445">
        <v>0</v>
      </c>
      <c r="C445">
        <v>4.5199999999999997E-2</v>
      </c>
      <c r="D445">
        <v>33.82</v>
      </c>
      <c r="E445">
        <v>0</v>
      </c>
      <c r="F445">
        <v>0</v>
      </c>
      <c r="G445">
        <v>2.5000000000000001E-3</v>
      </c>
      <c r="H445">
        <v>0.1099</v>
      </c>
      <c r="I445">
        <v>1.3299999999999999E-2</v>
      </c>
      <c r="J445">
        <v>0.26440000000000002</v>
      </c>
      <c r="K445">
        <v>0.29260000000000003</v>
      </c>
      <c r="L445">
        <v>66.56</v>
      </c>
      <c r="M445">
        <v>0.13239999999999999</v>
      </c>
      <c r="N445">
        <v>101.2402</v>
      </c>
      <c r="O445" t="s">
        <v>374</v>
      </c>
      <c r="Q445">
        <f t="shared" si="13"/>
        <v>66.669899999999998</v>
      </c>
      <c r="R445">
        <f>I445-(K445*Standards!$I$15)</f>
        <v>1.2652622499999999E-2</v>
      </c>
      <c r="S445">
        <f t="shared" si="14"/>
        <v>4.4534999999999998E-2</v>
      </c>
      <c r="T445" t="s">
        <v>185</v>
      </c>
    </row>
    <row r="446" spans="1:31">
      <c r="A446">
        <v>43</v>
      </c>
      <c r="B446">
        <v>0</v>
      </c>
      <c r="C446">
        <v>6.2199999999999998E-2</v>
      </c>
      <c r="D446">
        <v>33.76</v>
      </c>
      <c r="E446">
        <v>0</v>
      </c>
      <c r="F446">
        <v>0</v>
      </c>
      <c r="G446">
        <v>0</v>
      </c>
      <c r="H446">
        <v>8.14E-2</v>
      </c>
      <c r="I446">
        <v>8.3999999999999995E-3</v>
      </c>
      <c r="J446">
        <v>0.16769999999999999</v>
      </c>
      <c r="K446">
        <v>0.15579999999999999</v>
      </c>
      <c r="L446">
        <v>66.23</v>
      </c>
      <c r="M446">
        <v>0.13769999999999999</v>
      </c>
      <c r="N446">
        <v>100.6031</v>
      </c>
      <c r="O446" t="s">
        <v>374</v>
      </c>
      <c r="Q446">
        <f t="shared" si="13"/>
        <v>66.311400000000006</v>
      </c>
      <c r="R446">
        <f>I446-(K446*Standards!$I$15)</f>
        <v>8.0552925000000001E-3</v>
      </c>
      <c r="S446">
        <f t="shared" si="14"/>
        <v>6.1780000000000002E-2</v>
      </c>
      <c r="T446" t="s">
        <v>185</v>
      </c>
    </row>
    <row r="447" spans="1:31">
      <c r="A447">
        <v>20</v>
      </c>
      <c r="B447">
        <v>0</v>
      </c>
      <c r="C447">
        <v>5.8099999999999999E-2</v>
      </c>
      <c r="D447">
        <v>33.44</v>
      </c>
      <c r="E447">
        <v>5.16E-2</v>
      </c>
      <c r="F447">
        <v>0</v>
      </c>
      <c r="G447">
        <v>0.12379999999999999</v>
      </c>
      <c r="H447">
        <v>1.02</v>
      </c>
      <c r="I447">
        <v>0.1704</v>
      </c>
      <c r="J447">
        <v>0.12690000000000001</v>
      </c>
      <c r="K447">
        <v>0</v>
      </c>
      <c r="L447">
        <v>66.959999999999994</v>
      </c>
      <c r="M447">
        <v>0.124</v>
      </c>
      <c r="N447">
        <v>102.07470000000001</v>
      </c>
      <c r="O447" t="s">
        <v>375</v>
      </c>
      <c r="Q447">
        <f t="shared" si="13"/>
        <v>67.97999999999999</v>
      </c>
      <c r="R447">
        <f>I447-(K447*Standards!$I$15)</f>
        <v>0.1704</v>
      </c>
      <c r="S447">
        <f t="shared" si="14"/>
        <v>4.9579999999999999E-2</v>
      </c>
      <c r="T447" t="s">
        <v>187</v>
      </c>
      <c r="U447">
        <f>COUNT(R447:R473)</f>
        <v>27</v>
      </c>
      <c r="V447">
        <f>MAX(H447:H473)</f>
        <v>4.4400000000000004</v>
      </c>
      <c r="W447">
        <f>AVERAGE(H447:H473)</f>
        <v>1.3885407407407409</v>
      </c>
      <c r="X447">
        <f>MAX(J447:J473)</f>
        <v>4.57</v>
      </c>
      <c r="Y447">
        <f>AVERAGE(J447:J473)</f>
        <v>0.76789629629629619</v>
      </c>
      <c r="Z447">
        <f>10000*MAX(R447:R473)</f>
        <v>2632.2145125000002</v>
      </c>
      <c r="AA447">
        <f>10000*AVERAGE(R447:R473)</f>
        <v>1191.0930740740739</v>
      </c>
      <c r="AB447">
        <f>10000*MAX(G447:G473)</f>
        <v>1452</v>
      </c>
      <c r="AC447">
        <f>10000*AVERAGE(G447:G473)</f>
        <v>1300.148148148148</v>
      </c>
      <c r="AD447">
        <f>10000*MAX(S447:S473)</f>
        <v>666.1</v>
      </c>
      <c r="AE447">
        <f>10000*AVERAGE(S447:S473)</f>
        <v>467.36111111111103</v>
      </c>
    </row>
    <row r="448" spans="1:31">
      <c r="A448">
        <v>21</v>
      </c>
      <c r="B448">
        <v>0</v>
      </c>
      <c r="C448">
        <v>5.4199999999999998E-2</v>
      </c>
      <c r="D448">
        <v>33.869999999999997</v>
      </c>
      <c r="E448">
        <v>5.5300000000000002E-2</v>
      </c>
      <c r="F448">
        <v>0</v>
      </c>
      <c r="G448">
        <v>0.13109999999999999</v>
      </c>
      <c r="H448">
        <v>1.1100000000000001</v>
      </c>
      <c r="I448">
        <v>0.112</v>
      </c>
      <c r="J448">
        <v>0.13830000000000001</v>
      </c>
      <c r="K448">
        <v>0</v>
      </c>
      <c r="L448">
        <v>66.900000000000006</v>
      </c>
      <c r="M448">
        <v>0.12</v>
      </c>
      <c r="N448">
        <v>102.4909</v>
      </c>
      <c r="O448" t="s">
        <v>375</v>
      </c>
      <c r="Q448">
        <f t="shared" si="13"/>
        <v>68.010000000000005</v>
      </c>
      <c r="R448">
        <f>I448-(K448*Standards!$I$15)</f>
        <v>0.112</v>
      </c>
      <c r="S448">
        <f t="shared" si="14"/>
        <v>4.8599999999999997E-2</v>
      </c>
      <c r="T448" t="s">
        <v>187</v>
      </c>
    </row>
    <row r="449" spans="1:20">
      <c r="A449">
        <v>19</v>
      </c>
      <c r="B449">
        <v>0</v>
      </c>
      <c r="C449">
        <v>6.6299999999999998E-2</v>
      </c>
      <c r="D449">
        <v>33.76</v>
      </c>
      <c r="E449">
        <v>4.1000000000000002E-2</v>
      </c>
      <c r="F449">
        <v>0</v>
      </c>
      <c r="G449">
        <v>0.1351</v>
      </c>
      <c r="H449">
        <v>1.04</v>
      </c>
      <c r="I449">
        <v>7.2400000000000006E-2</v>
      </c>
      <c r="J449">
        <v>0.19739999999999999</v>
      </c>
      <c r="K449">
        <v>0</v>
      </c>
      <c r="L449">
        <v>66.88</v>
      </c>
      <c r="M449">
        <v>0.1041</v>
      </c>
      <c r="N449">
        <v>102.2962</v>
      </c>
      <c r="O449" t="s">
        <v>375</v>
      </c>
      <c r="Q449">
        <f t="shared" si="13"/>
        <v>67.92</v>
      </c>
      <c r="R449">
        <f>I449-(K449*Standards!$I$15)</f>
        <v>7.2400000000000006E-2</v>
      </c>
      <c r="S449">
        <f t="shared" si="14"/>
        <v>6.268E-2</v>
      </c>
      <c r="T449" t="s">
        <v>187</v>
      </c>
    </row>
    <row r="450" spans="1:20">
      <c r="A450">
        <v>18</v>
      </c>
      <c r="B450">
        <v>0</v>
      </c>
      <c r="C450">
        <v>4.9200000000000001E-2</v>
      </c>
      <c r="D450">
        <v>33.6</v>
      </c>
      <c r="E450">
        <v>5.1400000000000001E-2</v>
      </c>
      <c r="F450">
        <v>0</v>
      </c>
      <c r="G450">
        <v>0.12180000000000001</v>
      </c>
      <c r="H450">
        <v>1.1499999999999999</v>
      </c>
      <c r="I450">
        <v>5.62E-2</v>
      </c>
      <c r="J450">
        <v>5.5800000000000002E-2</v>
      </c>
      <c r="K450">
        <v>0</v>
      </c>
      <c r="L450">
        <v>66.739999999999995</v>
      </c>
      <c r="M450">
        <v>0.13059999999999999</v>
      </c>
      <c r="N450">
        <v>101.95489999999999</v>
      </c>
      <c r="O450" t="s">
        <v>375</v>
      </c>
      <c r="Q450">
        <f t="shared" si="13"/>
        <v>67.89</v>
      </c>
      <c r="R450">
        <f>I450-(K450*Standards!$I$15)</f>
        <v>5.62E-2</v>
      </c>
      <c r="S450">
        <f t="shared" si="14"/>
        <v>4.6390000000000001E-2</v>
      </c>
      <c r="T450" t="s">
        <v>187</v>
      </c>
    </row>
    <row r="451" spans="1:20">
      <c r="A451">
        <v>24</v>
      </c>
      <c r="B451">
        <v>0</v>
      </c>
      <c r="C451">
        <v>5.11E-2</v>
      </c>
      <c r="D451">
        <v>33.729999999999997</v>
      </c>
      <c r="E451">
        <v>3.7100000000000001E-2</v>
      </c>
      <c r="F451">
        <v>0</v>
      </c>
      <c r="G451">
        <v>0.1298</v>
      </c>
      <c r="H451">
        <v>1.06</v>
      </c>
      <c r="I451">
        <v>0.14510000000000001</v>
      </c>
      <c r="J451">
        <v>0.19270000000000001</v>
      </c>
      <c r="K451">
        <v>0</v>
      </c>
      <c r="L451">
        <v>66.63</v>
      </c>
      <c r="M451">
        <v>0.13059999999999999</v>
      </c>
      <c r="N451">
        <v>102.1063</v>
      </c>
      <c r="O451" t="s">
        <v>375</v>
      </c>
      <c r="Q451">
        <f t="shared" ref="Q451:Q514" si="15">H451+L451</f>
        <v>67.69</v>
      </c>
      <c r="R451">
        <f>I451-(K451*Standards!$I$15)</f>
        <v>0.14510000000000001</v>
      </c>
      <c r="S451">
        <f t="shared" ref="S451:S514" si="16">C451-(I451*0.05)</f>
        <v>4.3844999999999995E-2</v>
      </c>
      <c r="T451" t="s">
        <v>187</v>
      </c>
    </row>
    <row r="452" spans="1:20">
      <c r="A452">
        <v>22</v>
      </c>
      <c r="B452">
        <v>0</v>
      </c>
      <c r="C452">
        <v>4.8300000000000003E-2</v>
      </c>
      <c r="D452">
        <v>33.76</v>
      </c>
      <c r="E452">
        <v>3.7499999999999999E-2</v>
      </c>
      <c r="F452">
        <v>0</v>
      </c>
      <c r="G452">
        <v>0.12590000000000001</v>
      </c>
      <c r="H452">
        <v>0.97899999999999998</v>
      </c>
      <c r="I452">
        <v>8.7499999999999994E-2</v>
      </c>
      <c r="J452">
        <v>0.21079999999999999</v>
      </c>
      <c r="K452">
        <v>0.1094</v>
      </c>
      <c r="L452">
        <v>66.62</v>
      </c>
      <c r="M452">
        <v>0.12759999999999999</v>
      </c>
      <c r="N452">
        <v>102.10599999999999</v>
      </c>
      <c r="O452" t="s">
        <v>375</v>
      </c>
      <c r="Q452">
        <f t="shared" si="15"/>
        <v>67.599000000000004</v>
      </c>
      <c r="R452">
        <f>I452-(K452*Standards!$I$15)</f>
        <v>8.7257952499999999E-2</v>
      </c>
      <c r="S452">
        <f t="shared" si="16"/>
        <v>4.3925000000000006E-2</v>
      </c>
      <c r="T452" t="s">
        <v>187</v>
      </c>
    </row>
    <row r="453" spans="1:20">
      <c r="A453">
        <v>25</v>
      </c>
      <c r="B453">
        <v>0</v>
      </c>
      <c r="C453">
        <v>7.2700000000000001E-2</v>
      </c>
      <c r="D453">
        <v>33.72</v>
      </c>
      <c r="E453">
        <v>4.3900000000000002E-2</v>
      </c>
      <c r="F453">
        <v>0</v>
      </c>
      <c r="G453">
        <v>0.128</v>
      </c>
      <c r="H453">
        <v>1.26</v>
      </c>
      <c r="I453">
        <v>0.12180000000000001</v>
      </c>
      <c r="J453">
        <v>0.35089999999999999</v>
      </c>
      <c r="K453">
        <v>0</v>
      </c>
      <c r="L453">
        <v>66.31</v>
      </c>
      <c r="M453">
        <v>0.13350000000000001</v>
      </c>
      <c r="N453">
        <v>102.1407</v>
      </c>
      <c r="O453" t="s">
        <v>375</v>
      </c>
      <c r="Q453">
        <f t="shared" si="15"/>
        <v>67.570000000000007</v>
      </c>
      <c r="R453">
        <f>I453-(K453*Standards!$I$15)</f>
        <v>0.12180000000000001</v>
      </c>
      <c r="S453">
        <f t="shared" si="16"/>
        <v>6.6610000000000003E-2</v>
      </c>
      <c r="T453" t="s">
        <v>187</v>
      </c>
    </row>
    <row r="454" spans="1:20">
      <c r="A454">
        <v>23</v>
      </c>
      <c r="B454">
        <v>0</v>
      </c>
      <c r="C454">
        <v>6.0199999999999997E-2</v>
      </c>
      <c r="D454">
        <v>33.74</v>
      </c>
      <c r="E454">
        <v>5.1499999999999997E-2</v>
      </c>
      <c r="F454">
        <v>0</v>
      </c>
      <c r="G454">
        <v>0.1197</v>
      </c>
      <c r="H454">
        <v>1.57</v>
      </c>
      <c r="I454">
        <v>0.1893</v>
      </c>
      <c r="J454">
        <v>1.08</v>
      </c>
      <c r="K454">
        <v>0</v>
      </c>
      <c r="L454">
        <v>65.41</v>
      </c>
      <c r="M454">
        <v>0.14119999999999999</v>
      </c>
      <c r="N454">
        <v>102.3618</v>
      </c>
      <c r="O454" t="s">
        <v>375</v>
      </c>
      <c r="Q454">
        <f t="shared" si="15"/>
        <v>66.97999999999999</v>
      </c>
      <c r="R454">
        <f>I454-(K454*Standards!$I$15)</f>
        <v>0.1893</v>
      </c>
      <c r="S454">
        <f t="shared" si="16"/>
        <v>5.0734999999999995E-2</v>
      </c>
      <c r="T454" t="s">
        <v>187</v>
      </c>
    </row>
    <row r="455" spans="1:20">
      <c r="A455">
        <v>2</v>
      </c>
      <c r="B455">
        <v>0</v>
      </c>
      <c r="C455">
        <v>4.5400000000000003E-2</v>
      </c>
      <c r="D455">
        <v>33.72</v>
      </c>
      <c r="E455">
        <v>3.9600000000000003E-2</v>
      </c>
      <c r="F455">
        <v>0</v>
      </c>
      <c r="G455">
        <v>0.1217</v>
      </c>
      <c r="H455">
        <v>1.29</v>
      </c>
      <c r="I455">
        <v>0.1154</v>
      </c>
      <c r="J455">
        <v>0.88480000000000003</v>
      </c>
      <c r="K455">
        <v>0</v>
      </c>
      <c r="L455">
        <v>65.39</v>
      </c>
      <c r="M455">
        <v>0.1235</v>
      </c>
      <c r="N455">
        <v>101.7303</v>
      </c>
      <c r="O455" t="s">
        <v>375</v>
      </c>
      <c r="Q455">
        <f t="shared" si="15"/>
        <v>66.680000000000007</v>
      </c>
      <c r="R455">
        <f>I455-(K455*Standards!$I$15)</f>
        <v>0.1154</v>
      </c>
      <c r="S455">
        <f t="shared" si="16"/>
        <v>3.9629999999999999E-2</v>
      </c>
      <c r="T455" t="s">
        <v>187</v>
      </c>
    </row>
    <row r="456" spans="1:20">
      <c r="A456">
        <v>7</v>
      </c>
      <c r="B456">
        <v>0</v>
      </c>
      <c r="C456">
        <v>5.8299999999999998E-2</v>
      </c>
      <c r="D456">
        <v>33.64</v>
      </c>
      <c r="E456">
        <v>3.1600000000000003E-2</v>
      </c>
      <c r="F456">
        <v>0</v>
      </c>
      <c r="G456">
        <v>0.12590000000000001</v>
      </c>
      <c r="H456">
        <v>1.28</v>
      </c>
      <c r="I456">
        <v>0.26340000000000002</v>
      </c>
      <c r="J456">
        <v>1.1299999999999999</v>
      </c>
      <c r="K456">
        <v>8.0699999999999994E-2</v>
      </c>
      <c r="L456">
        <v>64.959999999999994</v>
      </c>
      <c r="M456">
        <v>0.12</v>
      </c>
      <c r="N456">
        <v>101.68980000000001</v>
      </c>
      <c r="O456" t="s">
        <v>375</v>
      </c>
      <c r="Q456">
        <f t="shared" si="15"/>
        <v>66.239999999999995</v>
      </c>
      <c r="R456">
        <f>I456-(K456*Standards!$I$15)</f>
        <v>0.26322145125000002</v>
      </c>
      <c r="S456">
        <f t="shared" si="16"/>
        <v>4.5129999999999997E-2</v>
      </c>
      <c r="T456" t="s">
        <v>187</v>
      </c>
    </row>
    <row r="457" spans="1:20">
      <c r="A457">
        <v>1</v>
      </c>
      <c r="B457">
        <v>0</v>
      </c>
      <c r="C457">
        <v>6.3899999999999998E-2</v>
      </c>
      <c r="D457">
        <v>33.56</v>
      </c>
      <c r="E457">
        <v>0.04</v>
      </c>
      <c r="F457">
        <v>0</v>
      </c>
      <c r="G457">
        <v>0.129</v>
      </c>
      <c r="H457">
        <v>1.82</v>
      </c>
      <c r="I457">
        <v>0.24340000000000001</v>
      </c>
      <c r="J457">
        <v>1.4</v>
      </c>
      <c r="K457">
        <v>2.9600000000000001E-2</v>
      </c>
      <c r="L457">
        <v>64.430000000000007</v>
      </c>
      <c r="M457">
        <v>0.151</v>
      </c>
      <c r="N457">
        <v>101.8669</v>
      </c>
      <c r="O457" t="s">
        <v>375</v>
      </c>
      <c r="Q457">
        <f t="shared" si="15"/>
        <v>66.25</v>
      </c>
      <c r="R457">
        <f>I457-(K457*Standards!$I$15)</f>
        <v>0.24333451</v>
      </c>
      <c r="S457">
        <f t="shared" si="16"/>
        <v>5.1729999999999998E-2</v>
      </c>
      <c r="T457" t="s">
        <v>187</v>
      </c>
    </row>
    <row r="458" spans="1:20">
      <c r="A458">
        <v>8</v>
      </c>
      <c r="B458">
        <v>0</v>
      </c>
      <c r="C458">
        <v>4.41E-2</v>
      </c>
      <c r="D458">
        <v>33.83</v>
      </c>
      <c r="E458">
        <v>4.24E-2</v>
      </c>
      <c r="F458">
        <v>0</v>
      </c>
      <c r="G458">
        <v>0.1166</v>
      </c>
      <c r="H458">
        <v>1.88</v>
      </c>
      <c r="I458">
        <v>6.3100000000000003E-2</v>
      </c>
      <c r="J458">
        <v>1.66</v>
      </c>
      <c r="K458">
        <v>0</v>
      </c>
      <c r="L458">
        <v>64.260000000000005</v>
      </c>
      <c r="M458">
        <v>0.1138</v>
      </c>
      <c r="N458">
        <v>102.01</v>
      </c>
      <c r="O458" t="s">
        <v>375</v>
      </c>
      <c r="Q458">
        <f t="shared" si="15"/>
        <v>66.14</v>
      </c>
      <c r="R458">
        <f>I458-(K458*Standards!$I$15)</f>
        <v>6.3100000000000003E-2</v>
      </c>
      <c r="S458">
        <f t="shared" si="16"/>
        <v>4.0945000000000002E-2</v>
      </c>
      <c r="T458" t="s">
        <v>187</v>
      </c>
    </row>
    <row r="459" spans="1:20">
      <c r="A459">
        <v>33</v>
      </c>
      <c r="B459">
        <v>0</v>
      </c>
      <c r="C459">
        <v>4.8099999999999997E-2</v>
      </c>
      <c r="D459">
        <v>33.79</v>
      </c>
      <c r="E459">
        <v>6.0999999999999999E-2</v>
      </c>
      <c r="F459">
        <v>0</v>
      </c>
      <c r="G459">
        <v>0.13969999999999999</v>
      </c>
      <c r="H459">
        <v>1.99</v>
      </c>
      <c r="I459">
        <v>0.1326</v>
      </c>
      <c r="J459">
        <v>1.86</v>
      </c>
      <c r="K459">
        <v>6.7000000000000002E-3</v>
      </c>
      <c r="L459">
        <v>64.23</v>
      </c>
      <c r="M459">
        <v>0.1399</v>
      </c>
      <c r="N459">
        <v>102.39790000000001</v>
      </c>
      <c r="O459" t="s">
        <v>375</v>
      </c>
      <c r="Q459">
        <f t="shared" si="15"/>
        <v>66.22</v>
      </c>
      <c r="R459">
        <f>I459-(K459*Standards!$I$15)</f>
        <v>0.13258517624999999</v>
      </c>
      <c r="S459">
        <f t="shared" si="16"/>
        <v>4.1469999999999993E-2</v>
      </c>
      <c r="T459" t="s">
        <v>187</v>
      </c>
    </row>
    <row r="460" spans="1:20">
      <c r="A460">
        <v>3</v>
      </c>
      <c r="B460">
        <v>0</v>
      </c>
      <c r="C460">
        <v>4.3299999999999998E-2</v>
      </c>
      <c r="D460">
        <v>33.67</v>
      </c>
      <c r="E460">
        <v>4.5400000000000003E-2</v>
      </c>
      <c r="F460">
        <v>0</v>
      </c>
      <c r="G460">
        <v>0.1181</v>
      </c>
      <c r="H460">
        <v>1.81</v>
      </c>
      <c r="I460">
        <v>0.14630000000000001</v>
      </c>
      <c r="J460">
        <v>1.6</v>
      </c>
      <c r="K460">
        <v>0</v>
      </c>
      <c r="L460">
        <v>64.16</v>
      </c>
      <c r="M460">
        <v>0.113</v>
      </c>
      <c r="N460">
        <v>101.706</v>
      </c>
      <c r="O460" t="s">
        <v>375</v>
      </c>
      <c r="Q460">
        <f t="shared" si="15"/>
        <v>65.97</v>
      </c>
      <c r="R460">
        <f>I460-(K460*Standards!$I$15)</f>
        <v>0.14630000000000001</v>
      </c>
      <c r="S460">
        <f t="shared" si="16"/>
        <v>3.5984999999999996E-2</v>
      </c>
      <c r="T460" t="s">
        <v>187</v>
      </c>
    </row>
    <row r="461" spans="1:20">
      <c r="A461">
        <v>6</v>
      </c>
      <c r="B461">
        <v>0</v>
      </c>
      <c r="C461">
        <v>5.7200000000000001E-2</v>
      </c>
      <c r="D461">
        <v>33.69</v>
      </c>
      <c r="E461">
        <v>4.7600000000000003E-2</v>
      </c>
      <c r="F461">
        <v>0</v>
      </c>
      <c r="G461">
        <v>0.12330000000000001</v>
      </c>
      <c r="H461">
        <v>2.1</v>
      </c>
      <c r="I461">
        <v>0.17799999999999999</v>
      </c>
      <c r="J461">
        <v>2.0499999999999998</v>
      </c>
      <c r="K461">
        <v>2.1600000000000001E-2</v>
      </c>
      <c r="L461">
        <v>63.46</v>
      </c>
      <c r="M461">
        <v>0.13</v>
      </c>
      <c r="N461">
        <v>101.85760000000001</v>
      </c>
      <c r="O461" t="s">
        <v>375</v>
      </c>
      <c r="Q461">
        <f t="shared" si="15"/>
        <v>65.56</v>
      </c>
      <c r="R461">
        <f>I461-(K461*Standards!$I$15)</f>
        <v>0.17795221</v>
      </c>
      <c r="S461">
        <f t="shared" si="16"/>
        <v>4.8300000000000003E-2</v>
      </c>
      <c r="T461" t="s">
        <v>187</v>
      </c>
    </row>
    <row r="462" spans="1:20">
      <c r="A462">
        <v>34</v>
      </c>
      <c r="B462">
        <v>0</v>
      </c>
      <c r="C462">
        <v>4.2000000000000003E-2</v>
      </c>
      <c r="D462">
        <v>33.76</v>
      </c>
      <c r="E462">
        <v>5.3499999999999999E-2</v>
      </c>
      <c r="F462">
        <v>0</v>
      </c>
      <c r="G462">
        <v>0.13370000000000001</v>
      </c>
      <c r="H462">
        <v>2.82</v>
      </c>
      <c r="I462">
        <v>0.15989999999999999</v>
      </c>
      <c r="J462">
        <v>2.82</v>
      </c>
      <c r="K462">
        <v>0</v>
      </c>
      <c r="L462">
        <v>62.49</v>
      </c>
      <c r="M462">
        <v>0.13270000000000001</v>
      </c>
      <c r="N462">
        <v>102.4117</v>
      </c>
      <c r="O462" t="s">
        <v>375</v>
      </c>
      <c r="Q462">
        <f t="shared" si="15"/>
        <v>65.31</v>
      </c>
      <c r="R462">
        <f>I462-(K462*Standards!$I$15)</f>
        <v>0.15989999999999999</v>
      </c>
      <c r="S462">
        <f t="shared" si="16"/>
        <v>3.4005000000000001E-2</v>
      </c>
      <c r="T462" t="s">
        <v>187</v>
      </c>
    </row>
    <row r="463" spans="1:20">
      <c r="A463">
        <v>11</v>
      </c>
      <c r="B463">
        <v>0</v>
      </c>
      <c r="C463">
        <v>4.4699999999999997E-2</v>
      </c>
      <c r="D463">
        <v>33.82</v>
      </c>
      <c r="E463">
        <v>4.2599999999999999E-2</v>
      </c>
      <c r="F463">
        <v>0</v>
      </c>
      <c r="G463">
        <v>0.1178</v>
      </c>
      <c r="H463">
        <v>4.4400000000000004</v>
      </c>
      <c r="I463">
        <v>0.1769</v>
      </c>
      <c r="J463">
        <v>4.57</v>
      </c>
      <c r="K463">
        <v>0</v>
      </c>
      <c r="L463">
        <v>58.78</v>
      </c>
      <c r="M463">
        <v>0.15709999999999999</v>
      </c>
      <c r="N463">
        <v>102.149</v>
      </c>
      <c r="O463" t="s">
        <v>375</v>
      </c>
      <c r="Q463">
        <f t="shared" si="15"/>
        <v>63.22</v>
      </c>
      <c r="R463">
        <f>I463-(K463*Standards!$I$15)</f>
        <v>0.1769</v>
      </c>
      <c r="S463">
        <f t="shared" si="16"/>
        <v>3.5854999999999998E-2</v>
      </c>
      <c r="T463" t="s">
        <v>187</v>
      </c>
    </row>
    <row r="464" spans="1:20">
      <c r="A464">
        <v>75</v>
      </c>
      <c r="B464">
        <v>0</v>
      </c>
      <c r="C464">
        <v>5.2299999999999999E-2</v>
      </c>
      <c r="D464">
        <v>33.5</v>
      </c>
      <c r="E464">
        <v>4.9700000000000001E-2</v>
      </c>
      <c r="F464">
        <v>0</v>
      </c>
      <c r="G464">
        <v>0.13400000000000001</v>
      </c>
      <c r="H464">
        <v>0.99890000000000001</v>
      </c>
      <c r="I464">
        <v>5.2499999999999998E-2</v>
      </c>
      <c r="J464">
        <v>3.04E-2</v>
      </c>
      <c r="K464">
        <v>0</v>
      </c>
      <c r="L464">
        <v>67.02</v>
      </c>
      <c r="M464">
        <v>6.0900000000000003E-2</v>
      </c>
      <c r="N464">
        <v>101.8986</v>
      </c>
      <c r="O464" t="s">
        <v>376</v>
      </c>
      <c r="Q464">
        <f t="shared" si="15"/>
        <v>68.018900000000002</v>
      </c>
      <c r="R464">
        <f>I464-(K464*Standards!$I$15)</f>
        <v>5.2499999999999998E-2</v>
      </c>
      <c r="S464">
        <f t="shared" si="16"/>
        <v>4.9674999999999997E-2</v>
      </c>
      <c r="T464" t="s">
        <v>187</v>
      </c>
    </row>
    <row r="465" spans="1:31">
      <c r="A465">
        <v>67</v>
      </c>
      <c r="B465">
        <v>0</v>
      </c>
      <c r="C465">
        <v>5.1700000000000003E-2</v>
      </c>
      <c r="D465">
        <v>33.68</v>
      </c>
      <c r="E465">
        <v>5.7099999999999998E-2</v>
      </c>
      <c r="F465">
        <v>0</v>
      </c>
      <c r="G465">
        <v>0.13950000000000001</v>
      </c>
      <c r="H465">
        <v>0.77480000000000004</v>
      </c>
      <c r="I465">
        <v>3.9300000000000002E-2</v>
      </c>
      <c r="J465">
        <v>1.03E-2</v>
      </c>
      <c r="K465">
        <v>0</v>
      </c>
      <c r="L465">
        <v>66.98</v>
      </c>
      <c r="M465">
        <v>9.9400000000000002E-2</v>
      </c>
      <c r="N465">
        <v>101.83199999999999</v>
      </c>
      <c r="O465" t="s">
        <v>376</v>
      </c>
      <c r="Q465">
        <f t="shared" si="15"/>
        <v>67.754800000000003</v>
      </c>
      <c r="R465">
        <f>I465-(K465*Standards!$I$15)</f>
        <v>3.9300000000000002E-2</v>
      </c>
      <c r="S465">
        <f t="shared" si="16"/>
        <v>4.9735000000000001E-2</v>
      </c>
      <c r="T465" t="s">
        <v>187</v>
      </c>
    </row>
    <row r="466" spans="1:31">
      <c r="A466">
        <v>72</v>
      </c>
      <c r="B466">
        <v>0</v>
      </c>
      <c r="C466">
        <v>5.62E-2</v>
      </c>
      <c r="D466">
        <v>33.57</v>
      </c>
      <c r="E466">
        <v>4.3099999999999999E-2</v>
      </c>
      <c r="F466">
        <v>0</v>
      </c>
      <c r="G466">
        <v>0.1444</v>
      </c>
      <c r="H466">
        <v>0.998</v>
      </c>
      <c r="I466">
        <v>7.3099999999999998E-2</v>
      </c>
      <c r="J466">
        <v>7.0699999999999999E-2</v>
      </c>
      <c r="K466">
        <v>0</v>
      </c>
      <c r="L466">
        <v>66.88</v>
      </c>
      <c r="M466">
        <v>9.4799999999999995E-2</v>
      </c>
      <c r="N466">
        <v>101.9302</v>
      </c>
      <c r="O466" t="s">
        <v>376</v>
      </c>
      <c r="Q466">
        <f t="shared" si="15"/>
        <v>67.878</v>
      </c>
      <c r="R466">
        <f>I466-(K466*Standards!$I$15)</f>
        <v>7.3099999999999998E-2</v>
      </c>
      <c r="S466">
        <f t="shared" si="16"/>
        <v>5.2545000000000001E-2</v>
      </c>
      <c r="T466" t="s">
        <v>187</v>
      </c>
    </row>
    <row r="467" spans="1:31">
      <c r="A467">
        <v>69</v>
      </c>
      <c r="B467">
        <v>0</v>
      </c>
      <c r="C467">
        <v>4.5100000000000001E-2</v>
      </c>
      <c r="D467">
        <v>33.53</v>
      </c>
      <c r="E467">
        <v>5.7599999999999998E-2</v>
      </c>
      <c r="F467">
        <v>0</v>
      </c>
      <c r="G467">
        <v>0.12909999999999999</v>
      </c>
      <c r="H467">
        <v>0.86950000000000005</v>
      </c>
      <c r="I467">
        <v>3.7999999999999999E-2</v>
      </c>
      <c r="J467">
        <v>0</v>
      </c>
      <c r="K467">
        <v>0</v>
      </c>
      <c r="L467">
        <v>66.86</v>
      </c>
      <c r="M467">
        <v>8.5199999999999998E-2</v>
      </c>
      <c r="N467">
        <v>101.6144</v>
      </c>
      <c r="O467" t="s">
        <v>376</v>
      </c>
      <c r="Q467">
        <f t="shared" si="15"/>
        <v>67.729500000000002</v>
      </c>
      <c r="R467">
        <f>I467-(K467*Standards!$I$15)</f>
        <v>3.7999999999999999E-2</v>
      </c>
      <c r="S467">
        <f t="shared" si="16"/>
        <v>4.3200000000000002E-2</v>
      </c>
      <c r="T467" t="s">
        <v>187</v>
      </c>
    </row>
    <row r="468" spans="1:31">
      <c r="A468">
        <v>74</v>
      </c>
      <c r="B468">
        <v>0</v>
      </c>
      <c r="C468">
        <v>5.0099999999999999E-2</v>
      </c>
      <c r="D468">
        <v>33.5</v>
      </c>
      <c r="E468">
        <v>4.7699999999999999E-2</v>
      </c>
      <c r="F468">
        <v>0</v>
      </c>
      <c r="G468">
        <v>0.14219999999999999</v>
      </c>
      <c r="H468">
        <v>0.82720000000000005</v>
      </c>
      <c r="I468">
        <v>3.0099999999999998E-2</v>
      </c>
      <c r="J468">
        <v>0</v>
      </c>
      <c r="K468">
        <v>0</v>
      </c>
      <c r="L468">
        <v>66.790000000000006</v>
      </c>
      <c r="M468">
        <v>9.3600000000000003E-2</v>
      </c>
      <c r="N468">
        <v>101.4808</v>
      </c>
      <c r="O468" t="s">
        <v>376</v>
      </c>
      <c r="Q468">
        <f t="shared" si="15"/>
        <v>67.617200000000011</v>
      </c>
      <c r="R468">
        <f>I468-(K468*Standards!$I$15)</f>
        <v>3.0099999999999998E-2</v>
      </c>
      <c r="S468">
        <f t="shared" si="16"/>
        <v>4.8594999999999999E-2</v>
      </c>
      <c r="T468" t="s">
        <v>187</v>
      </c>
    </row>
    <row r="469" spans="1:31">
      <c r="A469">
        <v>73</v>
      </c>
      <c r="B469">
        <v>0</v>
      </c>
      <c r="C469">
        <v>4.36E-2</v>
      </c>
      <c r="D469">
        <v>33.619999999999997</v>
      </c>
      <c r="E469">
        <v>4.7E-2</v>
      </c>
      <c r="F469">
        <v>0</v>
      </c>
      <c r="G469">
        <v>0.1396</v>
      </c>
      <c r="H469">
        <v>0.8498</v>
      </c>
      <c r="I469">
        <v>0.10489999999999999</v>
      </c>
      <c r="J469">
        <v>5.0700000000000002E-2</v>
      </c>
      <c r="K469">
        <v>0</v>
      </c>
      <c r="L469">
        <v>66.760000000000005</v>
      </c>
      <c r="M469">
        <v>9.2499999999999999E-2</v>
      </c>
      <c r="N469">
        <v>101.708</v>
      </c>
      <c r="O469" t="s">
        <v>376</v>
      </c>
      <c r="Q469">
        <f t="shared" si="15"/>
        <v>67.609800000000007</v>
      </c>
      <c r="R469">
        <f>I469-(K469*Standards!$I$15)</f>
        <v>0.10489999999999999</v>
      </c>
      <c r="S469">
        <f t="shared" si="16"/>
        <v>3.8355E-2</v>
      </c>
      <c r="T469" t="s">
        <v>187</v>
      </c>
    </row>
    <row r="470" spans="1:31">
      <c r="A470">
        <v>66</v>
      </c>
      <c r="B470">
        <v>0</v>
      </c>
      <c r="C470">
        <v>4.6699999999999998E-2</v>
      </c>
      <c r="D470">
        <v>33.619999999999997</v>
      </c>
      <c r="E470">
        <v>6.4000000000000001E-2</v>
      </c>
      <c r="F470">
        <v>0</v>
      </c>
      <c r="G470">
        <v>0.1452</v>
      </c>
      <c r="H470">
        <v>0.75460000000000005</v>
      </c>
      <c r="I470">
        <v>0.1197</v>
      </c>
      <c r="J470">
        <v>4.3299999999999998E-2</v>
      </c>
      <c r="K470">
        <v>0</v>
      </c>
      <c r="L470">
        <v>66.7</v>
      </c>
      <c r="M470">
        <v>0.1124</v>
      </c>
      <c r="N470">
        <v>101.6058</v>
      </c>
      <c r="O470" t="s">
        <v>376</v>
      </c>
      <c r="Q470">
        <f t="shared" si="15"/>
        <v>67.454599999999999</v>
      </c>
      <c r="R470">
        <f>I470-(K470*Standards!$I$15)</f>
        <v>0.1197</v>
      </c>
      <c r="S470">
        <f t="shared" si="16"/>
        <v>4.0715000000000001E-2</v>
      </c>
      <c r="T470" t="s">
        <v>187</v>
      </c>
    </row>
    <row r="471" spans="1:31">
      <c r="A471">
        <v>68</v>
      </c>
      <c r="B471">
        <v>0</v>
      </c>
      <c r="C471">
        <v>4.4699999999999997E-2</v>
      </c>
      <c r="D471">
        <v>33.590000000000003</v>
      </c>
      <c r="E471">
        <v>3.5499999999999997E-2</v>
      </c>
      <c r="F471">
        <v>0</v>
      </c>
      <c r="G471">
        <v>0.12839999999999999</v>
      </c>
      <c r="H471">
        <v>0.85980000000000001</v>
      </c>
      <c r="I471">
        <v>5.1999999999999998E-3</v>
      </c>
      <c r="J471">
        <v>0</v>
      </c>
      <c r="K471">
        <v>0</v>
      </c>
      <c r="L471">
        <v>66.7</v>
      </c>
      <c r="M471">
        <v>9.2499999999999999E-2</v>
      </c>
      <c r="N471">
        <v>101.456</v>
      </c>
      <c r="O471" t="s">
        <v>376</v>
      </c>
      <c r="Q471">
        <f t="shared" si="15"/>
        <v>67.55980000000001</v>
      </c>
      <c r="R471">
        <f>I471-(K471*Standards!$I$15)</f>
        <v>5.1999999999999998E-3</v>
      </c>
      <c r="S471">
        <f t="shared" si="16"/>
        <v>4.4439999999999993E-2</v>
      </c>
      <c r="T471" t="s">
        <v>187</v>
      </c>
    </row>
    <row r="472" spans="1:31">
      <c r="A472">
        <v>71</v>
      </c>
      <c r="B472">
        <v>0</v>
      </c>
      <c r="C472">
        <v>6.9099999999999995E-2</v>
      </c>
      <c r="D472">
        <v>33.5</v>
      </c>
      <c r="E472">
        <v>3.6900000000000002E-2</v>
      </c>
      <c r="F472">
        <v>0</v>
      </c>
      <c r="G472">
        <v>0.12989999999999999</v>
      </c>
      <c r="H472">
        <v>0.99760000000000004</v>
      </c>
      <c r="I472">
        <v>0.20330000000000001</v>
      </c>
      <c r="J472">
        <v>0.1255</v>
      </c>
      <c r="K472">
        <v>0</v>
      </c>
      <c r="L472">
        <v>66.56</v>
      </c>
      <c r="M472">
        <v>0.1108</v>
      </c>
      <c r="N472">
        <v>101.733</v>
      </c>
      <c r="O472" t="s">
        <v>376</v>
      </c>
      <c r="Q472">
        <f t="shared" si="15"/>
        <v>67.557600000000008</v>
      </c>
      <c r="R472">
        <f>I472-(K472*Standards!$I$15)</f>
        <v>0.20330000000000001</v>
      </c>
      <c r="S472">
        <f t="shared" si="16"/>
        <v>5.8934999999999994E-2</v>
      </c>
      <c r="T472" t="s">
        <v>187</v>
      </c>
    </row>
    <row r="473" spans="1:31">
      <c r="A473">
        <v>70</v>
      </c>
      <c r="B473">
        <v>0</v>
      </c>
      <c r="C473">
        <v>5.6099999999999997E-2</v>
      </c>
      <c r="D473">
        <v>33.42</v>
      </c>
      <c r="E473">
        <v>5.1700000000000003E-2</v>
      </c>
      <c r="F473">
        <v>0</v>
      </c>
      <c r="G473">
        <v>0.1371</v>
      </c>
      <c r="H473">
        <v>0.94140000000000001</v>
      </c>
      <c r="I473">
        <v>0.1167</v>
      </c>
      <c r="J473">
        <v>7.4700000000000003E-2</v>
      </c>
      <c r="K473">
        <v>0</v>
      </c>
      <c r="L473">
        <v>66.459999999999994</v>
      </c>
      <c r="M473">
        <v>8.4199999999999997E-2</v>
      </c>
      <c r="N473">
        <v>101.34180000000001</v>
      </c>
      <c r="O473" t="s">
        <v>376</v>
      </c>
      <c r="Q473">
        <f t="shared" si="15"/>
        <v>67.401399999999995</v>
      </c>
      <c r="R473">
        <f>I473-(K473*Standards!$I$15)</f>
        <v>0.1167</v>
      </c>
      <c r="S473">
        <f t="shared" si="16"/>
        <v>5.0264999999999997E-2</v>
      </c>
      <c r="T473" t="s">
        <v>187</v>
      </c>
    </row>
    <row r="474" spans="1:31">
      <c r="A474">
        <v>1</v>
      </c>
      <c r="B474">
        <v>0</v>
      </c>
      <c r="C474">
        <v>3.6799999999999999E-2</v>
      </c>
      <c r="D474">
        <v>34.479999999999997</v>
      </c>
      <c r="E474">
        <v>6.88E-2</v>
      </c>
      <c r="F474">
        <v>0</v>
      </c>
      <c r="G474">
        <v>0.13539999999999999</v>
      </c>
      <c r="H474">
        <v>10.59</v>
      </c>
      <c r="I474">
        <v>1.67E-2</v>
      </c>
      <c r="J474">
        <v>1.7999999999999999E-2</v>
      </c>
      <c r="K474">
        <v>0</v>
      </c>
      <c r="L474">
        <v>55.32</v>
      </c>
      <c r="M474">
        <v>0.1145</v>
      </c>
      <c r="N474">
        <v>100.78019999999999</v>
      </c>
      <c r="O474" t="s">
        <v>377</v>
      </c>
      <c r="Q474">
        <f t="shared" si="15"/>
        <v>65.91</v>
      </c>
      <c r="R474">
        <f>I474-(K474*Standards!$I$15)</f>
        <v>1.67E-2</v>
      </c>
      <c r="S474">
        <f t="shared" si="16"/>
        <v>3.5964999999999997E-2</v>
      </c>
      <c r="T474" t="s">
        <v>189</v>
      </c>
      <c r="U474">
        <f>COUNT(R474:R492)</f>
        <v>19</v>
      </c>
      <c r="V474">
        <f>MAX(H474:H492)</f>
        <v>10.69</v>
      </c>
      <c r="W474">
        <f>AVERAGE(H474:H492)</f>
        <v>10.364210526315793</v>
      </c>
      <c r="X474">
        <f>MAX(J474:J492)</f>
        <v>0.16259999999999999</v>
      </c>
      <c r="Y474">
        <f>AVERAGE(J474:J492)</f>
        <v>3.0178947368421048E-2</v>
      </c>
      <c r="Z474">
        <f>10000*MAX(R474:R492)</f>
        <v>257</v>
      </c>
      <c r="AA474">
        <f>10000*AVERAGE(R474:R492)</f>
        <v>176.94736842105263</v>
      </c>
      <c r="AB474">
        <f>10000*MAX(G474:G492)</f>
        <v>1407</v>
      </c>
      <c r="AC474">
        <f>10000*AVERAGE(G474:G492)</f>
        <v>1322.3684210526319</v>
      </c>
      <c r="AD474">
        <f>10000*MAX(S474:S492)</f>
        <v>517.95000000000005</v>
      </c>
      <c r="AE474">
        <f>10000*AVERAGE(S474:S492)</f>
        <v>409.88947368421054</v>
      </c>
    </row>
    <row r="475" spans="1:31">
      <c r="A475">
        <v>2</v>
      </c>
      <c r="B475">
        <v>0</v>
      </c>
      <c r="C475">
        <v>3.8300000000000001E-2</v>
      </c>
      <c r="D475">
        <v>34.450000000000003</v>
      </c>
      <c r="E475">
        <v>3.9800000000000002E-2</v>
      </c>
      <c r="F475">
        <v>0</v>
      </c>
      <c r="G475">
        <v>0.1326</v>
      </c>
      <c r="H475">
        <v>10.4</v>
      </c>
      <c r="I475">
        <v>1.7399999999999999E-2</v>
      </c>
      <c r="J475">
        <v>0.1147</v>
      </c>
      <c r="K475">
        <v>0</v>
      </c>
      <c r="L475">
        <v>55.74</v>
      </c>
      <c r="M475">
        <v>0.13469999999999999</v>
      </c>
      <c r="N475">
        <v>101.06740000000001</v>
      </c>
      <c r="O475" t="s">
        <v>377</v>
      </c>
      <c r="Q475">
        <f t="shared" si="15"/>
        <v>66.14</v>
      </c>
      <c r="R475">
        <f>I475-(K475*Standards!$I$15)</f>
        <v>1.7399999999999999E-2</v>
      </c>
      <c r="S475">
        <f t="shared" si="16"/>
        <v>3.7429999999999998E-2</v>
      </c>
      <c r="T475" t="s">
        <v>189</v>
      </c>
    </row>
    <row r="476" spans="1:31">
      <c r="A476">
        <v>3</v>
      </c>
      <c r="B476">
        <v>0</v>
      </c>
      <c r="C476">
        <v>4.5499999999999999E-2</v>
      </c>
      <c r="D476">
        <v>34.39</v>
      </c>
      <c r="E476">
        <v>4.82E-2</v>
      </c>
      <c r="F476">
        <v>0</v>
      </c>
      <c r="G476">
        <v>0.1263</v>
      </c>
      <c r="H476">
        <v>10.14</v>
      </c>
      <c r="I476">
        <v>2.4E-2</v>
      </c>
      <c r="J476">
        <v>1.9900000000000001E-2</v>
      </c>
      <c r="K476">
        <v>0</v>
      </c>
      <c r="L476">
        <v>55.65</v>
      </c>
      <c r="M476">
        <v>0.1076</v>
      </c>
      <c r="N476">
        <v>100.5514</v>
      </c>
      <c r="O476" t="s">
        <v>377</v>
      </c>
      <c r="Q476">
        <f t="shared" si="15"/>
        <v>65.789999999999992</v>
      </c>
      <c r="R476">
        <f>I476-(K476*Standards!$I$15)</f>
        <v>2.4E-2</v>
      </c>
      <c r="S476">
        <f t="shared" si="16"/>
        <v>4.4299999999999999E-2</v>
      </c>
      <c r="T476" t="s">
        <v>189</v>
      </c>
    </row>
    <row r="477" spans="1:31">
      <c r="A477">
        <v>4</v>
      </c>
      <c r="B477">
        <v>0</v>
      </c>
      <c r="C477">
        <v>4.0899999999999999E-2</v>
      </c>
      <c r="D477">
        <v>34.36</v>
      </c>
      <c r="E477">
        <v>6.08E-2</v>
      </c>
      <c r="F477">
        <v>0</v>
      </c>
      <c r="G477">
        <v>0.1333</v>
      </c>
      <c r="H477">
        <v>9.99</v>
      </c>
      <c r="I477">
        <v>1.5800000000000002E-2</v>
      </c>
      <c r="J477">
        <v>7.5200000000000003E-2</v>
      </c>
      <c r="K477">
        <v>0</v>
      </c>
      <c r="L477">
        <v>55.98</v>
      </c>
      <c r="M477">
        <v>0.1323</v>
      </c>
      <c r="N477">
        <v>100.7882</v>
      </c>
      <c r="O477" t="s">
        <v>377</v>
      </c>
      <c r="Q477">
        <f t="shared" si="15"/>
        <v>65.97</v>
      </c>
      <c r="R477">
        <f>I477-(K477*Standards!$I$15)</f>
        <v>1.5800000000000002E-2</v>
      </c>
      <c r="S477">
        <f t="shared" si="16"/>
        <v>4.011E-2</v>
      </c>
      <c r="T477" t="s">
        <v>189</v>
      </c>
    </row>
    <row r="478" spans="1:31">
      <c r="A478">
        <v>5</v>
      </c>
      <c r="B478">
        <v>0</v>
      </c>
      <c r="C478">
        <v>4.6699999999999998E-2</v>
      </c>
      <c r="D478">
        <v>34.380000000000003</v>
      </c>
      <c r="E478">
        <v>4.1500000000000002E-2</v>
      </c>
      <c r="F478">
        <v>0</v>
      </c>
      <c r="G478">
        <v>0.13300000000000001</v>
      </c>
      <c r="H478">
        <v>10.57</v>
      </c>
      <c r="I478">
        <v>1.5900000000000001E-2</v>
      </c>
      <c r="J478">
        <v>1.29E-2</v>
      </c>
      <c r="K478">
        <v>0</v>
      </c>
      <c r="L478">
        <v>55.59</v>
      </c>
      <c r="M478">
        <v>0.13039999999999999</v>
      </c>
      <c r="N478">
        <v>100.9203</v>
      </c>
      <c r="O478" t="s">
        <v>377</v>
      </c>
      <c r="Q478">
        <f t="shared" si="15"/>
        <v>66.16</v>
      </c>
      <c r="R478">
        <f>I478-(K478*Standards!$I$15)</f>
        <v>1.5900000000000001E-2</v>
      </c>
      <c r="S478">
        <f t="shared" si="16"/>
        <v>4.5905000000000001E-2</v>
      </c>
      <c r="T478" t="s">
        <v>189</v>
      </c>
    </row>
    <row r="479" spans="1:31">
      <c r="A479">
        <v>6</v>
      </c>
      <c r="B479">
        <v>0</v>
      </c>
      <c r="C479">
        <v>4.3200000000000002E-2</v>
      </c>
      <c r="D479">
        <v>34.01</v>
      </c>
      <c r="E479">
        <v>5.6099999999999997E-2</v>
      </c>
      <c r="F479">
        <v>0</v>
      </c>
      <c r="G479">
        <v>0.1246</v>
      </c>
      <c r="H479">
        <v>10.27</v>
      </c>
      <c r="I479">
        <v>1.9800000000000002E-2</v>
      </c>
      <c r="J479">
        <v>1.0800000000000001E-2</v>
      </c>
      <c r="K479">
        <v>0</v>
      </c>
      <c r="L479">
        <v>55.53</v>
      </c>
      <c r="M479">
        <v>0.14330000000000001</v>
      </c>
      <c r="N479">
        <v>100.2077</v>
      </c>
      <c r="O479" t="s">
        <v>377</v>
      </c>
      <c r="Q479">
        <f t="shared" si="15"/>
        <v>65.8</v>
      </c>
      <c r="R479">
        <f>I479-(K479*Standards!$I$15)</f>
        <v>1.9800000000000002E-2</v>
      </c>
      <c r="S479">
        <f t="shared" si="16"/>
        <v>4.2210000000000004E-2</v>
      </c>
      <c r="T479" t="s">
        <v>189</v>
      </c>
    </row>
    <row r="480" spans="1:31">
      <c r="A480">
        <v>7</v>
      </c>
      <c r="B480">
        <v>0</v>
      </c>
      <c r="C480">
        <v>5.0200000000000002E-2</v>
      </c>
      <c r="D480">
        <v>34.340000000000003</v>
      </c>
      <c r="E480">
        <v>4.2900000000000001E-2</v>
      </c>
      <c r="F480">
        <v>0</v>
      </c>
      <c r="G480">
        <v>0.12920000000000001</v>
      </c>
      <c r="H480">
        <v>10.25</v>
      </c>
      <c r="I480">
        <v>1.8499999999999999E-2</v>
      </c>
      <c r="J480">
        <v>2.1999999999999999E-2</v>
      </c>
      <c r="K480">
        <v>0</v>
      </c>
      <c r="L480">
        <v>55.86</v>
      </c>
      <c r="M480">
        <v>0.11609999999999999</v>
      </c>
      <c r="N480">
        <v>100.8288</v>
      </c>
      <c r="O480" t="s">
        <v>377</v>
      </c>
      <c r="Q480">
        <f t="shared" si="15"/>
        <v>66.11</v>
      </c>
      <c r="R480">
        <f>I480-(K480*Standards!$I$15)</f>
        <v>1.8499999999999999E-2</v>
      </c>
      <c r="S480">
        <f t="shared" si="16"/>
        <v>4.9274999999999999E-2</v>
      </c>
      <c r="T480" t="s">
        <v>189</v>
      </c>
    </row>
    <row r="481" spans="1:20">
      <c r="A481">
        <v>8</v>
      </c>
      <c r="B481">
        <v>0</v>
      </c>
      <c r="C481">
        <v>3.7999999999999999E-2</v>
      </c>
      <c r="D481">
        <v>34.44</v>
      </c>
      <c r="E481">
        <v>5.6399999999999999E-2</v>
      </c>
      <c r="F481">
        <v>0</v>
      </c>
      <c r="G481">
        <v>0.12640000000000001</v>
      </c>
      <c r="H481">
        <v>10.46</v>
      </c>
      <c r="I481">
        <v>1.52E-2</v>
      </c>
      <c r="J481">
        <v>0</v>
      </c>
      <c r="K481">
        <v>0</v>
      </c>
      <c r="L481">
        <v>55.48</v>
      </c>
      <c r="M481">
        <v>0.15770000000000001</v>
      </c>
      <c r="N481">
        <v>100.7736</v>
      </c>
      <c r="O481" t="s">
        <v>377</v>
      </c>
      <c r="Q481">
        <f t="shared" si="15"/>
        <v>65.94</v>
      </c>
      <c r="R481">
        <f>I481-(K481*Standards!$I$15)</f>
        <v>1.52E-2</v>
      </c>
      <c r="S481">
        <f t="shared" si="16"/>
        <v>3.7240000000000002E-2</v>
      </c>
      <c r="T481" t="s">
        <v>189</v>
      </c>
    </row>
    <row r="482" spans="1:20">
      <c r="A482">
        <v>9</v>
      </c>
      <c r="B482">
        <v>0</v>
      </c>
      <c r="C482">
        <v>3.5799999999999998E-2</v>
      </c>
      <c r="D482">
        <v>34.29</v>
      </c>
      <c r="E482">
        <v>5.1700000000000003E-2</v>
      </c>
      <c r="F482">
        <v>0</v>
      </c>
      <c r="G482">
        <v>0.1363</v>
      </c>
      <c r="H482">
        <v>10.14</v>
      </c>
      <c r="I482">
        <v>1.95E-2</v>
      </c>
      <c r="J482">
        <v>0</v>
      </c>
      <c r="K482">
        <v>0</v>
      </c>
      <c r="L482">
        <v>56.11</v>
      </c>
      <c r="M482">
        <v>0.1366</v>
      </c>
      <c r="N482">
        <v>100.9198</v>
      </c>
      <c r="O482" t="s">
        <v>377</v>
      </c>
      <c r="Q482">
        <f t="shared" si="15"/>
        <v>66.25</v>
      </c>
      <c r="R482">
        <f>I482-(K482*Standards!$I$15)</f>
        <v>1.95E-2</v>
      </c>
      <c r="S482">
        <f t="shared" si="16"/>
        <v>3.4825000000000002E-2</v>
      </c>
      <c r="T482" t="s">
        <v>189</v>
      </c>
    </row>
    <row r="483" spans="1:20">
      <c r="A483">
        <v>10</v>
      </c>
      <c r="B483">
        <v>0</v>
      </c>
      <c r="C483">
        <v>4.65E-2</v>
      </c>
      <c r="D483">
        <v>34.409999999999997</v>
      </c>
      <c r="E483">
        <v>0.05</v>
      </c>
      <c r="F483">
        <v>1.6500000000000001E-2</v>
      </c>
      <c r="G483">
        <v>0.12529999999999999</v>
      </c>
      <c r="H483">
        <v>10.48</v>
      </c>
      <c r="I483">
        <v>1.9400000000000001E-2</v>
      </c>
      <c r="J483">
        <v>0</v>
      </c>
      <c r="K483">
        <v>0</v>
      </c>
      <c r="L483">
        <v>55.87</v>
      </c>
      <c r="M483">
        <v>0.1003</v>
      </c>
      <c r="N483">
        <v>101.11799999999999</v>
      </c>
      <c r="O483" t="s">
        <v>377</v>
      </c>
      <c r="Q483">
        <f t="shared" si="15"/>
        <v>66.349999999999994</v>
      </c>
      <c r="R483">
        <f>I483-(K483*Standards!$I$15)</f>
        <v>1.9400000000000001E-2</v>
      </c>
      <c r="S483">
        <f t="shared" si="16"/>
        <v>4.5530000000000001E-2</v>
      </c>
      <c r="T483" t="s">
        <v>189</v>
      </c>
    </row>
    <row r="484" spans="1:20">
      <c r="A484">
        <v>11</v>
      </c>
      <c r="B484">
        <v>0</v>
      </c>
      <c r="C484">
        <v>4.2500000000000003E-2</v>
      </c>
      <c r="D484">
        <v>34.36</v>
      </c>
      <c r="E484">
        <v>4.1500000000000002E-2</v>
      </c>
      <c r="F484">
        <v>0</v>
      </c>
      <c r="G484">
        <v>0.1328</v>
      </c>
      <c r="H484">
        <v>10.58</v>
      </c>
      <c r="I484">
        <v>1.3299999999999999E-2</v>
      </c>
      <c r="J484">
        <v>0</v>
      </c>
      <c r="K484">
        <v>0</v>
      </c>
      <c r="L484">
        <v>55.88</v>
      </c>
      <c r="M484">
        <v>0.1293</v>
      </c>
      <c r="N484">
        <v>101.1794</v>
      </c>
      <c r="O484" t="s">
        <v>377</v>
      </c>
      <c r="Q484">
        <f t="shared" si="15"/>
        <v>66.460000000000008</v>
      </c>
      <c r="R484">
        <f>I484-(K484*Standards!$I$15)</f>
        <v>1.3299999999999999E-2</v>
      </c>
      <c r="S484">
        <f t="shared" si="16"/>
        <v>4.1835000000000004E-2</v>
      </c>
      <c r="T484" t="s">
        <v>189</v>
      </c>
    </row>
    <row r="485" spans="1:20">
      <c r="A485">
        <v>12</v>
      </c>
      <c r="B485">
        <v>0</v>
      </c>
      <c r="C485">
        <v>4.36E-2</v>
      </c>
      <c r="D485">
        <v>34.340000000000003</v>
      </c>
      <c r="E485">
        <v>5.3199999999999997E-2</v>
      </c>
      <c r="F485">
        <v>0</v>
      </c>
      <c r="G485">
        <v>0.13109999999999999</v>
      </c>
      <c r="H485">
        <v>10.07</v>
      </c>
      <c r="I485">
        <v>1.5900000000000001E-2</v>
      </c>
      <c r="J485">
        <v>2.5700000000000001E-2</v>
      </c>
      <c r="K485">
        <v>0</v>
      </c>
      <c r="L485">
        <v>56.38</v>
      </c>
      <c r="M485">
        <v>0.1215</v>
      </c>
      <c r="N485">
        <v>101.18089999999999</v>
      </c>
      <c r="O485" t="s">
        <v>377</v>
      </c>
      <c r="Q485">
        <f t="shared" si="15"/>
        <v>66.45</v>
      </c>
      <c r="R485">
        <f>I485-(K485*Standards!$I$15)</f>
        <v>1.5900000000000001E-2</v>
      </c>
      <c r="S485">
        <f t="shared" si="16"/>
        <v>4.2805000000000003E-2</v>
      </c>
      <c r="T485" t="s">
        <v>189</v>
      </c>
    </row>
    <row r="486" spans="1:20">
      <c r="A486">
        <v>13</v>
      </c>
      <c r="B486">
        <v>0</v>
      </c>
      <c r="C486">
        <v>3.5700000000000003E-2</v>
      </c>
      <c r="D486">
        <v>34.450000000000003</v>
      </c>
      <c r="E486">
        <v>6.7699999999999996E-2</v>
      </c>
      <c r="F486">
        <v>0</v>
      </c>
      <c r="G486">
        <v>0.1353</v>
      </c>
      <c r="H486">
        <v>10.14</v>
      </c>
      <c r="I486">
        <v>2.5700000000000001E-2</v>
      </c>
      <c r="J486">
        <v>0.16259999999999999</v>
      </c>
      <c r="K486">
        <v>0</v>
      </c>
      <c r="L486">
        <v>56.02</v>
      </c>
      <c r="M486">
        <v>0.10580000000000001</v>
      </c>
      <c r="N486">
        <v>101.1427</v>
      </c>
      <c r="O486" t="s">
        <v>377</v>
      </c>
      <c r="Q486">
        <f t="shared" si="15"/>
        <v>66.16</v>
      </c>
      <c r="R486">
        <f>I486-(K486*Standards!$I$15)</f>
        <v>2.5700000000000001E-2</v>
      </c>
      <c r="S486">
        <f t="shared" si="16"/>
        <v>3.4415000000000001E-2</v>
      </c>
      <c r="T486" t="s">
        <v>189</v>
      </c>
    </row>
    <row r="487" spans="1:20">
      <c r="A487">
        <v>14</v>
      </c>
      <c r="B487">
        <v>0</v>
      </c>
      <c r="C487">
        <v>4.2500000000000003E-2</v>
      </c>
      <c r="D487">
        <v>34.39</v>
      </c>
      <c r="E487">
        <v>5.6599999999999998E-2</v>
      </c>
      <c r="F487">
        <v>0</v>
      </c>
      <c r="G487">
        <v>0.13270000000000001</v>
      </c>
      <c r="H487">
        <v>10.48</v>
      </c>
      <c r="I487">
        <v>1.72E-2</v>
      </c>
      <c r="J487">
        <v>4.3499999999999997E-2</v>
      </c>
      <c r="K487">
        <v>0</v>
      </c>
      <c r="L487">
        <v>55.65</v>
      </c>
      <c r="M487">
        <v>0.104</v>
      </c>
      <c r="N487">
        <v>100.9164</v>
      </c>
      <c r="O487" t="s">
        <v>377</v>
      </c>
      <c r="Q487">
        <f t="shared" si="15"/>
        <v>66.13</v>
      </c>
      <c r="R487">
        <f>I487-(K487*Standards!$I$15)</f>
        <v>1.72E-2</v>
      </c>
      <c r="S487">
        <f t="shared" si="16"/>
        <v>4.1640000000000003E-2</v>
      </c>
      <c r="T487" t="s">
        <v>189</v>
      </c>
    </row>
    <row r="488" spans="1:20">
      <c r="A488">
        <v>15</v>
      </c>
      <c r="B488">
        <v>0</v>
      </c>
      <c r="C488">
        <v>5.2600000000000001E-2</v>
      </c>
      <c r="D488">
        <v>34.369999999999997</v>
      </c>
      <c r="E488">
        <v>5.0799999999999998E-2</v>
      </c>
      <c r="F488">
        <v>0</v>
      </c>
      <c r="G488">
        <v>0.14069999999999999</v>
      </c>
      <c r="H488">
        <v>10.45</v>
      </c>
      <c r="I488">
        <v>1.61E-2</v>
      </c>
      <c r="J488">
        <v>3.4500000000000003E-2</v>
      </c>
      <c r="K488">
        <v>0</v>
      </c>
      <c r="L488">
        <v>55.78</v>
      </c>
      <c r="M488">
        <v>0.12740000000000001</v>
      </c>
      <c r="N488">
        <v>101.02200000000001</v>
      </c>
      <c r="O488" t="s">
        <v>377</v>
      </c>
      <c r="Q488">
        <f t="shared" si="15"/>
        <v>66.23</v>
      </c>
      <c r="R488">
        <f>I488-(K488*Standards!$I$15)</f>
        <v>1.61E-2</v>
      </c>
      <c r="S488">
        <f t="shared" si="16"/>
        <v>5.1795000000000001E-2</v>
      </c>
      <c r="T488" t="s">
        <v>189</v>
      </c>
    </row>
    <row r="489" spans="1:20">
      <c r="A489">
        <v>16</v>
      </c>
      <c r="B489">
        <v>0</v>
      </c>
      <c r="C489">
        <v>4.5699999999999998E-2</v>
      </c>
      <c r="D489">
        <v>34.47</v>
      </c>
      <c r="E489">
        <v>4.41E-2</v>
      </c>
      <c r="F489">
        <v>0</v>
      </c>
      <c r="G489">
        <v>0.1371</v>
      </c>
      <c r="H489">
        <v>10.69</v>
      </c>
      <c r="I489">
        <v>1.5900000000000001E-2</v>
      </c>
      <c r="J489">
        <v>3.0000000000000001E-3</v>
      </c>
      <c r="K489">
        <v>0</v>
      </c>
      <c r="L489">
        <v>55.71</v>
      </c>
      <c r="M489">
        <v>0.1086</v>
      </c>
      <c r="N489">
        <v>101.2243</v>
      </c>
      <c r="O489" t="s">
        <v>377</v>
      </c>
      <c r="Q489">
        <f t="shared" si="15"/>
        <v>66.400000000000006</v>
      </c>
      <c r="R489">
        <f>I489-(K489*Standards!$I$15)</f>
        <v>1.5900000000000001E-2</v>
      </c>
      <c r="S489">
        <f t="shared" si="16"/>
        <v>4.4905E-2</v>
      </c>
      <c r="T489" t="s">
        <v>189</v>
      </c>
    </row>
    <row r="490" spans="1:20">
      <c r="A490">
        <v>17</v>
      </c>
      <c r="B490">
        <v>0</v>
      </c>
      <c r="C490">
        <v>4.24E-2</v>
      </c>
      <c r="D490">
        <v>34.35</v>
      </c>
      <c r="E490">
        <v>6.5000000000000002E-2</v>
      </c>
      <c r="F490">
        <v>0</v>
      </c>
      <c r="G490">
        <v>0.13350000000000001</v>
      </c>
      <c r="H490">
        <v>10.37</v>
      </c>
      <c r="I490">
        <v>2.4E-2</v>
      </c>
      <c r="J490">
        <v>5.4000000000000003E-3</v>
      </c>
      <c r="K490">
        <v>0</v>
      </c>
      <c r="L490">
        <v>56.11</v>
      </c>
      <c r="M490">
        <v>0.11700000000000001</v>
      </c>
      <c r="N490">
        <v>101.21720000000001</v>
      </c>
      <c r="O490" t="s">
        <v>377</v>
      </c>
      <c r="Q490">
        <f t="shared" si="15"/>
        <v>66.48</v>
      </c>
      <c r="R490">
        <f>I490-(K490*Standards!$I$15)</f>
        <v>2.4E-2</v>
      </c>
      <c r="S490">
        <f t="shared" si="16"/>
        <v>4.1200000000000001E-2</v>
      </c>
      <c r="T490" t="s">
        <v>189</v>
      </c>
    </row>
    <row r="491" spans="1:20">
      <c r="A491">
        <v>18</v>
      </c>
      <c r="B491">
        <v>0</v>
      </c>
      <c r="C491">
        <v>3.3700000000000001E-2</v>
      </c>
      <c r="D491">
        <v>34.56</v>
      </c>
      <c r="E491">
        <v>6.7799999999999999E-2</v>
      </c>
      <c r="F491">
        <v>0</v>
      </c>
      <c r="G491">
        <v>0.14019999999999999</v>
      </c>
      <c r="H491">
        <v>10.55</v>
      </c>
      <c r="I491">
        <v>1.7299999999999999E-2</v>
      </c>
      <c r="J491">
        <v>0</v>
      </c>
      <c r="K491">
        <v>0</v>
      </c>
      <c r="L491">
        <v>56.09</v>
      </c>
      <c r="M491">
        <v>0.114</v>
      </c>
      <c r="N491">
        <v>101.5729</v>
      </c>
      <c r="O491" t="s">
        <v>377</v>
      </c>
      <c r="Q491">
        <f t="shared" si="15"/>
        <v>66.64</v>
      </c>
      <c r="R491">
        <f>I491-(K491*Standards!$I$15)</f>
        <v>1.7299999999999999E-2</v>
      </c>
      <c r="S491">
        <f t="shared" si="16"/>
        <v>3.2835000000000003E-2</v>
      </c>
      <c r="T491" t="s">
        <v>189</v>
      </c>
    </row>
    <row r="492" spans="1:20">
      <c r="A492">
        <v>19</v>
      </c>
      <c r="B492">
        <v>0</v>
      </c>
      <c r="C492">
        <v>3.5000000000000003E-2</v>
      </c>
      <c r="D492">
        <v>34.299999999999997</v>
      </c>
      <c r="E492">
        <v>4.9500000000000002E-2</v>
      </c>
      <c r="F492">
        <v>0</v>
      </c>
      <c r="G492">
        <v>0.12670000000000001</v>
      </c>
      <c r="H492">
        <v>10.3</v>
      </c>
      <c r="I492">
        <v>8.6E-3</v>
      </c>
      <c r="J492">
        <v>2.52E-2</v>
      </c>
      <c r="K492">
        <v>0</v>
      </c>
      <c r="L492">
        <v>56.18</v>
      </c>
      <c r="M492">
        <v>0.1167</v>
      </c>
      <c r="N492">
        <v>101.1416</v>
      </c>
      <c r="O492" t="s">
        <v>377</v>
      </c>
      <c r="Q492">
        <f t="shared" si="15"/>
        <v>66.48</v>
      </c>
      <c r="R492">
        <f>I492-(K492*Standards!$I$15)</f>
        <v>8.6E-3</v>
      </c>
      <c r="S492">
        <f t="shared" si="16"/>
        <v>3.4570000000000004E-2</v>
      </c>
      <c r="T492" t="s">
        <v>189</v>
      </c>
    </row>
    <row r="493" spans="1:20">
      <c r="A493">
        <v>90</v>
      </c>
      <c r="B493">
        <v>0</v>
      </c>
      <c r="C493">
        <v>5.6300000000000003E-2</v>
      </c>
      <c r="D493">
        <v>33.9</v>
      </c>
      <c r="E493">
        <v>4.9500000000000002E-2</v>
      </c>
      <c r="F493">
        <v>0</v>
      </c>
      <c r="G493">
        <v>0.14380000000000001</v>
      </c>
      <c r="H493">
        <v>4.58</v>
      </c>
      <c r="I493">
        <v>5.3199999999999997E-2</v>
      </c>
      <c r="J493">
        <v>1.0999999999999999E-2</v>
      </c>
      <c r="K493">
        <v>0</v>
      </c>
      <c r="L493">
        <v>62.52</v>
      </c>
      <c r="M493">
        <v>7.1099999999999997E-2</v>
      </c>
      <c r="N493">
        <v>101.3848</v>
      </c>
      <c r="O493" t="s">
        <v>378</v>
      </c>
      <c r="Q493">
        <f t="shared" si="15"/>
        <v>67.100000000000009</v>
      </c>
      <c r="R493">
        <f>I493-(K493*Standards!$I$15)</f>
        <v>5.3199999999999997E-2</v>
      </c>
      <c r="S493">
        <f t="shared" si="16"/>
        <v>5.364E-2</v>
      </c>
      <c r="T493" t="s">
        <v>71</v>
      </c>
    </row>
    <row r="494" spans="1:20">
      <c r="A494">
        <v>91</v>
      </c>
      <c r="B494">
        <v>0</v>
      </c>
      <c r="C494">
        <v>4.7E-2</v>
      </c>
      <c r="D494">
        <v>34.14</v>
      </c>
      <c r="E494">
        <v>3.6299999999999999E-2</v>
      </c>
      <c r="F494">
        <v>0</v>
      </c>
      <c r="G494">
        <v>0.13739999999999999</v>
      </c>
      <c r="H494">
        <v>4.46</v>
      </c>
      <c r="I494">
        <v>4.3099999999999999E-2</v>
      </c>
      <c r="J494">
        <v>0</v>
      </c>
      <c r="K494">
        <v>0</v>
      </c>
      <c r="L494">
        <v>62.32</v>
      </c>
      <c r="M494">
        <v>9.4200000000000006E-2</v>
      </c>
      <c r="N494">
        <v>101.2779</v>
      </c>
      <c r="O494" t="s">
        <v>378</v>
      </c>
      <c r="Q494">
        <f t="shared" si="15"/>
        <v>66.78</v>
      </c>
      <c r="R494">
        <f>I494-(K494*Standards!$I$15)</f>
        <v>4.3099999999999999E-2</v>
      </c>
      <c r="S494">
        <f t="shared" si="16"/>
        <v>4.4845000000000003E-2</v>
      </c>
      <c r="T494" t="s">
        <v>71</v>
      </c>
    </row>
    <row r="495" spans="1:20">
      <c r="A495">
        <v>92</v>
      </c>
      <c r="B495">
        <v>0</v>
      </c>
      <c r="C495">
        <v>3.6400000000000002E-2</v>
      </c>
      <c r="D495">
        <v>33.86</v>
      </c>
      <c r="E495">
        <v>4.6600000000000003E-2</v>
      </c>
      <c r="F495">
        <v>2.0999999999999999E-3</v>
      </c>
      <c r="G495">
        <v>0.13639999999999999</v>
      </c>
      <c r="H495">
        <v>4.67</v>
      </c>
      <c r="I495">
        <v>4.7899999999999998E-2</v>
      </c>
      <c r="J495">
        <v>1.09E-2</v>
      </c>
      <c r="K495">
        <v>0</v>
      </c>
      <c r="L495">
        <v>62.27</v>
      </c>
      <c r="M495">
        <v>8.7800000000000003E-2</v>
      </c>
      <c r="N495">
        <v>101.1681</v>
      </c>
      <c r="O495" t="s">
        <v>378</v>
      </c>
      <c r="Q495">
        <f t="shared" si="15"/>
        <v>66.94</v>
      </c>
      <c r="R495">
        <f>I495-(K495*Standards!$I$15)</f>
        <v>4.7899999999999998E-2</v>
      </c>
      <c r="S495">
        <f t="shared" si="16"/>
        <v>3.4005000000000001E-2</v>
      </c>
      <c r="T495" t="s">
        <v>71</v>
      </c>
    </row>
    <row r="496" spans="1:20">
      <c r="A496">
        <v>93</v>
      </c>
      <c r="B496">
        <v>0</v>
      </c>
      <c r="C496">
        <v>5.5500000000000001E-2</v>
      </c>
      <c r="D496">
        <v>33.96</v>
      </c>
      <c r="E496">
        <v>3.2000000000000001E-2</v>
      </c>
      <c r="F496">
        <v>0</v>
      </c>
      <c r="G496">
        <v>0.13789999999999999</v>
      </c>
      <c r="H496">
        <v>4.7</v>
      </c>
      <c r="I496">
        <v>4.2500000000000003E-2</v>
      </c>
      <c r="J496">
        <v>6.7000000000000002E-3</v>
      </c>
      <c r="K496">
        <v>0</v>
      </c>
      <c r="L496">
        <v>62.5</v>
      </c>
      <c r="M496">
        <v>7.8100000000000003E-2</v>
      </c>
      <c r="N496">
        <v>101.51260000000001</v>
      </c>
      <c r="O496" t="s">
        <v>378</v>
      </c>
      <c r="Q496">
        <f t="shared" si="15"/>
        <v>67.2</v>
      </c>
      <c r="R496">
        <f>I496-(K496*Standards!$I$15)</f>
        <v>4.2500000000000003E-2</v>
      </c>
      <c r="S496">
        <f t="shared" si="16"/>
        <v>5.3374999999999999E-2</v>
      </c>
      <c r="T496" t="s">
        <v>71</v>
      </c>
    </row>
    <row r="497" spans="1:31">
      <c r="A497">
        <v>94</v>
      </c>
      <c r="B497">
        <v>0</v>
      </c>
      <c r="C497">
        <v>5.2600000000000001E-2</v>
      </c>
      <c r="D497">
        <v>33.71</v>
      </c>
      <c r="E497">
        <v>3.4799999999999998E-2</v>
      </c>
      <c r="F497">
        <v>0</v>
      </c>
      <c r="G497">
        <v>0.1305</v>
      </c>
      <c r="H497">
        <v>4.88</v>
      </c>
      <c r="I497">
        <v>4.3700000000000003E-2</v>
      </c>
      <c r="J497">
        <v>1.0699999999999999E-2</v>
      </c>
      <c r="K497">
        <v>0</v>
      </c>
      <c r="L497">
        <v>61.9</v>
      </c>
      <c r="M497">
        <v>0.1061</v>
      </c>
      <c r="N497">
        <v>100.86839999999999</v>
      </c>
      <c r="O497" t="s">
        <v>378</v>
      </c>
      <c r="Q497">
        <f t="shared" si="15"/>
        <v>66.78</v>
      </c>
      <c r="R497">
        <f>I497-(K497*Standards!$I$15)</f>
        <v>4.3700000000000003E-2</v>
      </c>
      <c r="S497">
        <f t="shared" si="16"/>
        <v>5.0415000000000001E-2</v>
      </c>
      <c r="T497" t="s">
        <v>71</v>
      </c>
    </row>
    <row r="498" spans="1:31">
      <c r="A498">
        <v>95</v>
      </c>
      <c r="B498">
        <v>0</v>
      </c>
      <c r="C498">
        <v>5.2900000000000003E-2</v>
      </c>
      <c r="D498">
        <v>33.97</v>
      </c>
      <c r="E498">
        <v>2.4199999999999999E-2</v>
      </c>
      <c r="F498">
        <v>0</v>
      </c>
      <c r="G498">
        <v>0.12570000000000001</v>
      </c>
      <c r="H498">
        <v>5.42</v>
      </c>
      <c r="I498">
        <v>4.8000000000000001E-2</v>
      </c>
      <c r="J498">
        <v>3.1199999999999999E-2</v>
      </c>
      <c r="K498">
        <v>0</v>
      </c>
      <c r="L498">
        <v>61.68</v>
      </c>
      <c r="M498">
        <v>8.1799999999999998E-2</v>
      </c>
      <c r="N498">
        <v>101.4337</v>
      </c>
      <c r="O498" t="s">
        <v>378</v>
      </c>
      <c r="Q498">
        <f t="shared" si="15"/>
        <v>67.099999999999994</v>
      </c>
      <c r="R498">
        <f>I498-(K498*Standards!$I$15)</f>
        <v>4.8000000000000001E-2</v>
      </c>
      <c r="S498">
        <f t="shared" si="16"/>
        <v>5.0500000000000003E-2</v>
      </c>
      <c r="T498" t="s">
        <v>71</v>
      </c>
    </row>
    <row r="499" spans="1:31">
      <c r="A499">
        <v>96</v>
      </c>
      <c r="B499">
        <v>0</v>
      </c>
      <c r="C499">
        <v>4.5100000000000001E-2</v>
      </c>
      <c r="D499">
        <v>34.090000000000003</v>
      </c>
      <c r="E499">
        <v>4.7100000000000003E-2</v>
      </c>
      <c r="F499">
        <v>0</v>
      </c>
      <c r="G499">
        <v>0.1275</v>
      </c>
      <c r="H499">
        <v>4.91</v>
      </c>
      <c r="I499">
        <v>4.2099999999999999E-2</v>
      </c>
      <c r="J499">
        <v>0</v>
      </c>
      <c r="K499">
        <v>0</v>
      </c>
      <c r="L499">
        <v>62.3</v>
      </c>
      <c r="M499">
        <v>0.1042</v>
      </c>
      <c r="N499">
        <v>101.66589999999999</v>
      </c>
      <c r="O499" t="s">
        <v>378</v>
      </c>
      <c r="Q499">
        <f t="shared" si="15"/>
        <v>67.209999999999994</v>
      </c>
      <c r="R499">
        <f>I499-(K499*Standards!$I$15)</f>
        <v>4.2099999999999999E-2</v>
      </c>
      <c r="S499">
        <f t="shared" si="16"/>
        <v>4.2994999999999998E-2</v>
      </c>
      <c r="T499" t="s">
        <v>71</v>
      </c>
    </row>
    <row r="500" spans="1:31">
      <c r="A500">
        <v>97</v>
      </c>
      <c r="B500">
        <v>0</v>
      </c>
      <c r="C500">
        <v>5.2900000000000003E-2</v>
      </c>
      <c r="D500">
        <v>33.880000000000003</v>
      </c>
      <c r="E500">
        <v>3.1699999999999999E-2</v>
      </c>
      <c r="F500">
        <v>0</v>
      </c>
      <c r="G500">
        <v>0.12770000000000001</v>
      </c>
      <c r="H500">
        <v>5.32</v>
      </c>
      <c r="I500">
        <v>4.7199999999999999E-2</v>
      </c>
      <c r="J500">
        <v>0</v>
      </c>
      <c r="K500">
        <v>0</v>
      </c>
      <c r="L500">
        <v>61.77</v>
      </c>
      <c r="M500">
        <v>8.4500000000000006E-2</v>
      </c>
      <c r="N500">
        <v>101.3139</v>
      </c>
      <c r="O500" t="s">
        <v>378</v>
      </c>
      <c r="Q500">
        <f t="shared" si="15"/>
        <v>67.09</v>
      </c>
      <c r="R500">
        <f>I500-(K500*Standards!$I$15)</f>
        <v>4.7199999999999999E-2</v>
      </c>
      <c r="S500">
        <f t="shared" si="16"/>
        <v>5.0540000000000002E-2</v>
      </c>
      <c r="T500" t="s">
        <v>71</v>
      </c>
    </row>
    <row r="501" spans="1:31">
      <c r="A501">
        <v>98</v>
      </c>
      <c r="B501">
        <v>0</v>
      </c>
      <c r="C501">
        <v>4.2500000000000003E-2</v>
      </c>
      <c r="D501">
        <v>33.979999999999997</v>
      </c>
      <c r="E501">
        <v>3.5999999999999997E-2</v>
      </c>
      <c r="F501">
        <v>0</v>
      </c>
      <c r="G501">
        <v>0.1246</v>
      </c>
      <c r="H501">
        <v>6</v>
      </c>
      <c r="I501">
        <v>3.7999999999999999E-2</v>
      </c>
      <c r="J501">
        <v>0</v>
      </c>
      <c r="K501">
        <v>0</v>
      </c>
      <c r="L501">
        <v>60.7</v>
      </c>
      <c r="M501">
        <v>0.1036</v>
      </c>
      <c r="N501">
        <v>101.02460000000001</v>
      </c>
      <c r="O501" t="s">
        <v>378</v>
      </c>
      <c r="Q501">
        <f t="shared" si="15"/>
        <v>66.7</v>
      </c>
      <c r="R501">
        <f>I501-(K501*Standards!$I$15)</f>
        <v>3.7999999999999999E-2</v>
      </c>
      <c r="S501">
        <f t="shared" si="16"/>
        <v>4.0600000000000004E-2</v>
      </c>
      <c r="T501" t="s">
        <v>71</v>
      </c>
    </row>
    <row r="502" spans="1:31">
      <c r="A502">
        <v>107</v>
      </c>
      <c r="B502">
        <v>0</v>
      </c>
      <c r="C502">
        <v>5.0099999999999999E-2</v>
      </c>
      <c r="D502">
        <v>34.07</v>
      </c>
      <c r="E502">
        <v>3.3700000000000001E-2</v>
      </c>
      <c r="F502">
        <v>0</v>
      </c>
      <c r="G502">
        <v>0.13339999999999999</v>
      </c>
      <c r="H502">
        <v>4.58</v>
      </c>
      <c r="I502">
        <v>4.3099999999999999E-2</v>
      </c>
      <c r="J502">
        <v>0</v>
      </c>
      <c r="K502">
        <v>0</v>
      </c>
      <c r="L502">
        <v>62.35</v>
      </c>
      <c r="M502">
        <v>8.9200000000000002E-2</v>
      </c>
      <c r="N502">
        <v>101.3494</v>
      </c>
      <c r="O502" t="s">
        <v>378</v>
      </c>
      <c r="Q502">
        <f t="shared" si="15"/>
        <v>66.930000000000007</v>
      </c>
      <c r="R502">
        <f>I502-(K502*Standards!$I$15)</f>
        <v>4.3099999999999999E-2</v>
      </c>
      <c r="S502">
        <f t="shared" si="16"/>
        <v>4.7945000000000002E-2</v>
      </c>
      <c r="T502" t="s">
        <v>71</v>
      </c>
    </row>
    <row r="503" spans="1:31">
      <c r="A503">
        <v>108</v>
      </c>
      <c r="B503">
        <v>0</v>
      </c>
      <c r="C503">
        <v>3.7999999999999999E-2</v>
      </c>
      <c r="D503">
        <v>33.96</v>
      </c>
      <c r="E503">
        <v>3.5400000000000001E-2</v>
      </c>
      <c r="F503">
        <v>0</v>
      </c>
      <c r="G503">
        <v>0.1123</v>
      </c>
      <c r="H503">
        <v>6.53</v>
      </c>
      <c r="I503">
        <v>4.87E-2</v>
      </c>
      <c r="J503">
        <v>1.5100000000000001E-2</v>
      </c>
      <c r="K503">
        <v>0</v>
      </c>
      <c r="L503">
        <v>60.83</v>
      </c>
      <c r="M503">
        <v>8.2299999999999998E-2</v>
      </c>
      <c r="N503">
        <v>101.65170000000001</v>
      </c>
      <c r="O503" t="s">
        <v>378</v>
      </c>
      <c r="Q503">
        <f t="shared" si="15"/>
        <v>67.36</v>
      </c>
      <c r="R503">
        <f>I503-(K503*Standards!$I$15)</f>
        <v>4.87E-2</v>
      </c>
      <c r="S503">
        <f t="shared" si="16"/>
        <v>3.5564999999999999E-2</v>
      </c>
      <c r="T503" t="s">
        <v>71</v>
      </c>
    </row>
    <row r="504" spans="1:31">
      <c r="A504">
        <v>109</v>
      </c>
      <c r="B504">
        <v>0</v>
      </c>
      <c r="C504">
        <v>5.8700000000000002E-2</v>
      </c>
      <c r="D504">
        <v>34.18</v>
      </c>
      <c r="E504">
        <v>4.5400000000000003E-2</v>
      </c>
      <c r="F504">
        <v>0</v>
      </c>
      <c r="G504">
        <v>0.12520000000000001</v>
      </c>
      <c r="H504">
        <v>5.57</v>
      </c>
      <c r="I504">
        <v>4.7699999999999999E-2</v>
      </c>
      <c r="J504">
        <v>1.09E-2</v>
      </c>
      <c r="K504">
        <v>0</v>
      </c>
      <c r="L504">
        <v>61.27</v>
      </c>
      <c r="M504">
        <v>7.7799999999999994E-2</v>
      </c>
      <c r="N504">
        <v>101.3856</v>
      </c>
      <c r="O504" t="s">
        <v>378</v>
      </c>
      <c r="Q504">
        <f t="shared" si="15"/>
        <v>66.84</v>
      </c>
      <c r="R504">
        <f>I504-(K504*Standards!$I$15)</f>
        <v>4.7699999999999999E-2</v>
      </c>
      <c r="S504">
        <f t="shared" si="16"/>
        <v>5.6315000000000004E-2</v>
      </c>
      <c r="T504" t="s">
        <v>71</v>
      </c>
    </row>
    <row r="505" spans="1:31">
      <c r="A505">
        <v>110</v>
      </c>
      <c r="B505">
        <v>0</v>
      </c>
      <c r="C505">
        <v>4.5400000000000003E-2</v>
      </c>
      <c r="D505">
        <v>33.89</v>
      </c>
      <c r="E505">
        <v>3.09E-2</v>
      </c>
      <c r="F505">
        <v>0</v>
      </c>
      <c r="G505">
        <v>0.1245</v>
      </c>
      <c r="H505">
        <v>5.0599999999999996</v>
      </c>
      <c r="I505">
        <v>5.2900000000000003E-2</v>
      </c>
      <c r="J505">
        <v>1.55E-2</v>
      </c>
      <c r="K505">
        <v>0</v>
      </c>
      <c r="L505">
        <v>62.19</v>
      </c>
      <c r="M505">
        <v>9.0899999999999995E-2</v>
      </c>
      <c r="N505">
        <v>101.5</v>
      </c>
      <c r="O505" t="s">
        <v>378</v>
      </c>
      <c r="Q505">
        <f t="shared" si="15"/>
        <v>67.25</v>
      </c>
      <c r="R505">
        <f>I505-(K505*Standards!$I$15)</f>
        <v>5.2900000000000003E-2</v>
      </c>
      <c r="S505">
        <f t="shared" si="16"/>
        <v>4.2755000000000001E-2</v>
      </c>
      <c r="T505" t="s">
        <v>71</v>
      </c>
    </row>
    <row r="506" spans="1:31">
      <c r="A506">
        <v>111</v>
      </c>
      <c r="B506">
        <v>0</v>
      </c>
      <c r="C506">
        <v>5.16E-2</v>
      </c>
      <c r="D506">
        <v>33.950000000000003</v>
      </c>
      <c r="E506">
        <v>4.3400000000000001E-2</v>
      </c>
      <c r="F506">
        <v>0</v>
      </c>
      <c r="G506">
        <v>0.1396</v>
      </c>
      <c r="H506">
        <v>4.7</v>
      </c>
      <c r="I506">
        <v>4.2999999999999997E-2</v>
      </c>
      <c r="J506">
        <v>1.06E-2</v>
      </c>
      <c r="K506">
        <v>0</v>
      </c>
      <c r="L506">
        <v>62.38</v>
      </c>
      <c r="M506">
        <v>8.1500000000000003E-2</v>
      </c>
      <c r="N506">
        <v>101.3997</v>
      </c>
      <c r="O506" t="s">
        <v>378</v>
      </c>
      <c r="Q506">
        <f t="shared" si="15"/>
        <v>67.08</v>
      </c>
      <c r="R506">
        <f>I506-(K506*Standards!$I$15)</f>
        <v>4.2999999999999997E-2</v>
      </c>
      <c r="S506">
        <f t="shared" si="16"/>
        <v>4.9450000000000001E-2</v>
      </c>
      <c r="T506" t="s">
        <v>71</v>
      </c>
    </row>
    <row r="507" spans="1:31">
      <c r="A507">
        <v>64</v>
      </c>
      <c r="B507">
        <v>0</v>
      </c>
      <c r="C507">
        <v>4.36E-2</v>
      </c>
      <c r="D507">
        <v>34.25</v>
      </c>
      <c r="E507">
        <v>3.4099999999999998E-2</v>
      </c>
      <c r="F507">
        <v>0</v>
      </c>
      <c r="G507">
        <v>0.11749999999999999</v>
      </c>
      <c r="H507">
        <v>6.75</v>
      </c>
      <c r="I507">
        <v>0.1023</v>
      </c>
      <c r="J507">
        <v>5.5500000000000001E-2</v>
      </c>
      <c r="K507">
        <v>0</v>
      </c>
      <c r="L507">
        <v>60.4</v>
      </c>
      <c r="M507">
        <v>0.1066</v>
      </c>
      <c r="N507">
        <v>101.8595</v>
      </c>
      <c r="O507" t="s">
        <v>379</v>
      </c>
      <c r="Q507">
        <f t="shared" si="15"/>
        <v>67.150000000000006</v>
      </c>
      <c r="R507">
        <f>I507-(K507*Standards!$I$15)</f>
        <v>0.1023</v>
      </c>
      <c r="S507">
        <f t="shared" si="16"/>
        <v>3.8484999999999998E-2</v>
      </c>
      <c r="T507" t="s">
        <v>380</v>
      </c>
      <c r="U507">
        <f>COUNT(R507:R525)</f>
        <v>19</v>
      </c>
      <c r="V507">
        <f>MAX(H507:H525)</f>
        <v>12.83</v>
      </c>
      <c r="W507">
        <f>AVERAGE(H507:H525)</f>
        <v>9.5794736842105266</v>
      </c>
      <c r="X507">
        <f>MAX(J507:J525)</f>
        <v>0.113</v>
      </c>
      <c r="Y507">
        <f>AVERAGE(J507:J525)</f>
        <v>2.8115789473684205E-2</v>
      </c>
      <c r="Z507">
        <f>10000*MAX(R507:R525)</f>
        <v>2024</v>
      </c>
      <c r="AA507">
        <f>10000*AVERAGE(R507:R525)</f>
        <v>484.73684210526312</v>
      </c>
      <c r="AB507">
        <f>10000*MAX(G507:G525)</f>
        <v>1727</v>
      </c>
      <c r="AC507">
        <f>10000*AVERAGE(G507:G525)</f>
        <v>1359.2631578947364</v>
      </c>
      <c r="AD507">
        <f>10000*MAX(S507:S525)</f>
        <v>438.00000000000006</v>
      </c>
      <c r="AE507">
        <f>10000*AVERAGE(S507:S525)</f>
        <v>355.6578947368422</v>
      </c>
    </row>
    <row r="508" spans="1:31">
      <c r="A508">
        <v>63</v>
      </c>
      <c r="B508">
        <v>0</v>
      </c>
      <c r="C508">
        <v>4.7100000000000003E-2</v>
      </c>
      <c r="D508">
        <v>34.21</v>
      </c>
      <c r="E508">
        <v>4.5400000000000003E-2</v>
      </c>
      <c r="F508">
        <v>0</v>
      </c>
      <c r="G508">
        <v>0.1174</v>
      </c>
      <c r="H508">
        <v>8.1999999999999993</v>
      </c>
      <c r="I508">
        <v>6.6000000000000003E-2</v>
      </c>
      <c r="J508">
        <v>2.29E-2</v>
      </c>
      <c r="K508">
        <v>0</v>
      </c>
      <c r="L508">
        <v>59.03</v>
      </c>
      <c r="M508">
        <v>9.2100000000000001E-2</v>
      </c>
      <c r="N508">
        <v>101.8308</v>
      </c>
      <c r="O508" t="s">
        <v>379</v>
      </c>
      <c r="Q508">
        <f t="shared" si="15"/>
        <v>67.23</v>
      </c>
      <c r="R508">
        <f>I508-(K508*Standards!$I$15)</f>
        <v>6.6000000000000003E-2</v>
      </c>
      <c r="S508">
        <f t="shared" si="16"/>
        <v>4.3800000000000006E-2</v>
      </c>
      <c r="T508" t="s">
        <v>380</v>
      </c>
    </row>
    <row r="509" spans="1:31">
      <c r="A509">
        <v>53</v>
      </c>
      <c r="B509">
        <v>0</v>
      </c>
      <c r="C509">
        <v>4.2999999999999997E-2</v>
      </c>
      <c r="D509">
        <v>34.25</v>
      </c>
      <c r="E509">
        <v>4.6300000000000001E-2</v>
      </c>
      <c r="F509">
        <v>0</v>
      </c>
      <c r="G509">
        <v>0.1202</v>
      </c>
      <c r="H509">
        <v>8.7100000000000009</v>
      </c>
      <c r="I509">
        <v>1.2999999999999999E-3</v>
      </c>
      <c r="J509">
        <v>0</v>
      </c>
      <c r="K509">
        <v>0</v>
      </c>
      <c r="L509">
        <v>58.72</v>
      </c>
      <c r="M509">
        <v>8.6599999999999996E-2</v>
      </c>
      <c r="N509">
        <v>101.9773</v>
      </c>
      <c r="O509" t="s">
        <v>379</v>
      </c>
      <c r="Q509">
        <f t="shared" si="15"/>
        <v>67.430000000000007</v>
      </c>
      <c r="R509">
        <f>I509-(K509*Standards!$I$15)</f>
        <v>1.2999999999999999E-3</v>
      </c>
      <c r="S509">
        <f t="shared" si="16"/>
        <v>4.2934999999999994E-2</v>
      </c>
      <c r="T509" t="s">
        <v>380</v>
      </c>
    </row>
    <row r="510" spans="1:31">
      <c r="A510">
        <v>60</v>
      </c>
      <c r="B510">
        <v>0</v>
      </c>
      <c r="C510">
        <v>3.5999999999999997E-2</v>
      </c>
      <c r="D510">
        <v>34.299999999999997</v>
      </c>
      <c r="E510">
        <v>5.1200000000000002E-2</v>
      </c>
      <c r="F510">
        <v>0</v>
      </c>
      <c r="G510">
        <v>0.1285</v>
      </c>
      <c r="H510">
        <v>8.82</v>
      </c>
      <c r="I510">
        <v>5.0000000000000001E-4</v>
      </c>
      <c r="J510">
        <v>0</v>
      </c>
      <c r="K510">
        <v>0</v>
      </c>
      <c r="L510">
        <v>58.25</v>
      </c>
      <c r="M510">
        <v>0.12039999999999999</v>
      </c>
      <c r="N510">
        <v>101.70650000000001</v>
      </c>
      <c r="O510" t="s">
        <v>379</v>
      </c>
      <c r="Q510">
        <f t="shared" si="15"/>
        <v>67.069999999999993</v>
      </c>
      <c r="R510">
        <f>I510-(K510*Standards!$I$15)</f>
        <v>5.0000000000000001E-4</v>
      </c>
      <c r="S510">
        <f t="shared" si="16"/>
        <v>3.5975E-2</v>
      </c>
      <c r="T510" t="s">
        <v>380</v>
      </c>
    </row>
    <row r="511" spans="1:31">
      <c r="A511">
        <v>56</v>
      </c>
      <c r="B511">
        <v>0</v>
      </c>
      <c r="C511">
        <v>4.3299999999999998E-2</v>
      </c>
      <c r="D511">
        <v>34.4</v>
      </c>
      <c r="E511">
        <v>4.9299999999999997E-2</v>
      </c>
      <c r="F511">
        <v>0</v>
      </c>
      <c r="G511">
        <v>0.14050000000000001</v>
      </c>
      <c r="H511">
        <v>9.42</v>
      </c>
      <c r="I511">
        <v>0</v>
      </c>
      <c r="J511">
        <v>2.0799999999999999E-2</v>
      </c>
      <c r="K511">
        <v>0</v>
      </c>
      <c r="L511">
        <v>58.01</v>
      </c>
      <c r="M511">
        <v>9.4399999999999998E-2</v>
      </c>
      <c r="N511">
        <v>102.1782</v>
      </c>
      <c r="O511" t="s">
        <v>379</v>
      </c>
      <c r="Q511">
        <f t="shared" si="15"/>
        <v>67.429999999999993</v>
      </c>
      <c r="R511">
        <f>I511-(K511*Standards!$I$15)</f>
        <v>0</v>
      </c>
      <c r="S511">
        <f t="shared" si="16"/>
        <v>4.3299999999999998E-2</v>
      </c>
      <c r="T511" t="s">
        <v>380</v>
      </c>
    </row>
    <row r="512" spans="1:31">
      <c r="A512">
        <v>55</v>
      </c>
      <c r="B512">
        <v>0</v>
      </c>
      <c r="C512">
        <v>2.5100000000000001E-2</v>
      </c>
      <c r="D512">
        <v>34.380000000000003</v>
      </c>
      <c r="E512">
        <v>5.6899999999999999E-2</v>
      </c>
      <c r="F512">
        <v>1.43E-2</v>
      </c>
      <c r="G512">
        <v>0.13289999999999999</v>
      </c>
      <c r="H512">
        <v>9.0399999999999991</v>
      </c>
      <c r="I512">
        <v>2E-3</v>
      </c>
      <c r="J512">
        <v>5.0000000000000001E-3</v>
      </c>
      <c r="K512">
        <v>0</v>
      </c>
      <c r="L512">
        <v>57.95</v>
      </c>
      <c r="M512">
        <v>0.13700000000000001</v>
      </c>
      <c r="N512">
        <v>101.7431</v>
      </c>
      <c r="O512" t="s">
        <v>379</v>
      </c>
      <c r="Q512">
        <f t="shared" si="15"/>
        <v>66.990000000000009</v>
      </c>
      <c r="R512">
        <f>I512-(K512*Standards!$I$15)</f>
        <v>2E-3</v>
      </c>
      <c r="S512">
        <f t="shared" si="16"/>
        <v>2.5000000000000001E-2</v>
      </c>
      <c r="T512" t="s">
        <v>380</v>
      </c>
    </row>
    <row r="513" spans="1:31">
      <c r="A513">
        <v>59</v>
      </c>
      <c r="B513">
        <v>0</v>
      </c>
      <c r="C513">
        <v>3.6200000000000003E-2</v>
      </c>
      <c r="D513">
        <v>34.26</v>
      </c>
      <c r="E513">
        <v>5.04E-2</v>
      </c>
      <c r="F513">
        <v>0</v>
      </c>
      <c r="G513">
        <v>0.14760000000000001</v>
      </c>
      <c r="H513">
        <v>9.09</v>
      </c>
      <c r="I513">
        <v>0</v>
      </c>
      <c r="J513">
        <v>2.2200000000000001E-2</v>
      </c>
      <c r="K513">
        <v>0</v>
      </c>
      <c r="L513">
        <v>57.94</v>
      </c>
      <c r="M513">
        <v>0.11459999999999999</v>
      </c>
      <c r="N513">
        <v>101.6609</v>
      </c>
      <c r="O513" t="s">
        <v>379</v>
      </c>
      <c r="Q513">
        <f t="shared" si="15"/>
        <v>67.03</v>
      </c>
      <c r="R513">
        <f>I513-(K513*Standards!$I$15)</f>
        <v>0</v>
      </c>
      <c r="S513">
        <f t="shared" si="16"/>
        <v>3.6200000000000003E-2</v>
      </c>
      <c r="T513" t="s">
        <v>380</v>
      </c>
    </row>
    <row r="514" spans="1:31">
      <c r="A514">
        <v>66</v>
      </c>
      <c r="B514">
        <v>0</v>
      </c>
      <c r="C514">
        <v>4.7899999999999998E-2</v>
      </c>
      <c r="D514">
        <v>34.229999999999997</v>
      </c>
      <c r="E514">
        <v>4.0599999999999997E-2</v>
      </c>
      <c r="F514">
        <v>1.5100000000000001E-2</v>
      </c>
      <c r="G514">
        <v>0.12189999999999999</v>
      </c>
      <c r="H514">
        <v>9.1</v>
      </c>
      <c r="I514">
        <v>0.1171</v>
      </c>
      <c r="J514">
        <v>2.4500000000000001E-2</v>
      </c>
      <c r="K514">
        <v>0</v>
      </c>
      <c r="L514">
        <v>57.86</v>
      </c>
      <c r="M514">
        <v>0.1104</v>
      </c>
      <c r="N514">
        <v>101.6674</v>
      </c>
      <c r="O514" t="s">
        <v>379</v>
      </c>
      <c r="Q514">
        <f t="shared" si="15"/>
        <v>66.959999999999994</v>
      </c>
      <c r="R514">
        <f>I514-(K514*Standards!$I$15)</f>
        <v>0.1171</v>
      </c>
      <c r="S514">
        <f t="shared" si="16"/>
        <v>4.2044999999999999E-2</v>
      </c>
      <c r="T514" t="s">
        <v>380</v>
      </c>
    </row>
    <row r="515" spans="1:31">
      <c r="A515">
        <v>54</v>
      </c>
      <c r="B515">
        <v>0</v>
      </c>
      <c r="C515">
        <v>4.2200000000000001E-2</v>
      </c>
      <c r="D515">
        <v>34.270000000000003</v>
      </c>
      <c r="E515">
        <v>4.8500000000000001E-2</v>
      </c>
      <c r="F515">
        <v>0</v>
      </c>
      <c r="G515">
        <v>0.1426</v>
      </c>
      <c r="H515">
        <v>9.06</v>
      </c>
      <c r="I515">
        <v>8.5000000000000006E-3</v>
      </c>
      <c r="J515">
        <v>1.72E-2</v>
      </c>
      <c r="K515">
        <v>0</v>
      </c>
      <c r="L515">
        <v>57.85</v>
      </c>
      <c r="M515">
        <v>9.5000000000000001E-2</v>
      </c>
      <c r="N515">
        <v>101.5339</v>
      </c>
      <c r="O515" t="s">
        <v>379</v>
      </c>
      <c r="Q515">
        <f t="shared" ref="Q515:Q578" si="17">H515+L515</f>
        <v>66.91</v>
      </c>
      <c r="R515">
        <f>I515-(K515*Standards!$I$15)</f>
        <v>8.5000000000000006E-3</v>
      </c>
      <c r="S515">
        <f t="shared" ref="S515:S578" si="18">C515-(I515*0.05)</f>
        <v>4.1775E-2</v>
      </c>
      <c r="T515" t="s">
        <v>380</v>
      </c>
    </row>
    <row r="516" spans="1:31">
      <c r="A516">
        <v>67</v>
      </c>
      <c r="B516">
        <v>0</v>
      </c>
      <c r="C516">
        <v>4.7199999999999999E-2</v>
      </c>
      <c r="D516">
        <v>34.39</v>
      </c>
      <c r="E516">
        <v>4.2500000000000003E-2</v>
      </c>
      <c r="F516">
        <v>0</v>
      </c>
      <c r="G516">
        <v>0.1077</v>
      </c>
      <c r="H516">
        <v>9.25</v>
      </c>
      <c r="I516">
        <v>0.1061</v>
      </c>
      <c r="J516">
        <v>5.4899999999999997E-2</v>
      </c>
      <c r="K516">
        <v>0</v>
      </c>
      <c r="L516">
        <v>57.73</v>
      </c>
      <c r="M516">
        <v>0.1118</v>
      </c>
      <c r="N516">
        <v>101.84010000000001</v>
      </c>
      <c r="O516" t="s">
        <v>379</v>
      </c>
      <c r="Q516">
        <f t="shared" si="17"/>
        <v>66.97999999999999</v>
      </c>
      <c r="R516">
        <f>I516-(K516*Standards!$I$15)</f>
        <v>0.1061</v>
      </c>
      <c r="S516">
        <f t="shared" si="18"/>
        <v>4.1895000000000002E-2</v>
      </c>
      <c r="T516" t="s">
        <v>380</v>
      </c>
    </row>
    <row r="517" spans="1:31">
      <c r="A517">
        <v>65</v>
      </c>
      <c r="B517">
        <v>0</v>
      </c>
      <c r="C517">
        <v>3.8199999999999998E-2</v>
      </c>
      <c r="D517">
        <v>34.299999999999997</v>
      </c>
      <c r="E517">
        <v>4.3700000000000003E-2</v>
      </c>
      <c r="F517">
        <v>0</v>
      </c>
      <c r="G517">
        <v>0.122</v>
      </c>
      <c r="H517">
        <v>9.16</v>
      </c>
      <c r="I517">
        <v>0.16139999999999999</v>
      </c>
      <c r="J517">
        <v>8.2500000000000004E-2</v>
      </c>
      <c r="K517">
        <v>0</v>
      </c>
      <c r="L517">
        <v>57.65</v>
      </c>
      <c r="M517">
        <v>0.1053</v>
      </c>
      <c r="N517">
        <v>101.663</v>
      </c>
      <c r="O517" t="s">
        <v>379</v>
      </c>
      <c r="Q517">
        <f t="shared" si="17"/>
        <v>66.81</v>
      </c>
      <c r="R517">
        <f>I517-(K517*Standards!$I$15)</f>
        <v>0.16139999999999999</v>
      </c>
      <c r="S517">
        <f t="shared" si="18"/>
        <v>3.0129999999999997E-2</v>
      </c>
      <c r="T517" t="s">
        <v>380</v>
      </c>
    </row>
    <row r="518" spans="1:31">
      <c r="A518">
        <v>68</v>
      </c>
      <c r="B518">
        <v>0</v>
      </c>
      <c r="C518">
        <v>5.2499999999999998E-2</v>
      </c>
      <c r="D518">
        <v>34.28</v>
      </c>
      <c r="E518">
        <v>3.1099999999999999E-2</v>
      </c>
      <c r="F518">
        <v>0</v>
      </c>
      <c r="G518">
        <v>0.12989999999999999</v>
      </c>
      <c r="H518">
        <v>9.81</v>
      </c>
      <c r="I518">
        <v>0.2024</v>
      </c>
      <c r="J518">
        <v>0.113</v>
      </c>
      <c r="K518">
        <v>0</v>
      </c>
      <c r="L518">
        <v>57.21</v>
      </c>
      <c r="M518">
        <v>0.1169</v>
      </c>
      <c r="N518">
        <v>101.9457</v>
      </c>
      <c r="O518" t="s">
        <v>379</v>
      </c>
      <c r="Q518">
        <f t="shared" si="17"/>
        <v>67.02</v>
      </c>
      <c r="R518">
        <f>I518-(K518*Standards!$I$15)</f>
        <v>0.2024</v>
      </c>
      <c r="S518">
        <f t="shared" si="18"/>
        <v>4.2380000000000001E-2</v>
      </c>
      <c r="T518" t="s">
        <v>380</v>
      </c>
    </row>
    <row r="519" spans="1:31">
      <c r="A519">
        <v>52</v>
      </c>
      <c r="B519">
        <v>0</v>
      </c>
      <c r="C519">
        <v>3.3500000000000002E-2</v>
      </c>
      <c r="D519">
        <v>34.36</v>
      </c>
      <c r="E519">
        <v>4.4999999999999998E-2</v>
      </c>
      <c r="F519">
        <v>0</v>
      </c>
      <c r="G519">
        <v>0.1394</v>
      </c>
      <c r="H519">
        <v>10.19</v>
      </c>
      <c r="I519">
        <v>6.1000000000000004E-3</v>
      </c>
      <c r="J519">
        <v>1E-3</v>
      </c>
      <c r="K519">
        <v>0</v>
      </c>
      <c r="L519">
        <v>57.08</v>
      </c>
      <c r="M519">
        <v>9.7299999999999998E-2</v>
      </c>
      <c r="N519">
        <v>101.9522</v>
      </c>
      <c r="O519" t="s">
        <v>379</v>
      </c>
      <c r="Q519">
        <f t="shared" si="17"/>
        <v>67.27</v>
      </c>
      <c r="R519">
        <f>I519-(K519*Standards!$I$15)</f>
        <v>6.1000000000000004E-3</v>
      </c>
      <c r="S519">
        <f t="shared" si="18"/>
        <v>3.3195000000000002E-2</v>
      </c>
      <c r="T519" t="s">
        <v>380</v>
      </c>
    </row>
    <row r="520" spans="1:31">
      <c r="A520">
        <v>58</v>
      </c>
      <c r="B520">
        <v>0</v>
      </c>
      <c r="C520">
        <v>0.03</v>
      </c>
      <c r="D520">
        <v>34.369999999999997</v>
      </c>
      <c r="E520">
        <v>6.0699999999999997E-2</v>
      </c>
      <c r="F520">
        <v>0</v>
      </c>
      <c r="G520">
        <v>0.14779999999999999</v>
      </c>
      <c r="H520">
        <v>9.98</v>
      </c>
      <c r="I520">
        <v>5.9999999999999995E-4</v>
      </c>
      <c r="J520">
        <v>1.4800000000000001E-2</v>
      </c>
      <c r="K520">
        <v>0</v>
      </c>
      <c r="L520">
        <v>57.07</v>
      </c>
      <c r="M520">
        <v>0.1069</v>
      </c>
      <c r="N520">
        <v>101.7807</v>
      </c>
      <c r="O520" t="s">
        <v>379</v>
      </c>
      <c r="Q520">
        <f t="shared" si="17"/>
        <v>67.05</v>
      </c>
      <c r="R520">
        <f>I520-(K520*Standards!$I$15)</f>
        <v>5.9999999999999995E-4</v>
      </c>
      <c r="S520">
        <f t="shared" si="18"/>
        <v>2.997E-2</v>
      </c>
      <c r="T520" t="s">
        <v>380</v>
      </c>
    </row>
    <row r="521" spans="1:31">
      <c r="A521">
        <v>50</v>
      </c>
      <c r="B521">
        <v>0</v>
      </c>
      <c r="C521">
        <v>4.0099999999999997E-2</v>
      </c>
      <c r="D521">
        <v>34.29</v>
      </c>
      <c r="E521">
        <v>6.3100000000000003E-2</v>
      </c>
      <c r="F521">
        <v>0</v>
      </c>
      <c r="G521">
        <v>0.13150000000000001</v>
      </c>
      <c r="H521">
        <v>9.99</v>
      </c>
      <c r="I521">
        <v>2.1600000000000001E-2</v>
      </c>
      <c r="J521">
        <v>8.8000000000000005E-3</v>
      </c>
      <c r="K521">
        <v>0</v>
      </c>
      <c r="L521">
        <v>57.02</v>
      </c>
      <c r="M521">
        <v>0.10349999999999999</v>
      </c>
      <c r="N521">
        <v>101.66849999999999</v>
      </c>
      <c r="O521" t="s">
        <v>379</v>
      </c>
      <c r="Q521">
        <f t="shared" si="17"/>
        <v>67.010000000000005</v>
      </c>
      <c r="R521">
        <f>I521-(K521*Standards!$I$15)</f>
        <v>2.1600000000000001E-2</v>
      </c>
      <c r="S521">
        <f t="shared" si="18"/>
        <v>3.9019999999999999E-2</v>
      </c>
      <c r="T521" t="s">
        <v>380</v>
      </c>
    </row>
    <row r="522" spans="1:31">
      <c r="A522">
        <v>57</v>
      </c>
      <c r="B522">
        <v>0</v>
      </c>
      <c r="C522">
        <v>3.5400000000000001E-2</v>
      </c>
      <c r="D522">
        <v>34.409999999999997</v>
      </c>
      <c r="E522">
        <v>6.4199999999999993E-2</v>
      </c>
      <c r="F522">
        <v>0</v>
      </c>
      <c r="G522">
        <v>0.15720000000000001</v>
      </c>
      <c r="H522">
        <v>10.19</v>
      </c>
      <c r="I522">
        <v>0</v>
      </c>
      <c r="J522">
        <v>3.8800000000000001E-2</v>
      </c>
      <c r="K522">
        <v>0</v>
      </c>
      <c r="L522">
        <v>56.69</v>
      </c>
      <c r="M522">
        <v>0.107</v>
      </c>
      <c r="N522">
        <v>101.6926</v>
      </c>
      <c r="O522" t="s">
        <v>379</v>
      </c>
      <c r="Q522">
        <f t="shared" si="17"/>
        <v>66.88</v>
      </c>
      <c r="R522">
        <f>I522-(K522*Standards!$I$15)</f>
        <v>0</v>
      </c>
      <c r="S522">
        <f t="shared" si="18"/>
        <v>3.5400000000000001E-2</v>
      </c>
      <c r="T522" t="s">
        <v>380</v>
      </c>
    </row>
    <row r="523" spans="1:31">
      <c r="A523">
        <v>51</v>
      </c>
      <c r="B523">
        <v>0</v>
      </c>
      <c r="C523">
        <v>2.4299999999999999E-2</v>
      </c>
      <c r="D523">
        <v>34.35</v>
      </c>
      <c r="E523">
        <v>4.9200000000000001E-2</v>
      </c>
      <c r="F523">
        <v>0</v>
      </c>
      <c r="G523">
        <v>0.1444</v>
      </c>
      <c r="H523">
        <v>10.81</v>
      </c>
      <c r="I523">
        <v>7.7600000000000002E-2</v>
      </c>
      <c r="J523">
        <v>1.2E-2</v>
      </c>
      <c r="K523">
        <v>0</v>
      </c>
      <c r="L523">
        <v>56.43</v>
      </c>
      <c r="M523">
        <v>0.1053</v>
      </c>
      <c r="N523">
        <v>102.0027</v>
      </c>
      <c r="O523" t="s">
        <v>379</v>
      </c>
      <c r="Q523">
        <f t="shared" si="17"/>
        <v>67.239999999999995</v>
      </c>
      <c r="R523">
        <f>I523-(K523*Standards!$I$15)</f>
        <v>7.7600000000000002E-2</v>
      </c>
      <c r="S523">
        <f t="shared" si="18"/>
        <v>2.0419999999999997E-2</v>
      </c>
      <c r="T523" t="s">
        <v>380</v>
      </c>
    </row>
    <row r="524" spans="1:31">
      <c r="A524">
        <v>62</v>
      </c>
      <c r="B524">
        <v>0</v>
      </c>
      <c r="C524">
        <v>1.9900000000000001E-2</v>
      </c>
      <c r="D524">
        <v>34.46</v>
      </c>
      <c r="E524">
        <v>8.2500000000000004E-2</v>
      </c>
      <c r="F524">
        <v>0</v>
      </c>
      <c r="G524">
        <v>0.17269999999999999</v>
      </c>
      <c r="H524">
        <v>12.83</v>
      </c>
      <c r="I524">
        <v>2.06E-2</v>
      </c>
      <c r="J524">
        <v>1.2999999999999999E-2</v>
      </c>
      <c r="K524">
        <v>0</v>
      </c>
      <c r="L524">
        <v>53.79</v>
      </c>
      <c r="M524">
        <v>0.1089</v>
      </c>
      <c r="N524">
        <v>101.49760000000001</v>
      </c>
      <c r="O524" t="s">
        <v>379</v>
      </c>
      <c r="Q524">
        <f t="shared" si="17"/>
        <v>66.62</v>
      </c>
      <c r="R524">
        <f>I524-(K524*Standards!$I$15)</f>
        <v>2.06E-2</v>
      </c>
      <c r="S524">
        <f t="shared" si="18"/>
        <v>1.8870000000000001E-2</v>
      </c>
      <c r="T524" t="s">
        <v>380</v>
      </c>
    </row>
    <row r="525" spans="1:31">
      <c r="A525">
        <v>61</v>
      </c>
      <c r="B525">
        <v>0</v>
      </c>
      <c r="C525">
        <v>3.6299999999999999E-2</v>
      </c>
      <c r="D525">
        <v>33.450000000000003</v>
      </c>
      <c r="E525">
        <v>6.6799999999999998E-2</v>
      </c>
      <c r="F525">
        <v>0</v>
      </c>
      <c r="G525">
        <v>0.16089999999999999</v>
      </c>
      <c r="H525">
        <v>11.61</v>
      </c>
      <c r="I525">
        <v>2.69E-2</v>
      </c>
      <c r="J525">
        <v>2.7300000000000001E-2</v>
      </c>
      <c r="K525">
        <v>0</v>
      </c>
      <c r="L525">
        <v>54.06</v>
      </c>
      <c r="M525">
        <v>8.6400000000000005E-2</v>
      </c>
      <c r="N525">
        <v>99.524699999999996</v>
      </c>
      <c r="O525" t="s">
        <v>381</v>
      </c>
      <c r="Q525">
        <f t="shared" si="17"/>
        <v>65.67</v>
      </c>
      <c r="R525">
        <f>I525-(K525*Standards!$I$15)</f>
        <v>2.69E-2</v>
      </c>
      <c r="S525">
        <f t="shared" si="18"/>
        <v>3.4955E-2</v>
      </c>
      <c r="T525" t="s">
        <v>380</v>
      </c>
    </row>
    <row r="526" spans="1:31">
      <c r="A526">
        <v>42</v>
      </c>
      <c r="B526">
        <v>0</v>
      </c>
      <c r="C526">
        <v>3.7600000000000001E-2</v>
      </c>
      <c r="D526">
        <v>33.950000000000003</v>
      </c>
      <c r="E526">
        <v>0.12740000000000001</v>
      </c>
      <c r="F526">
        <v>0</v>
      </c>
      <c r="G526">
        <v>0.31740000000000002</v>
      </c>
      <c r="H526">
        <v>0.66890000000000005</v>
      </c>
      <c r="I526">
        <v>0</v>
      </c>
      <c r="J526">
        <v>1.9199999999999998E-2</v>
      </c>
      <c r="K526">
        <v>1.2999999999999999E-2</v>
      </c>
      <c r="L526">
        <v>67.88</v>
      </c>
      <c r="M526">
        <v>8.5500000000000007E-2</v>
      </c>
      <c r="N526">
        <v>103.099</v>
      </c>
      <c r="O526" t="s">
        <v>382</v>
      </c>
      <c r="Q526">
        <f t="shared" si="17"/>
        <v>68.548899999999989</v>
      </c>
      <c r="R526">
        <f>I526-(K526*Standards!$I$15)</f>
        <v>-2.8762499999999998E-5</v>
      </c>
      <c r="S526">
        <f t="shared" si="18"/>
        <v>3.7600000000000001E-2</v>
      </c>
      <c r="T526" t="s">
        <v>166</v>
      </c>
      <c r="U526">
        <f>COUNT(R526:R531)</f>
        <v>6</v>
      </c>
      <c r="V526">
        <f>MAX(H526:H531)</f>
        <v>2.42</v>
      </c>
      <c r="W526">
        <f>AVERAGE(H526:H531)</f>
        <v>1.23875</v>
      </c>
      <c r="X526">
        <f>MAX(J526:J531)</f>
        <v>4.1399999999999999E-2</v>
      </c>
      <c r="Y526">
        <f>AVERAGE(J526:J531)</f>
        <v>1.6150000000000001E-2</v>
      </c>
      <c r="Z526">
        <f>10000*MAX(R526:R531)</f>
        <v>0</v>
      </c>
      <c r="AA526">
        <f>10000*AVERAGE(R526:R531)</f>
        <v>-0.14123125</v>
      </c>
      <c r="AB526">
        <f>10000*MAX(G526:G531)</f>
        <v>4378</v>
      </c>
      <c r="AC526">
        <f>10000*AVERAGE(G526:G531)</f>
        <v>3524.1666666666665</v>
      </c>
      <c r="AD526">
        <f>10000*MAX(S526:S531)</f>
        <v>634</v>
      </c>
      <c r="AE526">
        <f>10000*AVERAGE(S526:S531)</f>
        <v>520.66666666666674</v>
      </c>
    </row>
    <row r="527" spans="1:31">
      <c r="A527">
        <v>44</v>
      </c>
      <c r="B527">
        <v>0</v>
      </c>
      <c r="C527">
        <v>5.79E-2</v>
      </c>
      <c r="D527">
        <v>34.18</v>
      </c>
      <c r="E527">
        <v>9.9900000000000003E-2</v>
      </c>
      <c r="F527">
        <v>0</v>
      </c>
      <c r="G527">
        <v>0.2792</v>
      </c>
      <c r="H527">
        <v>1.04</v>
      </c>
      <c r="I527">
        <v>0</v>
      </c>
      <c r="J527">
        <v>7.4000000000000003E-3</v>
      </c>
      <c r="K527">
        <v>0</v>
      </c>
      <c r="L527">
        <v>67.52</v>
      </c>
      <c r="M527">
        <v>7.9600000000000004E-2</v>
      </c>
      <c r="N527">
        <v>103.26390000000001</v>
      </c>
      <c r="O527" t="s">
        <v>382</v>
      </c>
      <c r="Q527">
        <f t="shared" si="17"/>
        <v>68.56</v>
      </c>
      <c r="R527">
        <f>I527-(K527*Standards!$I$15)</f>
        <v>0</v>
      </c>
      <c r="S527">
        <f t="shared" si="18"/>
        <v>5.79E-2</v>
      </c>
      <c r="T527" t="s">
        <v>166</v>
      </c>
    </row>
    <row r="528" spans="1:31">
      <c r="A528">
        <v>43</v>
      </c>
      <c r="B528">
        <v>0</v>
      </c>
      <c r="C528">
        <v>5.4199999999999998E-2</v>
      </c>
      <c r="D528">
        <v>33.840000000000003</v>
      </c>
      <c r="E528">
        <v>0.15529999999999999</v>
      </c>
      <c r="F528">
        <v>0</v>
      </c>
      <c r="G528">
        <v>0.37680000000000002</v>
      </c>
      <c r="H528">
        <v>0.97360000000000002</v>
      </c>
      <c r="I528">
        <v>0</v>
      </c>
      <c r="J528">
        <v>4.1399999999999999E-2</v>
      </c>
      <c r="K528">
        <v>2.53E-2</v>
      </c>
      <c r="L528">
        <v>67.430000000000007</v>
      </c>
      <c r="M528">
        <v>9.0499999999999997E-2</v>
      </c>
      <c r="N528">
        <v>102.98699999999999</v>
      </c>
      <c r="O528" t="s">
        <v>382</v>
      </c>
      <c r="Q528">
        <f t="shared" si="17"/>
        <v>68.403600000000012</v>
      </c>
      <c r="R528">
        <f>I528-(K528*Standards!$I$15)</f>
        <v>-5.5976249999999998E-5</v>
      </c>
      <c r="S528">
        <f t="shared" si="18"/>
        <v>5.4199999999999998E-2</v>
      </c>
      <c r="T528" t="s">
        <v>166</v>
      </c>
    </row>
    <row r="529" spans="1:20">
      <c r="A529">
        <v>45</v>
      </c>
      <c r="B529">
        <v>0</v>
      </c>
      <c r="C529">
        <v>4.5600000000000002E-2</v>
      </c>
      <c r="D529">
        <v>33.979999999999997</v>
      </c>
      <c r="E529">
        <v>0.15670000000000001</v>
      </c>
      <c r="F529">
        <v>0</v>
      </c>
      <c r="G529">
        <v>0.37240000000000001</v>
      </c>
      <c r="H529">
        <v>1.19</v>
      </c>
      <c r="I529">
        <v>0</v>
      </c>
      <c r="J529">
        <v>0</v>
      </c>
      <c r="K529">
        <v>0</v>
      </c>
      <c r="L529">
        <v>67.39</v>
      </c>
      <c r="M529">
        <v>0.1057</v>
      </c>
      <c r="N529">
        <v>103.2403</v>
      </c>
      <c r="O529" t="s">
        <v>382</v>
      </c>
      <c r="Q529">
        <f t="shared" si="17"/>
        <v>68.58</v>
      </c>
      <c r="R529">
        <f>I529-(K529*Standards!$I$15)</f>
        <v>0</v>
      </c>
      <c r="S529">
        <f t="shared" si="18"/>
        <v>4.5600000000000002E-2</v>
      </c>
      <c r="T529" t="s">
        <v>166</v>
      </c>
    </row>
    <row r="530" spans="1:20">
      <c r="A530">
        <v>46</v>
      </c>
      <c r="B530">
        <v>0</v>
      </c>
      <c r="C530">
        <v>5.3699999999999998E-2</v>
      </c>
      <c r="D530">
        <v>33.909999999999997</v>
      </c>
      <c r="E530">
        <v>0.17080000000000001</v>
      </c>
      <c r="F530">
        <v>0</v>
      </c>
      <c r="G530">
        <v>0.43780000000000002</v>
      </c>
      <c r="H530">
        <v>1.1399999999999999</v>
      </c>
      <c r="I530">
        <v>0</v>
      </c>
      <c r="J530">
        <v>0</v>
      </c>
      <c r="K530">
        <v>0</v>
      </c>
      <c r="L530">
        <v>67.260000000000005</v>
      </c>
      <c r="M530">
        <v>9.3399999999999997E-2</v>
      </c>
      <c r="N530">
        <v>103.06570000000001</v>
      </c>
      <c r="O530" t="s">
        <v>382</v>
      </c>
      <c r="Q530">
        <f t="shared" si="17"/>
        <v>68.400000000000006</v>
      </c>
      <c r="R530">
        <f>I530-(K530*Standards!$I$15)</f>
        <v>0</v>
      </c>
      <c r="S530">
        <f t="shared" si="18"/>
        <v>5.3699999999999998E-2</v>
      </c>
      <c r="T530" t="s">
        <v>166</v>
      </c>
    </row>
    <row r="531" spans="1:20">
      <c r="A531">
        <v>50</v>
      </c>
      <c r="B531">
        <v>0</v>
      </c>
      <c r="C531">
        <v>6.3399999999999998E-2</v>
      </c>
      <c r="D531">
        <v>33.72</v>
      </c>
      <c r="E531">
        <v>0.13300000000000001</v>
      </c>
      <c r="F531">
        <v>0</v>
      </c>
      <c r="G531">
        <v>0.33090000000000003</v>
      </c>
      <c r="H531">
        <v>2.42</v>
      </c>
      <c r="I531">
        <v>0</v>
      </c>
      <c r="J531">
        <v>2.8899999999999999E-2</v>
      </c>
      <c r="K531">
        <v>0</v>
      </c>
      <c r="L531">
        <v>65.95</v>
      </c>
      <c r="M531">
        <v>0.1094</v>
      </c>
      <c r="N531">
        <v>102.7555</v>
      </c>
      <c r="O531" t="s">
        <v>382</v>
      </c>
      <c r="Q531">
        <f t="shared" si="17"/>
        <v>68.37</v>
      </c>
      <c r="R531">
        <f>I531-(K531*Standards!$I$15)</f>
        <v>0</v>
      </c>
      <c r="S531">
        <f t="shared" si="18"/>
        <v>6.3399999999999998E-2</v>
      </c>
      <c r="T531" t="s">
        <v>166</v>
      </c>
    </row>
    <row r="532" spans="1:20">
      <c r="A532">
        <v>161</v>
      </c>
      <c r="B532">
        <v>0</v>
      </c>
      <c r="C532">
        <v>5.4899999999999997E-2</v>
      </c>
      <c r="D532">
        <v>33.630000000000003</v>
      </c>
      <c r="E532">
        <v>0.21440000000000001</v>
      </c>
      <c r="F532">
        <v>0</v>
      </c>
      <c r="G532">
        <v>0.5151</v>
      </c>
      <c r="H532">
        <v>5.82</v>
      </c>
      <c r="I532">
        <v>1.38E-2</v>
      </c>
      <c r="J532">
        <v>1.6299999999999999E-2</v>
      </c>
      <c r="K532">
        <v>0</v>
      </c>
      <c r="L532">
        <v>60.56</v>
      </c>
      <c r="M532">
        <v>9.3100000000000002E-2</v>
      </c>
      <c r="N532">
        <v>100.91759999999999</v>
      </c>
      <c r="O532">
        <v>202</v>
      </c>
      <c r="Q532">
        <f t="shared" si="17"/>
        <v>66.38</v>
      </c>
      <c r="R532">
        <f>I532-(K532*Standards!$I$15)</f>
        <v>1.38E-2</v>
      </c>
      <c r="S532">
        <f t="shared" si="18"/>
        <v>5.4209999999999994E-2</v>
      </c>
      <c r="T532" t="s">
        <v>44</v>
      </c>
    </row>
    <row r="533" spans="1:20">
      <c r="A533">
        <v>144</v>
      </c>
      <c r="B533">
        <v>0</v>
      </c>
      <c r="C533">
        <v>4.7199999999999999E-2</v>
      </c>
      <c r="D533">
        <v>33.880000000000003</v>
      </c>
      <c r="E533">
        <v>0.28539999999999999</v>
      </c>
      <c r="F533">
        <v>0</v>
      </c>
      <c r="G533">
        <v>0.66020000000000001</v>
      </c>
      <c r="H533">
        <v>5.86</v>
      </c>
      <c r="I533">
        <v>2.4E-2</v>
      </c>
      <c r="J533">
        <v>7.8299999999999995E-2</v>
      </c>
      <c r="K533">
        <v>0</v>
      </c>
      <c r="L533">
        <v>60.03</v>
      </c>
      <c r="M533">
        <v>0.1182</v>
      </c>
      <c r="N533">
        <v>100.9832</v>
      </c>
      <c r="O533">
        <v>202</v>
      </c>
      <c r="Q533">
        <f t="shared" si="17"/>
        <v>65.89</v>
      </c>
      <c r="R533">
        <f>I533-(K533*Standards!$I$15)</f>
        <v>2.4E-2</v>
      </c>
      <c r="S533">
        <f t="shared" si="18"/>
        <v>4.5999999999999999E-2</v>
      </c>
      <c r="T533" t="s">
        <v>44</v>
      </c>
    </row>
    <row r="534" spans="1:20">
      <c r="A534">
        <v>156</v>
      </c>
      <c r="B534">
        <v>0</v>
      </c>
      <c r="C534">
        <v>3.9300000000000002E-2</v>
      </c>
      <c r="D534">
        <v>33.79</v>
      </c>
      <c r="E534">
        <v>0.28649999999999998</v>
      </c>
      <c r="F534">
        <v>1.35E-2</v>
      </c>
      <c r="G534">
        <v>0.64149999999999996</v>
      </c>
      <c r="H534">
        <v>5.87</v>
      </c>
      <c r="I534">
        <v>8.0000000000000002E-3</v>
      </c>
      <c r="J534">
        <v>4.3799999999999999E-2</v>
      </c>
      <c r="K534">
        <v>0</v>
      </c>
      <c r="L534">
        <v>59.98</v>
      </c>
      <c r="M534">
        <v>8.7599999999999997E-2</v>
      </c>
      <c r="N534">
        <v>100.76009999999999</v>
      </c>
      <c r="O534">
        <v>202</v>
      </c>
      <c r="Q534">
        <f t="shared" si="17"/>
        <v>65.849999999999994</v>
      </c>
      <c r="R534">
        <f>I534-(K534*Standards!$I$15)</f>
        <v>8.0000000000000002E-3</v>
      </c>
      <c r="S534">
        <f t="shared" si="18"/>
        <v>3.8900000000000004E-2</v>
      </c>
      <c r="T534" t="s">
        <v>44</v>
      </c>
    </row>
    <row r="535" spans="1:20">
      <c r="A535">
        <v>155</v>
      </c>
      <c r="B535">
        <v>0</v>
      </c>
      <c r="C535">
        <v>4.5199999999999997E-2</v>
      </c>
      <c r="D535">
        <v>33.89</v>
      </c>
      <c r="E535">
        <v>0.27089999999999997</v>
      </c>
      <c r="F535">
        <v>0</v>
      </c>
      <c r="G535">
        <v>0.6472</v>
      </c>
      <c r="H535">
        <v>5.95</v>
      </c>
      <c r="I535">
        <v>1.6E-2</v>
      </c>
      <c r="J535">
        <v>7.1999999999999995E-2</v>
      </c>
      <c r="K535">
        <v>0</v>
      </c>
      <c r="L535">
        <v>59.95</v>
      </c>
      <c r="M535">
        <v>0.1091</v>
      </c>
      <c r="N535">
        <v>100.9503</v>
      </c>
      <c r="O535">
        <v>202</v>
      </c>
      <c r="Q535">
        <f t="shared" si="17"/>
        <v>65.900000000000006</v>
      </c>
      <c r="R535">
        <f>I535-(K535*Standards!$I$15)</f>
        <v>1.6E-2</v>
      </c>
      <c r="S535">
        <f t="shared" si="18"/>
        <v>4.4399999999999995E-2</v>
      </c>
      <c r="T535" t="s">
        <v>44</v>
      </c>
    </row>
    <row r="536" spans="1:20">
      <c r="A536">
        <v>143</v>
      </c>
      <c r="B536">
        <v>0</v>
      </c>
      <c r="C536">
        <v>4.9399999999999999E-2</v>
      </c>
      <c r="D536">
        <v>33.86</v>
      </c>
      <c r="E536">
        <v>0.28449999999999998</v>
      </c>
      <c r="F536">
        <v>0</v>
      </c>
      <c r="G536">
        <v>0.66149999999999998</v>
      </c>
      <c r="H536">
        <v>5.93</v>
      </c>
      <c r="I536">
        <v>1.5299999999999999E-2</v>
      </c>
      <c r="J536">
        <v>6.2300000000000001E-2</v>
      </c>
      <c r="K536">
        <v>0</v>
      </c>
      <c r="L536">
        <v>59.93</v>
      </c>
      <c r="M536">
        <v>8.9599999999999999E-2</v>
      </c>
      <c r="N536">
        <v>100.88249999999999</v>
      </c>
      <c r="O536">
        <v>202</v>
      </c>
      <c r="Q536">
        <f t="shared" si="17"/>
        <v>65.86</v>
      </c>
      <c r="R536">
        <f>I536-(K536*Standards!$I$15)</f>
        <v>1.5299999999999999E-2</v>
      </c>
      <c r="S536">
        <f t="shared" si="18"/>
        <v>4.8634999999999998E-2</v>
      </c>
      <c r="T536" t="s">
        <v>44</v>
      </c>
    </row>
    <row r="537" spans="1:20">
      <c r="A537">
        <v>146</v>
      </c>
      <c r="B537">
        <v>0</v>
      </c>
      <c r="C537">
        <v>4.6800000000000001E-2</v>
      </c>
      <c r="D537">
        <v>33.86</v>
      </c>
      <c r="E537">
        <v>0.27829999999999999</v>
      </c>
      <c r="F537">
        <v>0</v>
      </c>
      <c r="G537">
        <v>0.65549999999999997</v>
      </c>
      <c r="H537">
        <v>5.92</v>
      </c>
      <c r="I537">
        <v>1.3899999999999999E-2</v>
      </c>
      <c r="J537">
        <v>6.9900000000000004E-2</v>
      </c>
      <c r="K537">
        <v>0</v>
      </c>
      <c r="L537">
        <v>59.89</v>
      </c>
      <c r="M537">
        <v>0.1095</v>
      </c>
      <c r="N537">
        <v>100.8438</v>
      </c>
      <c r="O537">
        <v>202</v>
      </c>
      <c r="Q537">
        <f t="shared" si="17"/>
        <v>65.81</v>
      </c>
      <c r="R537">
        <f>I537-(K537*Standards!$I$15)</f>
        <v>1.3899999999999999E-2</v>
      </c>
      <c r="S537">
        <f t="shared" si="18"/>
        <v>4.6105E-2</v>
      </c>
      <c r="T537" t="s">
        <v>44</v>
      </c>
    </row>
    <row r="538" spans="1:20">
      <c r="A538">
        <v>145</v>
      </c>
      <c r="B538">
        <v>0</v>
      </c>
      <c r="C538">
        <v>4.4999999999999998E-2</v>
      </c>
      <c r="D538">
        <v>34.08</v>
      </c>
      <c r="E538">
        <v>0.27050000000000002</v>
      </c>
      <c r="F538">
        <v>0</v>
      </c>
      <c r="G538">
        <v>0.64039999999999997</v>
      </c>
      <c r="H538">
        <v>5.68</v>
      </c>
      <c r="I538">
        <v>1.7000000000000001E-2</v>
      </c>
      <c r="J538">
        <v>5.21E-2</v>
      </c>
      <c r="K538">
        <v>0</v>
      </c>
      <c r="L538">
        <v>59.69</v>
      </c>
      <c r="M538">
        <v>0.11360000000000001</v>
      </c>
      <c r="N538">
        <v>100.5885</v>
      </c>
      <c r="O538">
        <v>202</v>
      </c>
      <c r="Q538">
        <f t="shared" si="17"/>
        <v>65.37</v>
      </c>
      <c r="R538">
        <f>I538-(K538*Standards!$I$15)</f>
        <v>1.7000000000000001E-2</v>
      </c>
      <c r="S538">
        <f t="shared" si="18"/>
        <v>4.4149999999999995E-2</v>
      </c>
      <c r="T538" t="s">
        <v>44</v>
      </c>
    </row>
    <row r="539" spans="1:20">
      <c r="A539">
        <v>154</v>
      </c>
      <c r="B539">
        <v>0</v>
      </c>
      <c r="C539">
        <v>5.45E-2</v>
      </c>
      <c r="D539">
        <v>33.82</v>
      </c>
      <c r="E539">
        <v>0.29189999999999999</v>
      </c>
      <c r="F539">
        <v>0</v>
      </c>
      <c r="G539">
        <v>0.66659999999999997</v>
      </c>
      <c r="H539">
        <v>6.08</v>
      </c>
      <c r="I539">
        <v>3.04E-2</v>
      </c>
      <c r="J539">
        <v>0.1825</v>
      </c>
      <c r="K539">
        <v>0</v>
      </c>
      <c r="L539">
        <v>59.64</v>
      </c>
      <c r="M539">
        <v>9.4E-2</v>
      </c>
      <c r="N539">
        <v>100.85980000000001</v>
      </c>
      <c r="O539">
        <v>202</v>
      </c>
      <c r="Q539">
        <f t="shared" si="17"/>
        <v>65.72</v>
      </c>
      <c r="R539">
        <f>I539-(K539*Standards!$I$15)</f>
        <v>3.04E-2</v>
      </c>
      <c r="S539">
        <f t="shared" si="18"/>
        <v>5.2979999999999999E-2</v>
      </c>
      <c r="T539" t="s">
        <v>44</v>
      </c>
    </row>
    <row r="540" spans="1:20">
      <c r="A540">
        <v>157</v>
      </c>
      <c r="B540">
        <v>0</v>
      </c>
      <c r="C540">
        <v>3.8600000000000002E-2</v>
      </c>
      <c r="D540">
        <v>33.69</v>
      </c>
      <c r="E540">
        <v>0.28539999999999999</v>
      </c>
      <c r="F540">
        <v>0</v>
      </c>
      <c r="G540">
        <v>0.65649999999999997</v>
      </c>
      <c r="H540">
        <v>5.98</v>
      </c>
      <c r="I540">
        <v>2.12E-2</v>
      </c>
      <c r="J540">
        <v>5.0299999999999997E-2</v>
      </c>
      <c r="K540">
        <v>0</v>
      </c>
      <c r="L540">
        <v>59.6</v>
      </c>
      <c r="M540">
        <v>9.2999999999999999E-2</v>
      </c>
      <c r="N540">
        <v>100.4149</v>
      </c>
      <c r="O540">
        <v>202</v>
      </c>
      <c r="Q540">
        <f t="shared" si="17"/>
        <v>65.58</v>
      </c>
      <c r="R540">
        <f>I540-(K540*Standards!$I$15)</f>
        <v>2.12E-2</v>
      </c>
      <c r="S540">
        <f t="shared" si="18"/>
        <v>3.7540000000000004E-2</v>
      </c>
      <c r="T540" t="s">
        <v>44</v>
      </c>
    </row>
    <row r="541" spans="1:20">
      <c r="A541">
        <v>150</v>
      </c>
      <c r="B541">
        <v>0</v>
      </c>
      <c r="C541">
        <v>4.8099999999999997E-2</v>
      </c>
      <c r="D541">
        <v>33.85</v>
      </c>
      <c r="E541">
        <v>0.29759999999999998</v>
      </c>
      <c r="F541">
        <v>0</v>
      </c>
      <c r="G541">
        <v>0.66190000000000004</v>
      </c>
      <c r="H541">
        <v>5.91</v>
      </c>
      <c r="I541">
        <v>7.4999999999999997E-3</v>
      </c>
      <c r="J541">
        <v>0.11509999999999999</v>
      </c>
      <c r="K541">
        <v>0</v>
      </c>
      <c r="L541">
        <v>59.52</v>
      </c>
      <c r="M541">
        <v>9.3700000000000006E-2</v>
      </c>
      <c r="N541">
        <v>100.5038</v>
      </c>
      <c r="O541">
        <v>202</v>
      </c>
      <c r="Q541">
        <f t="shared" si="17"/>
        <v>65.430000000000007</v>
      </c>
      <c r="R541">
        <f>I541-(K541*Standards!$I$15)</f>
        <v>7.4999999999999997E-3</v>
      </c>
      <c r="S541">
        <f t="shared" si="18"/>
        <v>4.7724999999999997E-2</v>
      </c>
      <c r="T541" t="s">
        <v>44</v>
      </c>
    </row>
    <row r="542" spans="1:20">
      <c r="A542">
        <v>153</v>
      </c>
      <c r="B542">
        <v>0</v>
      </c>
      <c r="C542">
        <v>4.41E-2</v>
      </c>
      <c r="D542">
        <v>33.71</v>
      </c>
      <c r="E542">
        <v>0.28660000000000002</v>
      </c>
      <c r="F542">
        <v>0</v>
      </c>
      <c r="G542">
        <v>0.66910000000000003</v>
      </c>
      <c r="H542">
        <v>5.98</v>
      </c>
      <c r="I542">
        <v>1.1900000000000001E-2</v>
      </c>
      <c r="J542">
        <v>8.0799999999999997E-2</v>
      </c>
      <c r="K542">
        <v>0</v>
      </c>
      <c r="L542">
        <v>59.5</v>
      </c>
      <c r="M542">
        <v>9.69E-2</v>
      </c>
      <c r="N542">
        <v>100.3793</v>
      </c>
      <c r="O542">
        <v>202</v>
      </c>
      <c r="Q542">
        <f t="shared" si="17"/>
        <v>65.48</v>
      </c>
      <c r="R542">
        <f>I542-(K542*Standards!$I$15)</f>
        <v>1.1900000000000001E-2</v>
      </c>
      <c r="S542">
        <f t="shared" si="18"/>
        <v>4.3505000000000002E-2</v>
      </c>
      <c r="T542" t="s">
        <v>44</v>
      </c>
    </row>
    <row r="543" spans="1:20">
      <c r="A543">
        <v>131</v>
      </c>
      <c r="B543">
        <v>0</v>
      </c>
      <c r="C543">
        <v>3.4599999999999999E-2</v>
      </c>
      <c r="D543">
        <v>33.97</v>
      </c>
      <c r="E543">
        <v>0.2233</v>
      </c>
      <c r="F543">
        <v>0</v>
      </c>
      <c r="G543">
        <v>0.5121</v>
      </c>
      <c r="H543">
        <v>7.24</v>
      </c>
      <c r="I543">
        <v>2.4299999999999999E-2</v>
      </c>
      <c r="J543">
        <v>0.23369999999999999</v>
      </c>
      <c r="K543">
        <v>0</v>
      </c>
      <c r="L543">
        <v>59.31</v>
      </c>
      <c r="M543">
        <v>0.1207</v>
      </c>
      <c r="N543">
        <v>101.6686</v>
      </c>
      <c r="O543" t="s">
        <v>63</v>
      </c>
      <c r="Q543">
        <f t="shared" si="17"/>
        <v>66.55</v>
      </c>
      <c r="R543">
        <f>I543-(K543*Standards!$I$15)</f>
        <v>2.4299999999999999E-2</v>
      </c>
      <c r="S543">
        <f t="shared" si="18"/>
        <v>3.3384999999999998E-2</v>
      </c>
      <c r="T543" t="s">
        <v>44</v>
      </c>
    </row>
    <row r="544" spans="1:20">
      <c r="A544">
        <v>113</v>
      </c>
      <c r="B544">
        <v>0</v>
      </c>
      <c r="C544">
        <v>3.8199999999999998E-2</v>
      </c>
      <c r="D544">
        <v>34.08</v>
      </c>
      <c r="E544">
        <v>0.28639999999999999</v>
      </c>
      <c r="F544">
        <v>0</v>
      </c>
      <c r="G544">
        <v>0.69110000000000005</v>
      </c>
      <c r="H544">
        <v>7.81</v>
      </c>
      <c r="I544">
        <v>3.1800000000000002E-2</v>
      </c>
      <c r="J544">
        <v>0.30669999999999997</v>
      </c>
      <c r="K544">
        <v>0</v>
      </c>
      <c r="L544">
        <v>58.24</v>
      </c>
      <c r="M544">
        <v>0.105</v>
      </c>
      <c r="N544">
        <v>101.58920000000001</v>
      </c>
      <c r="O544" t="s">
        <v>63</v>
      </c>
      <c r="Q544">
        <f t="shared" si="17"/>
        <v>66.05</v>
      </c>
      <c r="R544">
        <f>I544-(K544*Standards!$I$15)</f>
        <v>3.1800000000000002E-2</v>
      </c>
      <c r="S544">
        <f t="shared" si="18"/>
        <v>3.6609999999999997E-2</v>
      </c>
      <c r="T544" t="s">
        <v>44</v>
      </c>
    </row>
    <row r="545" spans="1:20">
      <c r="A545">
        <v>136</v>
      </c>
      <c r="B545">
        <v>0</v>
      </c>
      <c r="C545">
        <v>0.04</v>
      </c>
      <c r="D545">
        <v>34.06</v>
      </c>
      <c r="E545">
        <v>0.19189999999999999</v>
      </c>
      <c r="F545">
        <v>0</v>
      </c>
      <c r="G545">
        <v>0.42399999999999999</v>
      </c>
      <c r="H545">
        <v>9.18</v>
      </c>
      <c r="I545">
        <v>9.9000000000000008E-3</v>
      </c>
      <c r="J545">
        <v>5.2999999999999999E-2</v>
      </c>
      <c r="K545">
        <v>0</v>
      </c>
      <c r="L545">
        <v>57.45</v>
      </c>
      <c r="M545">
        <v>0.1019</v>
      </c>
      <c r="N545">
        <v>101.5106</v>
      </c>
      <c r="O545" t="s">
        <v>63</v>
      </c>
      <c r="Q545">
        <f t="shared" si="17"/>
        <v>66.63</v>
      </c>
      <c r="R545">
        <f>I545-(K545*Standards!$I$15)</f>
        <v>9.9000000000000008E-3</v>
      </c>
      <c r="S545">
        <f t="shared" si="18"/>
        <v>3.9504999999999998E-2</v>
      </c>
      <c r="T545" t="s">
        <v>44</v>
      </c>
    </row>
    <row r="546" spans="1:20">
      <c r="A546">
        <v>96</v>
      </c>
      <c r="B546">
        <v>0</v>
      </c>
      <c r="C546">
        <v>3.1199999999999999E-2</v>
      </c>
      <c r="D546">
        <v>34.1</v>
      </c>
      <c r="E546">
        <v>0.2341</v>
      </c>
      <c r="F546">
        <v>2.2000000000000001E-3</v>
      </c>
      <c r="G546">
        <v>0.51719999999999999</v>
      </c>
      <c r="H546">
        <v>9.7100000000000009</v>
      </c>
      <c r="I546">
        <v>1.03E-2</v>
      </c>
      <c r="J546">
        <v>0.10539999999999999</v>
      </c>
      <c r="K546">
        <v>0</v>
      </c>
      <c r="L546">
        <v>56.87</v>
      </c>
      <c r="M546">
        <v>0.1167</v>
      </c>
      <c r="N546">
        <v>101.697</v>
      </c>
      <c r="O546" t="s">
        <v>63</v>
      </c>
      <c r="Q546">
        <f t="shared" si="17"/>
        <v>66.58</v>
      </c>
      <c r="R546">
        <f>I546-(K546*Standards!$I$15)</f>
        <v>1.03E-2</v>
      </c>
      <c r="S546">
        <f t="shared" si="18"/>
        <v>3.0684999999999997E-2</v>
      </c>
      <c r="T546" t="s">
        <v>44</v>
      </c>
    </row>
    <row r="547" spans="1:20">
      <c r="A547">
        <v>105</v>
      </c>
      <c r="B547">
        <v>0</v>
      </c>
      <c r="C547">
        <v>3.0599999999999999E-2</v>
      </c>
      <c r="D547">
        <v>34.119999999999997</v>
      </c>
      <c r="E547">
        <v>0.245</v>
      </c>
      <c r="F547">
        <v>5.3E-3</v>
      </c>
      <c r="G547">
        <v>0.56459999999999999</v>
      </c>
      <c r="H547">
        <v>9.31</v>
      </c>
      <c r="I547">
        <v>1.26E-2</v>
      </c>
      <c r="J547">
        <v>9.3700000000000006E-2</v>
      </c>
      <c r="K547">
        <v>0</v>
      </c>
      <c r="L547">
        <v>56.87</v>
      </c>
      <c r="M547">
        <v>0.11310000000000001</v>
      </c>
      <c r="N547">
        <v>101.3648</v>
      </c>
      <c r="O547" t="s">
        <v>63</v>
      </c>
      <c r="Q547">
        <f t="shared" si="17"/>
        <v>66.179999999999993</v>
      </c>
      <c r="R547">
        <f>I547-(K547*Standards!$I$15)</f>
        <v>1.26E-2</v>
      </c>
      <c r="S547">
        <f t="shared" si="18"/>
        <v>2.997E-2</v>
      </c>
      <c r="T547" t="s">
        <v>44</v>
      </c>
    </row>
    <row r="548" spans="1:20">
      <c r="A548">
        <v>97</v>
      </c>
      <c r="B548">
        <v>0</v>
      </c>
      <c r="C548">
        <v>2.9399999999999999E-2</v>
      </c>
      <c r="D548">
        <v>34.03</v>
      </c>
      <c r="E548">
        <v>0.23899999999999999</v>
      </c>
      <c r="F548">
        <v>0</v>
      </c>
      <c r="G548">
        <v>0.53800000000000003</v>
      </c>
      <c r="H548">
        <v>9.31</v>
      </c>
      <c r="I548">
        <v>1.35E-2</v>
      </c>
      <c r="J548">
        <v>0.34329999999999999</v>
      </c>
      <c r="K548">
        <v>0</v>
      </c>
      <c r="L548">
        <v>56.69</v>
      </c>
      <c r="M548">
        <v>0.1076</v>
      </c>
      <c r="N548">
        <v>101.30070000000001</v>
      </c>
      <c r="O548" t="s">
        <v>63</v>
      </c>
      <c r="Q548">
        <f t="shared" si="17"/>
        <v>66</v>
      </c>
      <c r="R548">
        <f>I548-(K548*Standards!$I$15)</f>
        <v>1.35E-2</v>
      </c>
      <c r="S548">
        <f t="shared" si="18"/>
        <v>2.8725000000000001E-2</v>
      </c>
      <c r="T548" t="s">
        <v>44</v>
      </c>
    </row>
    <row r="549" spans="1:20">
      <c r="A549">
        <v>121</v>
      </c>
      <c r="B549">
        <v>0</v>
      </c>
      <c r="C549">
        <v>5.3699999999999998E-2</v>
      </c>
      <c r="D549">
        <v>34.119999999999997</v>
      </c>
      <c r="E549">
        <v>0.2399</v>
      </c>
      <c r="F549">
        <v>0</v>
      </c>
      <c r="G549">
        <v>0.49480000000000002</v>
      </c>
      <c r="H549">
        <v>9.7100000000000009</v>
      </c>
      <c r="I549">
        <v>1.6299999999999999E-2</v>
      </c>
      <c r="J549">
        <v>3.15E-2</v>
      </c>
      <c r="K549">
        <v>0</v>
      </c>
      <c r="L549">
        <v>56.55</v>
      </c>
      <c r="M549">
        <v>0.14630000000000001</v>
      </c>
      <c r="N549">
        <v>101.36239999999999</v>
      </c>
      <c r="O549" t="s">
        <v>63</v>
      </c>
      <c r="Q549">
        <f t="shared" si="17"/>
        <v>66.259999999999991</v>
      </c>
      <c r="R549">
        <f>I549-(K549*Standards!$I$15)</f>
        <v>1.6299999999999999E-2</v>
      </c>
      <c r="S549">
        <f t="shared" si="18"/>
        <v>5.2884999999999995E-2</v>
      </c>
      <c r="T549" t="s">
        <v>44</v>
      </c>
    </row>
    <row r="550" spans="1:20">
      <c r="A550">
        <v>123</v>
      </c>
      <c r="B550">
        <v>0</v>
      </c>
      <c r="C550">
        <v>2.86E-2</v>
      </c>
      <c r="D550">
        <v>34.049999999999997</v>
      </c>
      <c r="E550">
        <v>0.2233</v>
      </c>
      <c r="F550">
        <v>0</v>
      </c>
      <c r="G550">
        <v>0.50449999999999995</v>
      </c>
      <c r="H550">
        <v>9.4600000000000009</v>
      </c>
      <c r="I550">
        <v>2.1899999999999999E-2</v>
      </c>
      <c r="J550">
        <v>0.43890000000000001</v>
      </c>
      <c r="K550">
        <v>0</v>
      </c>
      <c r="L550">
        <v>56.51</v>
      </c>
      <c r="M550">
        <v>0.1206</v>
      </c>
      <c r="N550">
        <v>101.35769999999999</v>
      </c>
      <c r="O550" t="s">
        <v>63</v>
      </c>
      <c r="Q550">
        <f t="shared" si="17"/>
        <v>65.97</v>
      </c>
      <c r="R550">
        <f>I550-(K550*Standards!$I$15)</f>
        <v>2.1899999999999999E-2</v>
      </c>
      <c r="S550">
        <f t="shared" si="18"/>
        <v>2.7505000000000002E-2</v>
      </c>
      <c r="T550" t="s">
        <v>44</v>
      </c>
    </row>
    <row r="551" spans="1:20">
      <c r="A551">
        <v>104</v>
      </c>
      <c r="B551">
        <v>0</v>
      </c>
      <c r="C551">
        <v>2.3800000000000002E-2</v>
      </c>
      <c r="D551">
        <v>34.049999999999997</v>
      </c>
      <c r="E551">
        <v>0.28560000000000002</v>
      </c>
      <c r="F551">
        <v>0</v>
      </c>
      <c r="G551">
        <v>0.6028</v>
      </c>
      <c r="H551">
        <v>9.49</v>
      </c>
      <c r="I551">
        <v>2.5499999999999998E-2</v>
      </c>
      <c r="J551">
        <v>0.37090000000000001</v>
      </c>
      <c r="K551">
        <v>0</v>
      </c>
      <c r="L551">
        <v>56.46</v>
      </c>
      <c r="M551">
        <v>9.9199999999999997E-2</v>
      </c>
      <c r="N551">
        <v>101.40770000000001</v>
      </c>
      <c r="O551" t="s">
        <v>63</v>
      </c>
      <c r="Q551">
        <f t="shared" si="17"/>
        <v>65.95</v>
      </c>
      <c r="R551">
        <f>I551-(K551*Standards!$I$15)</f>
        <v>2.5499999999999998E-2</v>
      </c>
      <c r="S551">
        <f t="shared" si="18"/>
        <v>2.2525000000000003E-2</v>
      </c>
      <c r="T551" t="s">
        <v>44</v>
      </c>
    </row>
    <row r="552" spans="1:20">
      <c r="A552">
        <v>122</v>
      </c>
      <c r="B552">
        <v>0</v>
      </c>
      <c r="C552">
        <v>2.9700000000000001E-2</v>
      </c>
      <c r="D552">
        <v>34.01</v>
      </c>
      <c r="E552">
        <v>0.25009999999999999</v>
      </c>
      <c r="F552">
        <v>3.8999999999999998E-3</v>
      </c>
      <c r="G552">
        <v>0.48559999999999998</v>
      </c>
      <c r="H552">
        <v>9.35</v>
      </c>
      <c r="I552">
        <v>2.4400000000000002E-2</v>
      </c>
      <c r="J552">
        <v>0.74050000000000005</v>
      </c>
      <c r="K552">
        <v>0</v>
      </c>
      <c r="L552">
        <v>56.44</v>
      </c>
      <c r="M552">
        <v>0.122</v>
      </c>
      <c r="N552">
        <v>101.45610000000001</v>
      </c>
      <c r="O552" t="s">
        <v>63</v>
      </c>
      <c r="Q552">
        <f t="shared" si="17"/>
        <v>65.789999999999992</v>
      </c>
      <c r="R552">
        <f>I552-(K552*Standards!$I$15)</f>
        <v>2.4400000000000002E-2</v>
      </c>
      <c r="S552">
        <f t="shared" si="18"/>
        <v>2.8480000000000002E-2</v>
      </c>
      <c r="T552" t="s">
        <v>44</v>
      </c>
    </row>
    <row r="553" spans="1:20">
      <c r="A553">
        <v>48</v>
      </c>
      <c r="B553">
        <v>0</v>
      </c>
      <c r="C553">
        <v>4.58E-2</v>
      </c>
      <c r="D553">
        <v>34.36</v>
      </c>
      <c r="E553">
        <v>0.15140000000000001</v>
      </c>
      <c r="F553">
        <v>0</v>
      </c>
      <c r="G553">
        <v>0.36180000000000001</v>
      </c>
      <c r="H553">
        <v>9.3800000000000008</v>
      </c>
      <c r="I553">
        <v>9.8699999999999996E-2</v>
      </c>
      <c r="J553">
        <v>0.3236</v>
      </c>
      <c r="K553">
        <v>0</v>
      </c>
      <c r="L553">
        <v>56.41</v>
      </c>
      <c r="M553">
        <v>0.1419</v>
      </c>
      <c r="N553">
        <v>101.2731</v>
      </c>
      <c r="O553" t="s">
        <v>383</v>
      </c>
      <c r="Q553">
        <f t="shared" si="17"/>
        <v>65.789999999999992</v>
      </c>
      <c r="R553">
        <f>I553-(K553*Standards!$I$15)</f>
        <v>9.8699999999999996E-2</v>
      </c>
      <c r="S553">
        <f t="shared" si="18"/>
        <v>4.0864999999999999E-2</v>
      </c>
      <c r="T553" t="s">
        <v>44</v>
      </c>
    </row>
    <row r="554" spans="1:20">
      <c r="A554">
        <v>120</v>
      </c>
      <c r="B554">
        <v>0</v>
      </c>
      <c r="C554">
        <v>3.4000000000000002E-2</v>
      </c>
      <c r="D554">
        <v>34.200000000000003</v>
      </c>
      <c r="E554">
        <v>0.22</v>
      </c>
      <c r="F554">
        <v>0</v>
      </c>
      <c r="G554">
        <v>0.48720000000000002</v>
      </c>
      <c r="H554">
        <v>9.7799999999999994</v>
      </c>
      <c r="I554">
        <v>1.23E-2</v>
      </c>
      <c r="J554">
        <v>7.5399999999999995E-2</v>
      </c>
      <c r="K554">
        <v>0</v>
      </c>
      <c r="L554">
        <v>56.4</v>
      </c>
      <c r="M554">
        <v>0.11600000000000001</v>
      </c>
      <c r="N554">
        <v>101.3249</v>
      </c>
      <c r="O554" t="s">
        <v>63</v>
      </c>
      <c r="Q554">
        <f t="shared" si="17"/>
        <v>66.179999999999993</v>
      </c>
      <c r="R554">
        <f>I554-(K554*Standards!$I$15)</f>
        <v>1.23E-2</v>
      </c>
      <c r="S554">
        <f t="shared" si="18"/>
        <v>3.3385000000000005E-2</v>
      </c>
      <c r="T554" t="s">
        <v>44</v>
      </c>
    </row>
    <row r="555" spans="1:20">
      <c r="A555">
        <v>34</v>
      </c>
      <c r="B555">
        <v>0</v>
      </c>
      <c r="C555">
        <v>4.0500000000000001E-2</v>
      </c>
      <c r="D555">
        <v>34.08</v>
      </c>
      <c r="E555">
        <v>9.5699999999999993E-2</v>
      </c>
      <c r="F555">
        <v>0</v>
      </c>
      <c r="G555">
        <v>0.25319999999999998</v>
      </c>
      <c r="H555">
        <v>10.55</v>
      </c>
      <c r="I555">
        <v>4.2000000000000003E-2</v>
      </c>
      <c r="J555">
        <v>0.21460000000000001</v>
      </c>
      <c r="K555">
        <v>0</v>
      </c>
      <c r="L555">
        <v>56.38</v>
      </c>
      <c r="M555">
        <v>0.1187</v>
      </c>
      <c r="N555">
        <v>101.7747</v>
      </c>
      <c r="O555" t="s">
        <v>384</v>
      </c>
      <c r="Q555">
        <f t="shared" si="17"/>
        <v>66.930000000000007</v>
      </c>
      <c r="R555">
        <f>I555-(K555*Standards!$I$15)</f>
        <v>4.2000000000000003E-2</v>
      </c>
      <c r="S555">
        <f t="shared" si="18"/>
        <v>3.8400000000000004E-2</v>
      </c>
      <c r="T555" t="s">
        <v>44</v>
      </c>
    </row>
    <row r="556" spans="1:20">
      <c r="A556">
        <v>103</v>
      </c>
      <c r="B556">
        <v>0</v>
      </c>
      <c r="C556">
        <v>0.03</v>
      </c>
      <c r="D556">
        <v>34.24</v>
      </c>
      <c r="E556">
        <v>0.27250000000000002</v>
      </c>
      <c r="F556">
        <v>0</v>
      </c>
      <c r="G556">
        <v>0.61299999999999999</v>
      </c>
      <c r="H556">
        <v>9.76</v>
      </c>
      <c r="I556">
        <v>2.2200000000000001E-2</v>
      </c>
      <c r="J556">
        <v>0.3392</v>
      </c>
      <c r="K556">
        <v>0</v>
      </c>
      <c r="L556">
        <v>56.38</v>
      </c>
      <c r="M556">
        <v>0.14030000000000001</v>
      </c>
      <c r="N556">
        <v>101.7971</v>
      </c>
      <c r="O556" t="s">
        <v>63</v>
      </c>
      <c r="Q556">
        <f t="shared" si="17"/>
        <v>66.14</v>
      </c>
      <c r="R556">
        <f>I556-(K556*Standards!$I$15)</f>
        <v>2.2200000000000001E-2</v>
      </c>
      <c r="S556">
        <f t="shared" si="18"/>
        <v>2.8889999999999999E-2</v>
      </c>
      <c r="T556" t="s">
        <v>44</v>
      </c>
    </row>
    <row r="557" spans="1:20">
      <c r="A557">
        <v>95</v>
      </c>
      <c r="B557">
        <v>0</v>
      </c>
      <c r="C557">
        <v>4.4200000000000003E-2</v>
      </c>
      <c r="D557">
        <v>34.18</v>
      </c>
      <c r="E557">
        <v>0.2198</v>
      </c>
      <c r="F557">
        <v>0</v>
      </c>
      <c r="G557">
        <v>0.52100000000000002</v>
      </c>
      <c r="H557">
        <v>9.7899999999999991</v>
      </c>
      <c r="I557">
        <v>7.4000000000000003E-3</v>
      </c>
      <c r="J557">
        <v>9.2299999999999993E-2</v>
      </c>
      <c r="K557">
        <v>0</v>
      </c>
      <c r="L557">
        <v>56.31</v>
      </c>
      <c r="M557">
        <v>0.1048</v>
      </c>
      <c r="N557">
        <v>101.2694</v>
      </c>
      <c r="O557" t="s">
        <v>63</v>
      </c>
      <c r="Q557">
        <f t="shared" si="17"/>
        <v>66.099999999999994</v>
      </c>
      <c r="R557">
        <f>I557-(K557*Standards!$I$15)</f>
        <v>7.4000000000000003E-3</v>
      </c>
      <c r="S557">
        <f t="shared" si="18"/>
        <v>4.3830000000000001E-2</v>
      </c>
      <c r="T557" t="s">
        <v>44</v>
      </c>
    </row>
    <row r="558" spans="1:20">
      <c r="A558">
        <v>112</v>
      </c>
      <c r="B558">
        <v>0</v>
      </c>
      <c r="C558">
        <v>3.8100000000000002E-2</v>
      </c>
      <c r="D558">
        <v>34.26</v>
      </c>
      <c r="E558">
        <v>0.25019999999999998</v>
      </c>
      <c r="F558">
        <v>0</v>
      </c>
      <c r="G558">
        <v>0.57320000000000004</v>
      </c>
      <c r="H558">
        <v>10.08</v>
      </c>
      <c r="I558">
        <v>2.01E-2</v>
      </c>
      <c r="J558">
        <v>6.1499999999999999E-2</v>
      </c>
      <c r="K558">
        <v>0</v>
      </c>
      <c r="L558">
        <v>56.28</v>
      </c>
      <c r="M558">
        <v>0.1053</v>
      </c>
      <c r="N558">
        <v>101.6683</v>
      </c>
      <c r="O558" t="s">
        <v>63</v>
      </c>
      <c r="Q558">
        <f t="shared" si="17"/>
        <v>66.36</v>
      </c>
      <c r="R558">
        <f>I558-(K558*Standards!$I$15)</f>
        <v>2.01E-2</v>
      </c>
      <c r="S558">
        <f t="shared" si="18"/>
        <v>3.7095000000000003E-2</v>
      </c>
      <c r="T558" t="s">
        <v>44</v>
      </c>
    </row>
    <row r="559" spans="1:20">
      <c r="A559">
        <v>89</v>
      </c>
      <c r="B559">
        <v>0</v>
      </c>
      <c r="C559">
        <v>3.8800000000000001E-2</v>
      </c>
      <c r="D559">
        <v>33.96</v>
      </c>
      <c r="E559">
        <v>0.1472</v>
      </c>
      <c r="F559">
        <v>0</v>
      </c>
      <c r="G559">
        <v>0.3639</v>
      </c>
      <c r="H559">
        <v>9.2799999999999994</v>
      </c>
      <c r="I559">
        <v>0.121</v>
      </c>
      <c r="J559">
        <v>1.03</v>
      </c>
      <c r="K559">
        <v>0</v>
      </c>
      <c r="L559">
        <v>56.26</v>
      </c>
      <c r="M559">
        <v>0.11559999999999999</v>
      </c>
      <c r="N559">
        <v>101.3164</v>
      </c>
      <c r="O559" t="s">
        <v>129</v>
      </c>
      <c r="Q559">
        <f t="shared" si="17"/>
        <v>65.539999999999992</v>
      </c>
      <c r="R559">
        <f>I559-(K559*Standards!$I$15)</f>
        <v>0.121</v>
      </c>
      <c r="S559">
        <f t="shared" si="18"/>
        <v>3.2750000000000001E-2</v>
      </c>
      <c r="T559" t="s">
        <v>44</v>
      </c>
    </row>
    <row r="560" spans="1:20">
      <c r="A560">
        <v>101</v>
      </c>
      <c r="B560">
        <v>0</v>
      </c>
      <c r="C560">
        <v>3.2899999999999999E-2</v>
      </c>
      <c r="D560">
        <v>34.19</v>
      </c>
      <c r="E560">
        <v>0.24260000000000001</v>
      </c>
      <c r="F560">
        <v>0</v>
      </c>
      <c r="G560">
        <v>0.57150000000000001</v>
      </c>
      <c r="H560">
        <v>10.18</v>
      </c>
      <c r="I560">
        <v>1.15E-2</v>
      </c>
      <c r="J560">
        <v>9.1499999999999998E-2</v>
      </c>
      <c r="K560">
        <v>0</v>
      </c>
      <c r="L560">
        <v>56.22</v>
      </c>
      <c r="M560">
        <v>0.1009</v>
      </c>
      <c r="N560">
        <v>101.6408</v>
      </c>
      <c r="O560" t="s">
        <v>63</v>
      </c>
      <c r="Q560">
        <f t="shared" si="17"/>
        <v>66.400000000000006</v>
      </c>
      <c r="R560">
        <f>I560-(K560*Standards!$I$15)</f>
        <v>1.15E-2</v>
      </c>
      <c r="S560">
        <f t="shared" si="18"/>
        <v>3.2325E-2</v>
      </c>
      <c r="T560" t="s">
        <v>44</v>
      </c>
    </row>
    <row r="561" spans="1:20">
      <c r="A561">
        <v>94</v>
      </c>
      <c r="B561">
        <v>0</v>
      </c>
      <c r="C561">
        <v>2.3699999999999999E-2</v>
      </c>
      <c r="D561">
        <v>34.049999999999997</v>
      </c>
      <c r="E561">
        <v>0.2414</v>
      </c>
      <c r="F561">
        <v>0</v>
      </c>
      <c r="G561">
        <v>0.50090000000000001</v>
      </c>
      <c r="H561">
        <v>9.83</v>
      </c>
      <c r="I561">
        <v>5.1999999999999998E-3</v>
      </c>
      <c r="J561">
        <v>9.9400000000000002E-2</v>
      </c>
      <c r="K561">
        <v>0</v>
      </c>
      <c r="L561">
        <v>56.21</v>
      </c>
      <c r="M561">
        <v>0.1087</v>
      </c>
      <c r="N561">
        <v>101.0693</v>
      </c>
      <c r="O561" t="s">
        <v>63</v>
      </c>
      <c r="Q561">
        <f t="shared" si="17"/>
        <v>66.040000000000006</v>
      </c>
      <c r="R561">
        <f>I561-(K561*Standards!$I$15)</f>
        <v>5.1999999999999998E-3</v>
      </c>
      <c r="S561">
        <f t="shared" si="18"/>
        <v>2.3439999999999999E-2</v>
      </c>
      <c r="T561" t="s">
        <v>44</v>
      </c>
    </row>
    <row r="562" spans="1:20">
      <c r="A562">
        <v>102</v>
      </c>
      <c r="B562">
        <v>0</v>
      </c>
      <c r="C562">
        <v>3.2300000000000002E-2</v>
      </c>
      <c r="D562">
        <v>34.25</v>
      </c>
      <c r="E562">
        <v>0.2545</v>
      </c>
      <c r="F562">
        <v>0</v>
      </c>
      <c r="G562">
        <v>0.57699999999999996</v>
      </c>
      <c r="H562">
        <v>10.07</v>
      </c>
      <c r="I562">
        <v>1.5100000000000001E-2</v>
      </c>
      <c r="J562">
        <v>7.6600000000000001E-2</v>
      </c>
      <c r="K562">
        <v>0</v>
      </c>
      <c r="L562">
        <v>56.05</v>
      </c>
      <c r="M562">
        <v>0.111</v>
      </c>
      <c r="N562">
        <v>101.43640000000001</v>
      </c>
      <c r="O562" t="s">
        <v>63</v>
      </c>
      <c r="Q562">
        <f t="shared" si="17"/>
        <v>66.12</v>
      </c>
      <c r="R562">
        <f>I562-(K562*Standards!$I$15)</f>
        <v>1.5100000000000001E-2</v>
      </c>
      <c r="S562">
        <f t="shared" si="18"/>
        <v>3.1545000000000004E-2</v>
      </c>
      <c r="T562" t="s">
        <v>44</v>
      </c>
    </row>
    <row r="563" spans="1:20">
      <c r="A563">
        <v>106</v>
      </c>
      <c r="B563">
        <v>0</v>
      </c>
      <c r="C563">
        <v>2.7099999999999999E-2</v>
      </c>
      <c r="D563">
        <v>34.15</v>
      </c>
      <c r="E563">
        <v>0.253</v>
      </c>
      <c r="F563">
        <v>0</v>
      </c>
      <c r="G563">
        <v>0.55049999999999999</v>
      </c>
      <c r="H563">
        <v>9.91</v>
      </c>
      <c r="I563">
        <v>2.3E-3</v>
      </c>
      <c r="J563">
        <v>0.1215</v>
      </c>
      <c r="K563">
        <v>0</v>
      </c>
      <c r="L563">
        <v>56.04</v>
      </c>
      <c r="M563">
        <v>0.10009999999999999</v>
      </c>
      <c r="N563">
        <v>101.1544</v>
      </c>
      <c r="O563" t="s">
        <v>63</v>
      </c>
      <c r="Q563">
        <f t="shared" si="17"/>
        <v>65.95</v>
      </c>
      <c r="R563">
        <f>I563-(K563*Standards!$I$15)</f>
        <v>2.3E-3</v>
      </c>
      <c r="S563">
        <f t="shared" si="18"/>
        <v>2.6984999999999999E-2</v>
      </c>
      <c r="T563" t="s">
        <v>44</v>
      </c>
    </row>
    <row r="564" spans="1:20">
      <c r="A564">
        <v>16</v>
      </c>
      <c r="B564">
        <v>2.8500000000000001E-2</v>
      </c>
      <c r="C564">
        <v>3.95E-2</v>
      </c>
      <c r="D564">
        <v>34.54</v>
      </c>
      <c r="E564">
        <v>0.11360000000000001</v>
      </c>
      <c r="F564">
        <v>0</v>
      </c>
      <c r="G564">
        <v>0.2515</v>
      </c>
      <c r="H564">
        <v>10.76</v>
      </c>
      <c r="I564">
        <v>3.85E-2</v>
      </c>
      <c r="J564">
        <v>4.7500000000000001E-2</v>
      </c>
      <c r="K564">
        <v>0</v>
      </c>
      <c r="L564">
        <v>56.02</v>
      </c>
      <c r="M564">
        <v>0.1128</v>
      </c>
      <c r="N564">
        <v>101.95189999999999</v>
      </c>
      <c r="O564" t="s">
        <v>384</v>
      </c>
      <c r="Q564">
        <f t="shared" si="17"/>
        <v>66.78</v>
      </c>
      <c r="R564">
        <f>I564-(K564*Standards!$I$15)</f>
        <v>3.85E-2</v>
      </c>
      <c r="S564">
        <f t="shared" si="18"/>
        <v>3.7574999999999997E-2</v>
      </c>
      <c r="T564" t="s">
        <v>44</v>
      </c>
    </row>
    <row r="565" spans="1:20">
      <c r="A565">
        <v>76</v>
      </c>
      <c r="B565">
        <v>0</v>
      </c>
      <c r="C565">
        <v>3.7900000000000003E-2</v>
      </c>
      <c r="D565">
        <v>33.92</v>
      </c>
      <c r="E565">
        <v>0.1343</v>
      </c>
      <c r="F565">
        <v>0</v>
      </c>
      <c r="G565">
        <v>0.32369999999999999</v>
      </c>
      <c r="H565">
        <v>10</v>
      </c>
      <c r="I565">
        <v>4.87E-2</v>
      </c>
      <c r="J565">
        <v>0.29320000000000002</v>
      </c>
      <c r="K565">
        <v>0</v>
      </c>
      <c r="L565">
        <v>56.02</v>
      </c>
      <c r="M565">
        <v>0.1077</v>
      </c>
      <c r="N565">
        <v>100.8854</v>
      </c>
      <c r="O565" t="s">
        <v>129</v>
      </c>
      <c r="Q565">
        <f t="shared" si="17"/>
        <v>66.02000000000001</v>
      </c>
      <c r="R565">
        <f>I565-(K565*Standards!$I$15)</f>
        <v>4.87E-2</v>
      </c>
      <c r="S565">
        <f t="shared" si="18"/>
        <v>3.5465000000000003E-2</v>
      </c>
      <c r="T565" t="s">
        <v>44</v>
      </c>
    </row>
    <row r="566" spans="1:20">
      <c r="A566">
        <v>56</v>
      </c>
      <c r="B566">
        <v>0</v>
      </c>
      <c r="C566">
        <v>4.9299999999999997E-2</v>
      </c>
      <c r="D566">
        <v>34.119999999999997</v>
      </c>
      <c r="E566">
        <v>0.14419999999999999</v>
      </c>
      <c r="F566">
        <v>0</v>
      </c>
      <c r="G566">
        <v>0.33450000000000002</v>
      </c>
      <c r="H566">
        <v>10.14</v>
      </c>
      <c r="I566">
        <v>5.3400000000000003E-2</v>
      </c>
      <c r="J566">
        <v>0.35289999999999999</v>
      </c>
      <c r="K566">
        <v>0</v>
      </c>
      <c r="L566">
        <v>55.93</v>
      </c>
      <c r="M566">
        <v>9.5500000000000002E-2</v>
      </c>
      <c r="N566">
        <v>101.2197</v>
      </c>
      <c r="O566" t="s">
        <v>383</v>
      </c>
      <c r="Q566">
        <f t="shared" si="17"/>
        <v>66.069999999999993</v>
      </c>
      <c r="R566">
        <f>I566-(K566*Standards!$I$15)</f>
        <v>5.3400000000000003E-2</v>
      </c>
      <c r="S566">
        <f t="shared" si="18"/>
        <v>4.6629999999999998E-2</v>
      </c>
      <c r="T566" t="s">
        <v>44</v>
      </c>
    </row>
    <row r="567" spans="1:20">
      <c r="A567">
        <v>58</v>
      </c>
      <c r="B567">
        <v>0</v>
      </c>
      <c r="C567">
        <v>4.48E-2</v>
      </c>
      <c r="D567">
        <v>33.97</v>
      </c>
      <c r="E567">
        <v>0.14169999999999999</v>
      </c>
      <c r="F567">
        <v>0</v>
      </c>
      <c r="G567">
        <v>0.3468</v>
      </c>
      <c r="H567">
        <v>10.09</v>
      </c>
      <c r="I567">
        <v>5.2999999999999999E-2</v>
      </c>
      <c r="J567">
        <v>0.70020000000000004</v>
      </c>
      <c r="K567">
        <v>0</v>
      </c>
      <c r="L567">
        <v>55.92</v>
      </c>
      <c r="M567">
        <v>0.1168</v>
      </c>
      <c r="N567">
        <v>101.3832</v>
      </c>
      <c r="O567" t="s">
        <v>383</v>
      </c>
      <c r="Q567">
        <f t="shared" si="17"/>
        <v>66.010000000000005</v>
      </c>
      <c r="R567">
        <f>I567-(K567*Standards!$I$15)</f>
        <v>5.2999999999999999E-2</v>
      </c>
      <c r="S567">
        <f t="shared" si="18"/>
        <v>4.215E-2</v>
      </c>
      <c r="T567" t="s">
        <v>44</v>
      </c>
    </row>
    <row r="568" spans="1:20">
      <c r="A568">
        <v>119</v>
      </c>
      <c r="B568">
        <v>0</v>
      </c>
      <c r="C568">
        <v>2.8400000000000002E-2</v>
      </c>
      <c r="D568">
        <v>33.94</v>
      </c>
      <c r="E568">
        <v>0.24959999999999999</v>
      </c>
      <c r="F568">
        <v>0</v>
      </c>
      <c r="G568">
        <v>0.50519999999999998</v>
      </c>
      <c r="H568">
        <v>9.65</v>
      </c>
      <c r="I568">
        <v>2.3E-2</v>
      </c>
      <c r="J568">
        <v>0.63939999999999997</v>
      </c>
      <c r="K568">
        <v>0</v>
      </c>
      <c r="L568">
        <v>55.85</v>
      </c>
      <c r="M568">
        <v>0.13089999999999999</v>
      </c>
      <c r="N568">
        <v>101.0164</v>
      </c>
      <c r="O568" t="s">
        <v>63</v>
      </c>
      <c r="Q568">
        <f t="shared" si="17"/>
        <v>65.5</v>
      </c>
      <c r="R568">
        <f>I568-(K568*Standards!$I$15)</f>
        <v>2.3E-2</v>
      </c>
      <c r="S568">
        <f t="shared" si="18"/>
        <v>2.7250000000000003E-2</v>
      </c>
      <c r="T568" t="s">
        <v>44</v>
      </c>
    </row>
    <row r="569" spans="1:20">
      <c r="A569">
        <v>55</v>
      </c>
      <c r="B569">
        <v>0</v>
      </c>
      <c r="C569">
        <v>4.6800000000000001E-2</v>
      </c>
      <c r="D569">
        <v>34.049999999999997</v>
      </c>
      <c r="E569">
        <v>0.14979999999999999</v>
      </c>
      <c r="F569">
        <v>1.1999999999999999E-3</v>
      </c>
      <c r="G569">
        <v>0.31269999999999998</v>
      </c>
      <c r="H569">
        <v>10.26</v>
      </c>
      <c r="I569">
        <v>4.4400000000000002E-2</v>
      </c>
      <c r="J569">
        <v>0.2288</v>
      </c>
      <c r="K569">
        <v>0</v>
      </c>
      <c r="L569">
        <v>55.82</v>
      </c>
      <c r="M569">
        <v>0.11219999999999999</v>
      </c>
      <c r="N569">
        <v>101.0258</v>
      </c>
      <c r="O569" t="s">
        <v>383</v>
      </c>
      <c r="Q569">
        <f t="shared" si="17"/>
        <v>66.08</v>
      </c>
      <c r="R569">
        <f>I569-(K569*Standards!$I$15)</f>
        <v>4.4400000000000002E-2</v>
      </c>
      <c r="S569">
        <f t="shared" si="18"/>
        <v>4.4580000000000002E-2</v>
      </c>
      <c r="T569" t="s">
        <v>44</v>
      </c>
    </row>
    <row r="570" spans="1:20">
      <c r="A570">
        <v>124</v>
      </c>
      <c r="B570">
        <v>0</v>
      </c>
      <c r="C570">
        <v>2.4899999999999999E-2</v>
      </c>
      <c r="D570">
        <v>34.19</v>
      </c>
      <c r="E570">
        <v>0.21659999999999999</v>
      </c>
      <c r="F570">
        <v>0</v>
      </c>
      <c r="G570">
        <v>0.4864</v>
      </c>
      <c r="H570">
        <v>9.74</v>
      </c>
      <c r="I570">
        <v>2.35E-2</v>
      </c>
      <c r="J570">
        <v>0.73799999999999999</v>
      </c>
      <c r="K570">
        <v>0</v>
      </c>
      <c r="L570">
        <v>55.78</v>
      </c>
      <c r="M570">
        <v>0.1145</v>
      </c>
      <c r="N570">
        <v>101.3138</v>
      </c>
      <c r="O570" t="s">
        <v>63</v>
      </c>
      <c r="Q570">
        <f t="shared" si="17"/>
        <v>65.52</v>
      </c>
      <c r="R570">
        <f>I570-(K570*Standards!$I$15)</f>
        <v>2.35E-2</v>
      </c>
      <c r="S570">
        <f t="shared" si="18"/>
        <v>2.3725E-2</v>
      </c>
      <c r="T570" t="s">
        <v>44</v>
      </c>
    </row>
    <row r="571" spans="1:20">
      <c r="A571">
        <v>79</v>
      </c>
      <c r="B571">
        <v>0</v>
      </c>
      <c r="C571">
        <v>3.44E-2</v>
      </c>
      <c r="D571">
        <v>33.979999999999997</v>
      </c>
      <c r="E571">
        <v>0.13689999999999999</v>
      </c>
      <c r="F571">
        <v>0</v>
      </c>
      <c r="G571">
        <v>0.32069999999999999</v>
      </c>
      <c r="H571">
        <v>10.07</v>
      </c>
      <c r="I571">
        <v>4.2200000000000001E-2</v>
      </c>
      <c r="J571">
        <v>0.37559999999999999</v>
      </c>
      <c r="K571">
        <v>0</v>
      </c>
      <c r="L571">
        <v>55.76</v>
      </c>
      <c r="M571">
        <v>0.1152</v>
      </c>
      <c r="N571">
        <v>100.8349</v>
      </c>
      <c r="O571" t="s">
        <v>129</v>
      </c>
      <c r="Q571">
        <f t="shared" si="17"/>
        <v>65.83</v>
      </c>
      <c r="R571">
        <f>I571-(K571*Standards!$I$15)</f>
        <v>4.2200000000000001E-2</v>
      </c>
      <c r="S571">
        <f t="shared" si="18"/>
        <v>3.2289999999999999E-2</v>
      </c>
      <c r="T571" t="s">
        <v>44</v>
      </c>
    </row>
    <row r="572" spans="1:20">
      <c r="A572">
        <v>80</v>
      </c>
      <c r="B572">
        <v>0</v>
      </c>
      <c r="C572">
        <v>4.4600000000000001E-2</v>
      </c>
      <c r="D572">
        <v>33.9</v>
      </c>
      <c r="E572">
        <v>0.13869999999999999</v>
      </c>
      <c r="F572">
        <v>0</v>
      </c>
      <c r="G572">
        <v>0.32990000000000003</v>
      </c>
      <c r="H572">
        <v>10.39</v>
      </c>
      <c r="I572">
        <v>4.0800000000000003E-2</v>
      </c>
      <c r="J572">
        <v>5.8900000000000001E-2</v>
      </c>
      <c r="K572">
        <v>0</v>
      </c>
      <c r="L572">
        <v>55.76</v>
      </c>
      <c r="M572">
        <v>0.1201</v>
      </c>
      <c r="N572">
        <v>100.7829</v>
      </c>
      <c r="O572" t="s">
        <v>129</v>
      </c>
      <c r="Q572">
        <f t="shared" si="17"/>
        <v>66.150000000000006</v>
      </c>
      <c r="R572">
        <f>I572-(K572*Standards!$I$15)</f>
        <v>4.0800000000000003E-2</v>
      </c>
      <c r="S572">
        <f t="shared" si="18"/>
        <v>4.2560000000000001E-2</v>
      </c>
      <c r="T572" t="s">
        <v>44</v>
      </c>
    </row>
    <row r="573" spans="1:20">
      <c r="A573">
        <v>53</v>
      </c>
      <c r="B573">
        <v>0</v>
      </c>
      <c r="C573">
        <v>3.8699999999999998E-2</v>
      </c>
      <c r="D573">
        <v>34.33</v>
      </c>
      <c r="E573">
        <v>0.1212</v>
      </c>
      <c r="F573">
        <v>0</v>
      </c>
      <c r="G573">
        <v>0.30620000000000003</v>
      </c>
      <c r="H573">
        <v>10.5</v>
      </c>
      <c r="I573">
        <v>4.3400000000000001E-2</v>
      </c>
      <c r="J573">
        <v>0.192</v>
      </c>
      <c r="K573">
        <v>0</v>
      </c>
      <c r="L573">
        <v>55.73</v>
      </c>
      <c r="M573">
        <v>9.9400000000000002E-2</v>
      </c>
      <c r="N573">
        <v>101.3609</v>
      </c>
      <c r="O573" t="s">
        <v>383</v>
      </c>
      <c r="Q573">
        <f t="shared" si="17"/>
        <v>66.22999999999999</v>
      </c>
      <c r="R573">
        <f>I573-(K573*Standards!$I$15)</f>
        <v>4.3400000000000001E-2</v>
      </c>
      <c r="S573">
        <f t="shared" si="18"/>
        <v>3.653E-2</v>
      </c>
      <c r="T573" t="s">
        <v>44</v>
      </c>
    </row>
    <row r="574" spans="1:20">
      <c r="A574">
        <v>81</v>
      </c>
      <c r="B574">
        <v>0</v>
      </c>
      <c r="C574">
        <v>3.78E-2</v>
      </c>
      <c r="D574">
        <v>34.590000000000003</v>
      </c>
      <c r="E574">
        <v>0.1421</v>
      </c>
      <c r="F574">
        <v>0</v>
      </c>
      <c r="G574">
        <v>0.3276</v>
      </c>
      <c r="H574">
        <v>10.25</v>
      </c>
      <c r="I574">
        <v>5.9400000000000001E-2</v>
      </c>
      <c r="J574">
        <v>7.9799999999999996E-2</v>
      </c>
      <c r="K574">
        <v>0</v>
      </c>
      <c r="L574">
        <v>55.68</v>
      </c>
      <c r="M574">
        <v>0.1048</v>
      </c>
      <c r="N574">
        <v>101.2714</v>
      </c>
      <c r="O574" t="s">
        <v>129</v>
      </c>
      <c r="Q574">
        <f t="shared" si="17"/>
        <v>65.930000000000007</v>
      </c>
      <c r="R574">
        <f>I574-(K574*Standards!$I$15)</f>
        <v>5.9400000000000001E-2</v>
      </c>
      <c r="S574">
        <f t="shared" si="18"/>
        <v>3.483E-2</v>
      </c>
      <c r="T574" t="s">
        <v>44</v>
      </c>
    </row>
    <row r="575" spans="1:20">
      <c r="A575">
        <v>64</v>
      </c>
      <c r="B575">
        <v>0</v>
      </c>
      <c r="C575">
        <v>4.5199999999999997E-2</v>
      </c>
      <c r="D575">
        <v>34.08</v>
      </c>
      <c r="E575">
        <v>0.1358</v>
      </c>
      <c r="F575">
        <v>0</v>
      </c>
      <c r="G575">
        <v>0.32519999999999999</v>
      </c>
      <c r="H575">
        <v>10.48</v>
      </c>
      <c r="I575">
        <v>3.8300000000000001E-2</v>
      </c>
      <c r="J575">
        <v>0.31809999999999999</v>
      </c>
      <c r="K575">
        <v>0</v>
      </c>
      <c r="L575">
        <v>55.57</v>
      </c>
      <c r="M575">
        <v>0.1196</v>
      </c>
      <c r="N575">
        <v>101.1121</v>
      </c>
      <c r="O575" t="s">
        <v>129</v>
      </c>
      <c r="Q575">
        <f t="shared" si="17"/>
        <v>66.05</v>
      </c>
      <c r="R575">
        <f>I575-(K575*Standards!$I$15)</f>
        <v>3.8300000000000001E-2</v>
      </c>
      <c r="S575">
        <f t="shared" si="18"/>
        <v>4.3284999999999997E-2</v>
      </c>
      <c r="T575" t="s">
        <v>44</v>
      </c>
    </row>
    <row r="576" spans="1:20">
      <c r="A576">
        <v>66</v>
      </c>
      <c r="B576">
        <v>0</v>
      </c>
      <c r="C576">
        <v>4.0599999999999997E-2</v>
      </c>
      <c r="D576">
        <v>34.119999999999997</v>
      </c>
      <c r="E576">
        <v>0.12479999999999999</v>
      </c>
      <c r="F576">
        <v>0</v>
      </c>
      <c r="G576">
        <v>0.32169999999999999</v>
      </c>
      <c r="H576">
        <v>10.52</v>
      </c>
      <c r="I576">
        <v>0.04</v>
      </c>
      <c r="J576">
        <v>0.31259999999999999</v>
      </c>
      <c r="K576">
        <v>0</v>
      </c>
      <c r="L576">
        <v>55.56</v>
      </c>
      <c r="M576">
        <v>0.12670000000000001</v>
      </c>
      <c r="N576">
        <v>101.1664</v>
      </c>
      <c r="O576" t="s">
        <v>129</v>
      </c>
      <c r="Q576">
        <f t="shared" si="17"/>
        <v>66.08</v>
      </c>
      <c r="R576">
        <f>I576-(K576*Standards!$I$15)</f>
        <v>0.04</v>
      </c>
      <c r="S576">
        <f t="shared" si="18"/>
        <v>3.8599999999999995E-2</v>
      </c>
      <c r="T576" t="s">
        <v>44</v>
      </c>
    </row>
    <row r="577" spans="1:31">
      <c r="A577">
        <v>63</v>
      </c>
      <c r="B577">
        <v>0</v>
      </c>
      <c r="C577">
        <v>2.6499999999999999E-2</v>
      </c>
      <c r="D577">
        <v>34.159999999999997</v>
      </c>
      <c r="E577">
        <v>0.1265</v>
      </c>
      <c r="F577">
        <v>0</v>
      </c>
      <c r="G577">
        <v>0.30859999999999999</v>
      </c>
      <c r="H577">
        <v>10.65</v>
      </c>
      <c r="I577">
        <v>3.8899999999999997E-2</v>
      </c>
      <c r="J577">
        <v>0.12709999999999999</v>
      </c>
      <c r="K577">
        <v>0</v>
      </c>
      <c r="L577">
        <v>55.45</v>
      </c>
      <c r="M577">
        <v>0.1198</v>
      </c>
      <c r="N577">
        <v>101.0073</v>
      </c>
      <c r="O577" t="s">
        <v>129</v>
      </c>
      <c r="Q577">
        <f t="shared" si="17"/>
        <v>66.100000000000009</v>
      </c>
      <c r="R577">
        <f>I577-(K577*Standards!$I$15)</f>
        <v>3.8899999999999997E-2</v>
      </c>
      <c r="S577">
        <f t="shared" si="18"/>
        <v>2.4555E-2</v>
      </c>
      <c r="T577" t="s">
        <v>44</v>
      </c>
    </row>
    <row r="578" spans="1:31">
      <c r="A578">
        <v>54</v>
      </c>
      <c r="B578">
        <v>0</v>
      </c>
      <c r="C578">
        <v>4.3099999999999999E-2</v>
      </c>
      <c r="D578">
        <v>34.15</v>
      </c>
      <c r="E578">
        <v>0.12889999999999999</v>
      </c>
      <c r="F578">
        <v>0</v>
      </c>
      <c r="G578">
        <v>0.31569999999999998</v>
      </c>
      <c r="H578">
        <v>10.66</v>
      </c>
      <c r="I578">
        <v>3.9600000000000003E-2</v>
      </c>
      <c r="J578">
        <v>0.15570000000000001</v>
      </c>
      <c r="K578">
        <v>0</v>
      </c>
      <c r="L578">
        <v>55.37</v>
      </c>
      <c r="M578">
        <v>0.1239</v>
      </c>
      <c r="N578">
        <v>100.9868</v>
      </c>
      <c r="O578" t="s">
        <v>383</v>
      </c>
      <c r="Q578">
        <f t="shared" si="17"/>
        <v>66.03</v>
      </c>
      <c r="R578">
        <f>I578-(K578*Standards!$I$15)</f>
        <v>3.9600000000000003E-2</v>
      </c>
      <c r="S578">
        <f t="shared" si="18"/>
        <v>4.1119999999999997E-2</v>
      </c>
      <c r="T578" t="s">
        <v>44</v>
      </c>
    </row>
    <row r="579" spans="1:31">
      <c r="A579">
        <v>59</v>
      </c>
      <c r="B579">
        <v>0</v>
      </c>
      <c r="C579">
        <v>4.5999999999999999E-2</v>
      </c>
      <c r="D579">
        <v>34.08</v>
      </c>
      <c r="E579">
        <v>0.12970000000000001</v>
      </c>
      <c r="F579">
        <v>0</v>
      </c>
      <c r="G579">
        <v>0.33300000000000002</v>
      </c>
      <c r="H579">
        <v>10.75</v>
      </c>
      <c r="I579">
        <v>4.1700000000000001E-2</v>
      </c>
      <c r="J579">
        <v>0.27850000000000003</v>
      </c>
      <c r="K579">
        <v>0</v>
      </c>
      <c r="L579">
        <v>55.35</v>
      </c>
      <c r="M579">
        <v>0.104</v>
      </c>
      <c r="N579">
        <v>101.11279999999999</v>
      </c>
      <c r="O579" t="s">
        <v>383</v>
      </c>
      <c r="Q579">
        <f t="shared" ref="Q579:Q642" si="19">H579+L579</f>
        <v>66.099999999999994</v>
      </c>
      <c r="R579">
        <f>I579-(K579*Standards!$I$15)</f>
        <v>4.1700000000000001E-2</v>
      </c>
      <c r="S579">
        <f t="shared" ref="S579:S587" si="20">C579-(I579*0.05)</f>
        <v>4.3914999999999996E-2</v>
      </c>
      <c r="T579" t="s">
        <v>44</v>
      </c>
    </row>
    <row r="580" spans="1:31">
      <c r="A580">
        <v>67</v>
      </c>
      <c r="B580">
        <v>0</v>
      </c>
      <c r="C580">
        <v>3.0300000000000001E-2</v>
      </c>
      <c r="D580">
        <v>33.99</v>
      </c>
      <c r="E580">
        <v>0.1527</v>
      </c>
      <c r="F580">
        <v>0</v>
      </c>
      <c r="G580">
        <v>0.31269999999999998</v>
      </c>
      <c r="H580">
        <v>10.51</v>
      </c>
      <c r="I580">
        <v>3.7600000000000001E-2</v>
      </c>
      <c r="J580">
        <v>0.26679999999999998</v>
      </c>
      <c r="K580">
        <v>0</v>
      </c>
      <c r="L580">
        <v>55.3</v>
      </c>
      <c r="M580">
        <v>0.1094</v>
      </c>
      <c r="N580">
        <v>100.7094</v>
      </c>
      <c r="O580" t="s">
        <v>129</v>
      </c>
      <c r="Q580">
        <f t="shared" si="19"/>
        <v>65.81</v>
      </c>
      <c r="R580">
        <f>I580-(K580*Standards!$I$15)</f>
        <v>3.7600000000000001E-2</v>
      </c>
      <c r="S580">
        <f t="shared" si="20"/>
        <v>2.8420000000000001E-2</v>
      </c>
      <c r="T580" t="s">
        <v>44</v>
      </c>
    </row>
    <row r="581" spans="1:31">
      <c r="A581">
        <v>71</v>
      </c>
      <c r="B581">
        <v>0</v>
      </c>
      <c r="C581">
        <v>4.6100000000000002E-2</v>
      </c>
      <c r="D581">
        <v>34.07</v>
      </c>
      <c r="E581">
        <v>0.12939999999999999</v>
      </c>
      <c r="F581">
        <v>0</v>
      </c>
      <c r="G581">
        <v>0.30990000000000001</v>
      </c>
      <c r="H581">
        <v>10.59</v>
      </c>
      <c r="I581">
        <v>3.2800000000000003E-2</v>
      </c>
      <c r="J581">
        <v>0.2145</v>
      </c>
      <c r="K581">
        <v>0</v>
      </c>
      <c r="L581">
        <v>55.22</v>
      </c>
      <c r="M581">
        <v>0.13420000000000001</v>
      </c>
      <c r="N581">
        <v>100.74679999999999</v>
      </c>
      <c r="O581" t="s">
        <v>129</v>
      </c>
      <c r="Q581">
        <f t="shared" si="19"/>
        <v>65.81</v>
      </c>
      <c r="R581">
        <f>I581-(K581*Standards!$I$15)</f>
        <v>3.2800000000000003E-2</v>
      </c>
      <c r="S581">
        <f t="shared" si="20"/>
        <v>4.446E-2</v>
      </c>
      <c r="T581" t="s">
        <v>44</v>
      </c>
    </row>
    <row r="582" spans="1:31">
      <c r="A582">
        <v>65</v>
      </c>
      <c r="B582">
        <v>0</v>
      </c>
      <c r="C582">
        <v>3.3300000000000003E-2</v>
      </c>
      <c r="D582">
        <v>34.07</v>
      </c>
      <c r="E582">
        <v>0.1225</v>
      </c>
      <c r="F582">
        <v>0</v>
      </c>
      <c r="G582">
        <v>0.32690000000000002</v>
      </c>
      <c r="H582">
        <v>10.84</v>
      </c>
      <c r="I582">
        <v>3.7100000000000001E-2</v>
      </c>
      <c r="J582">
        <v>0.60340000000000005</v>
      </c>
      <c r="K582">
        <v>0</v>
      </c>
      <c r="L582">
        <v>55.05</v>
      </c>
      <c r="M582">
        <v>0.1173</v>
      </c>
      <c r="N582">
        <v>101.20050000000001</v>
      </c>
      <c r="O582" t="s">
        <v>129</v>
      </c>
      <c r="Q582">
        <f t="shared" si="19"/>
        <v>65.89</v>
      </c>
      <c r="R582">
        <f>I582-(K582*Standards!$I$15)</f>
        <v>3.7100000000000001E-2</v>
      </c>
      <c r="S582">
        <f t="shared" si="20"/>
        <v>3.1445000000000001E-2</v>
      </c>
      <c r="T582" t="s">
        <v>44</v>
      </c>
    </row>
    <row r="583" spans="1:31">
      <c r="A583">
        <v>57</v>
      </c>
      <c r="B583">
        <v>0</v>
      </c>
      <c r="C583">
        <v>2.9600000000000001E-2</v>
      </c>
      <c r="D583">
        <v>33.99</v>
      </c>
      <c r="E583">
        <v>0.1226</v>
      </c>
      <c r="F583">
        <v>0</v>
      </c>
      <c r="G583">
        <v>0.30459999999999998</v>
      </c>
      <c r="H583">
        <v>10.79</v>
      </c>
      <c r="I583">
        <v>4.6699999999999998E-2</v>
      </c>
      <c r="J583">
        <v>0.73419999999999996</v>
      </c>
      <c r="K583">
        <v>0.16339999999999999</v>
      </c>
      <c r="L583">
        <v>54.98</v>
      </c>
      <c r="M583">
        <v>0.1007</v>
      </c>
      <c r="N583">
        <v>101.2617</v>
      </c>
      <c r="O583" t="s">
        <v>383</v>
      </c>
      <c r="Q583">
        <f t="shared" si="19"/>
        <v>65.77</v>
      </c>
      <c r="R583">
        <f>I583-(K583*Standards!$I$15)</f>
        <v>4.6338477499999996E-2</v>
      </c>
      <c r="S583">
        <f t="shared" si="20"/>
        <v>2.7265000000000001E-2</v>
      </c>
      <c r="T583" t="s">
        <v>44</v>
      </c>
    </row>
    <row r="584" spans="1:31">
      <c r="A584">
        <v>3</v>
      </c>
      <c r="B584">
        <v>1.6400000000000001E-2</v>
      </c>
      <c r="C584">
        <v>3.2899999999999999E-2</v>
      </c>
      <c r="D584">
        <v>34.79</v>
      </c>
      <c r="E584">
        <v>0.12559999999999999</v>
      </c>
      <c r="F584">
        <v>0</v>
      </c>
      <c r="G584">
        <v>0.26519999999999999</v>
      </c>
      <c r="H584">
        <v>12.3</v>
      </c>
      <c r="I584">
        <v>3.9300000000000002E-2</v>
      </c>
      <c r="J584">
        <v>0.22</v>
      </c>
      <c r="K584">
        <v>0</v>
      </c>
      <c r="L584">
        <v>54.72</v>
      </c>
      <c r="M584">
        <v>0.1148</v>
      </c>
      <c r="N584">
        <v>102.6241</v>
      </c>
      <c r="O584" t="s">
        <v>384</v>
      </c>
      <c r="Q584">
        <f t="shared" si="19"/>
        <v>67.02</v>
      </c>
      <c r="R584">
        <f>I584-(K584*Standards!$I$15)</f>
        <v>3.9300000000000002E-2</v>
      </c>
      <c r="S584">
        <f t="shared" si="20"/>
        <v>3.0934999999999997E-2</v>
      </c>
      <c r="T584" t="s">
        <v>44</v>
      </c>
    </row>
    <row r="585" spans="1:31">
      <c r="A585">
        <v>4</v>
      </c>
      <c r="B585">
        <v>3.2300000000000002E-2</v>
      </c>
      <c r="C585">
        <v>3.5299999999999998E-2</v>
      </c>
      <c r="D585">
        <v>34.659999999999997</v>
      </c>
      <c r="E585">
        <v>0.1067</v>
      </c>
      <c r="F585">
        <v>0</v>
      </c>
      <c r="G585">
        <v>0.2601</v>
      </c>
      <c r="H585">
        <v>12.04</v>
      </c>
      <c r="I585">
        <v>4.0800000000000003E-2</v>
      </c>
      <c r="J585">
        <v>2.8999999999999998E-3</v>
      </c>
      <c r="K585">
        <v>0</v>
      </c>
      <c r="L585">
        <v>54.47</v>
      </c>
      <c r="M585">
        <v>0.1109</v>
      </c>
      <c r="N585">
        <v>101.7589</v>
      </c>
      <c r="O585" t="s">
        <v>384</v>
      </c>
      <c r="Q585">
        <f t="shared" si="19"/>
        <v>66.509999999999991</v>
      </c>
      <c r="R585">
        <f>I585-(K585*Standards!$I$15)</f>
        <v>4.0800000000000003E-2</v>
      </c>
      <c r="S585">
        <f t="shared" si="20"/>
        <v>3.3259999999999998E-2</v>
      </c>
      <c r="T585" t="s">
        <v>44</v>
      </c>
    </row>
    <row r="586" spans="1:31">
      <c r="A586">
        <v>25</v>
      </c>
      <c r="B586">
        <v>0.20269999999999999</v>
      </c>
      <c r="C586">
        <v>0</v>
      </c>
      <c r="D586">
        <v>33.659999999999997</v>
      </c>
      <c r="E586">
        <v>0.13980000000000001</v>
      </c>
      <c r="F586">
        <v>0</v>
      </c>
      <c r="G586">
        <v>0.31640000000000001</v>
      </c>
      <c r="H586">
        <v>10.06</v>
      </c>
      <c r="I586">
        <v>8.1199999999999994E-2</v>
      </c>
      <c r="J586">
        <v>0.75600000000000001</v>
      </c>
      <c r="K586">
        <v>0</v>
      </c>
      <c r="L586">
        <v>54.46</v>
      </c>
      <c r="M586">
        <v>0.1016</v>
      </c>
      <c r="N586">
        <v>99.777799999999999</v>
      </c>
      <c r="O586" t="s">
        <v>384</v>
      </c>
      <c r="Q586">
        <f t="shared" si="19"/>
        <v>64.52</v>
      </c>
      <c r="R586">
        <f>I586-(K586*Standards!$I$15)</f>
        <v>8.1199999999999994E-2</v>
      </c>
      <c r="S586">
        <f t="shared" si="20"/>
        <v>-4.0600000000000002E-3</v>
      </c>
      <c r="T586" t="s">
        <v>44</v>
      </c>
    </row>
    <row r="587" spans="1:31">
      <c r="A587">
        <v>12</v>
      </c>
      <c r="B587">
        <v>1.8599999999999998E-2</v>
      </c>
      <c r="C587">
        <v>1.04E-2</v>
      </c>
      <c r="D587">
        <v>34.4</v>
      </c>
      <c r="E587">
        <v>0.10979999999999999</v>
      </c>
      <c r="F587">
        <v>0</v>
      </c>
      <c r="G587">
        <v>0.26840000000000003</v>
      </c>
      <c r="H587">
        <v>14.86</v>
      </c>
      <c r="I587">
        <v>6.9099999999999995E-2</v>
      </c>
      <c r="J587">
        <v>2.81</v>
      </c>
      <c r="K587">
        <v>0</v>
      </c>
      <c r="L587">
        <v>47.3</v>
      </c>
      <c r="M587">
        <v>0.14219999999999999</v>
      </c>
      <c r="N587">
        <v>99.988500000000002</v>
      </c>
      <c r="O587" t="s">
        <v>384</v>
      </c>
      <c r="Q587">
        <f t="shared" si="19"/>
        <v>62.16</v>
      </c>
      <c r="R587">
        <f>I587-(K587*Standards!$I$15)</f>
        <v>6.9099999999999995E-2</v>
      </c>
      <c r="S587">
        <f t="shared" si="20"/>
        <v>6.9449999999999998E-3</v>
      </c>
      <c r="T587" t="s">
        <v>44</v>
      </c>
    </row>
    <row r="588" spans="1:31">
      <c r="A588">
        <v>94</v>
      </c>
      <c r="B588">
        <v>0</v>
      </c>
      <c r="C588">
        <v>4.5600000000000002E-2</v>
      </c>
      <c r="D588">
        <v>33.21</v>
      </c>
      <c r="E588">
        <v>0</v>
      </c>
      <c r="F588">
        <v>0</v>
      </c>
      <c r="G588">
        <v>0</v>
      </c>
      <c r="H588">
        <v>0.5776</v>
      </c>
      <c r="I588">
        <v>5.8999999999999999E-3</v>
      </c>
      <c r="J588">
        <v>1.67</v>
      </c>
      <c r="K588">
        <v>0</v>
      </c>
      <c r="L588">
        <v>66.16</v>
      </c>
      <c r="M588">
        <v>9.0999999999999998E-2</v>
      </c>
      <c r="N588">
        <v>101.76</v>
      </c>
      <c r="O588" t="s">
        <v>385</v>
      </c>
      <c r="Q588">
        <f t="shared" si="19"/>
        <v>66.7376</v>
      </c>
      <c r="R588">
        <f>I588-(K588*Standards!$I$15)</f>
        <v>5.8999999999999999E-3</v>
      </c>
      <c r="S588">
        <f t="shared" ref="S588:S649" si="21">C588-(I588*0.05)</f>
        <v>4.5305000000000005E-2</v>
      </c>
      <c r="T588" t="s">
        <v>21</v>
      </c>
      <c r="U588">
        <f>COUNT(R588:R589)</f>
        <v>2</v>
      </c>
      <c r="V588">
        <f>MAX(H588:H589)</f>
        <v>0.5776</v>
      </c>
      <c r="W588">
        <f>AVERAGE(H588:H589)</f>
        <v>0.54544999999999999</v>
      </c>
      <c r="X588">
        <f>MAX(J588:J589)</f>
        <v>1.69</v>
      </c>
      <c r="Y588">
        <f>AVERAGE(J588:J589)</f>
        <v>1.68</v>
      </c>
      <c r="Z588">
        <f>10000*MAX(R588:R589)</f>
        <v>111.9800875</v>
      </c>
      <c r="AA588">
        <f>10000*AVERAGE(R588:R589)</f>
        <v>85.490043749999998</v>
      </c>
      <c r="AB588">
        <f>10000*MAX(G588:G589)</f>
        <v>5</v>
      </c>
      <c r="AC588">
        <f>10000*AVERAGE(G588:G589)</f>
        <v>2.5</v>
      </c>
      <c r="AD588">
        <f>10000*MAX(S588:S589)</f>
        <v>481.40000000000003</v>
      </c>
      <c r="AE588">
        <f>10000*AVERAGE(S588:S589)</f>
        <v>467.22500000000002</v>
      </c>
    </row>
    <row r="589" spans="1:31">
      <c r="A589">
        <v>93</v>
      </c>
      <c r="B589">
        <v>0</v>
      </c>
      <c r="C589">
        <v>4.87E-2</v>
      </c>
      <c r="D589">
        <v>33.35</v>
      </c>
      <c r="E589">
        <v>0</v>
      </c>
      <c r="F589">
        <v>0</v>
      </c>
      <c r="G589">
        <v>5.0000000000000001E-4</v>
      </c>
      <c r="H589">
        <v>0.51329999999999998</v>
      </c>
      <c r="I589">
        <v>1.12E-2</v>
      </c>
      <c r="J589">
        <v>1.69</v>
      </c>
      <c r="K589">
        <v>8.9999999999999998E-4</v>
      </c>
      <c r="L589">
        <v>66.08</v>
      </c>
      <c r="M589">
        <v>7.9399999999999998E-2</v>
      </c>
      <c r="N589">
        <v>101.7739</v>
      </c>
      <c r="O589" t="s">
        <v>385</v>
      </c>
      <c r="Q589">
        <f t="shared" si="19"/>
        <v>66.593299999999999</v>
      </c>
      <c r="R589">
        <f>I589-(K589*Standards!$I$15)</f>
        <v>1.119800875E-2</v>
      </c>
      <c r="S589">
        <f t="shared" si="21"/>
        <v>4.8140000000000002E-2</v>
      </c>
      <c r="T589" t="s">
        <v>21</v>
      </c>
    </row>
    <row r="590" spans="1:31">
      <c r="A590">
        <v>12</v>
      </c>
      <c r="B590">
        <v>0</v>
      </c>
      <c r="C590">
        <v>2.92E-2</v>
      </c>
      <c r="D590">
        <v>33.72</v>
      </c>
      <c r="E590">
        <v>5.11E-2</v>
      </c>
      <c r="F590">
        <v>0</v>
      </c>
      <c r="G590">
        <v>0.14599999999999999</v>
      </c>
      <c r="H590">
        <v>1.78</v>
      </c>
      <c r="I590">
        <v>8.0000000000000004E-4</v>
      </c>
      <c r="J590">
        <v>1.42</v>
      </c>
      <c r="K590">
        <v>0.43859999999999999</v>
      </c>
      <c r="L590">
        <v>64.75</v>
      </c>
      <c r="M590">
        <v>0.1041</v>
      </c>
      <c r="N590">
        <v>102.43980000000001</v>
      </c>
      <c r="O590" t="s">
        <v>386</v>
      </c>
      <c r="Q590">
        <f t="shared" si="19"/>
        <v>66.53</v>
      </c>
      <c r="R590">
        <f>I590-(K590*Standards!$I$15)</f>
        <v>-1.7040250000000001E-4</v>
      </c>
      <c r="S590">
        <f t="shared" si="21"/>
        <v>2.9160000000000002E-2</v>
      </c>
      <c r="T590" t="s">
        <v>104</v>
      </c>
      <c r="U590">
        <f>COUNT(R590:R597)</f>
        <v>8</v>
      </c>
      <c r="V590">
        <f>MAX(H590:H597)</f>
        <v>1.78</v>
      </c>
      <c r="W590">
        <f>AVERAGE(H590:H597)</f>
        <v>0.89111249999999997</v>
      </c>
      <c r="X590">
        <f>MAX(J590:J597)</f>
        <v>1.42</v>
      </c>
      <c r="Y590">
        <f>AVERAGE(J590:J597)</f>
        <v>0.65303749999999994</v>
      </c>
      <c r="Z590">
        <f>10000*MAX(R590:R597)</f>
        <v>36</v>
      </c>
      <c r="AA590">
        <f>10000*AVERAGE(R590:R597)</f>
        <v>5.373939062499999</v>
      </c>
      <c r="AB590">
        <f>10000*MAX(G590:G597)</f>
        <v>1526.0000000000002</v>
      </c>
      <c r="AC590">
        <f>10000*AVERAGE(G590:G597)</f>
        <v>1134.4999999999998</v>
      </c>
      <c r="AD590">
        <f>10000*MAX(S590:S597)</f>
        <v>566.20000000000005</v>
      </c>
      <c r="AE590">
        <f>10000*AVERAGE(S590:S597)</f>
        <v>323.75</v>
      </c>
    </row>
    <row r="591" spans="1:31">
      <c r="A591">
        <v>13</v>
      </c>
      <c r="B591">
        <v>0</v>
      </c>
      <c r="C591">
        <v>3.4799999999999998E-2</v>
      </c>
      <c r="D591">
        <v>33.81</v>
      </c>
      <c r="E591">
        <v>5.6599999999999998E-2</v>
      </c>
      <c r="F591">
        <v>0</v>
      </c>
      <c r="G591">
        <v>0.15260000000000001</v>
      </c>
      <c r="H591">
        <v>1.59</v>
      </c>
      <c r="I591">
        <v>0</v>
      </c>
      <c r="J591">
        <v>0.69110000000000005</v>
      </c>
      <c r="K591">
        <v>2.8E-3</v>
      </c>
      <c r="L591">
        <v>65.63</v>
      </c>
      <c r="M591">
        <v>9.8400000000000001E-2</v>
      </c>
      <c r="N591">
        <v>102.06619999999999</v>
      </c>
      <c r="O591" t="s">
        <v>386</v>
      </c>
      <c r="Q591">
        <f t="shared" si="19"/>
        <v>67.22</v>
      </c>
      <c r="R591">
        <f>I591-(K591*Standards!$I$15)</f>
        <v>-6.195E-6</v>
      </c>
      <c r="S591">
        <f t="shared" si="21"/>
        <v>3.4799999999999998E-2</v>
      </c>
      <c r="T591" t="s">
        <v>104</v>
      </c>
    </row>
    <row r="592" spans="1:31">
      <c r="A592">
        <v>30</v>
      </c>
      <c r="B592">
        <v>0</v>
      </c>
      <c r="C592">
        <v>1.18E-2</v>
      </c>
      <c r="D592">
        <v>34.549999999999997</v>
      </c>
      <c r="E592">
        <v>2.87E-2</v>
      </c>
      <c r="F592">
        <v>0</v>
      </c>
      <c r="G592">
        <v>8.8700000000000001E-2</v>
      </c>
      <c r="H592">
        <v>0.81620000000000004</v>
      </c>
      <c r="I592">
        <v>0</v>
      </c>
      <c r="J592">
        <v>1.1399999999999999</v>
      </c>
      <c r="K592">
        <v>0.56069999999999998</v>
      </c>
      <c r="L592">
        <v>66.27</v>
      </c>
      <c r="M592">
        <v>0.1076</v>
      </c>
      <c r="N592">
        <v>103.5736</v>
      </c>
      <c r="O592" t="s">
        <v>386</v>
      </c>
      <c r="Q592">
        <f t="shared" si="19"/>
        <v>67.086199999999991</v>
      </c>
      <c r="R592">
        <f>I592-(K592*Standards!$I$15)</f>
        <v>-1.24054875E-3</v>
      </c>
      <c r="S592">
        <f t="shared" si="21"/>
        <v>1.18E-2</v>
      </c>
      <c r="T592" t="s">
        <v>104</v>
      </c>
    </row>
    <row r="593" spans="1:31">
      <c r="A593">
        <v>29</v>
      </c>
      <c r="B593">
        <v>0</v>
      </c>
      <c r="C593">
        <v>3.1099999999999999E-2</v>
      </c>
      <c r="D593">
        <v>34.79</v>
      </c>
      <c r="E593">
        <v>2.8899999999999999E-2</v>
      </c>
      <c r="F593">
        <v>0</v>
      </c>
      <c r="G593">
        <v>0.1074</v>
      </c>
      <c r="H593">
        <v>0.50480000000000003</v>
      </c>
      <c r="I593">
        <v>0</v>
      </c>
      <c r="J593">
        <v>0.55989999999999995</v>
      </c>
      <c r="K593">
        <v>0.26700000000000002</v>
      </c>
      <c r="L593">
        <v>66.290000000000006</v>
      </c>
      <c r="M593">
        <v>0.12230000000000001</v>
      </c>
      <c r="N593">
        <v>102.7013</v>
      </c>
      <c r="O593" t="s">
        <v>386</v>
      </c>
      <c r="Q593">
        <f t="shared" si="19"/>
        <v>66.794800000000009</v>
      </c>
      <c r="R593">
        <f>I593-(K593*Standards!$I$15)</f>
        <v>-5.9073750000000009E-4</v>
      </c>
      <c r="S593">
        <f t="shared" si="21"/>
        <v>3.1099999999999999E-2</v>
      </c>
      <c r="T593" t="s">
        <v>104</v>
      </c>
    </row>
    <row r="594" spans="1:31">
      <c r="A594">
        <v>17</v>
      </c>
      <c r="B594">
        <v>0</v>
      </c>
      <c r="C594">
        <v>1.83E-2</v>
      </c>
      <c r="D594">
        <v>34.369999999999997</v>
      </c>
      <c r="E594">
        <v>3.78E-2</v>
      </c>
      <c r="F594">
        <v>0</v>
      </c>
      <c r="G594">
        <v>0.1181</v>
      </c>
      <c r="H594">
        <v>0.76800000000000002</v>
      </c>
      <c r="I594">
        <v>1.4E-3</v>
      </c>
      <c r="J594">
        <v>0.46139999999999998</v>
      </c>
      <c r="K594">
        <v>7.6300000000000007E-2</v>
      </c>
      <c r="L594">
        <v>66.84</v>
      </c>
      <c r="M594">
        <v>0.1053</v>
      </c>
      <c r="N594">
        <v>102.79649999999999</v>
      </c>
      <c r="O594" t="s">
        <v>386</v>
      </c>
      <c r="Q594">
        <f t="shared" si="19"/>
        <v>67.608000000000004</v>
      </c>
      <c r="R594">
        <f>I594-(K594*Standards!$I$15)</f>
        <v>1.2311862499999999E-3</v>
      </c>
      <c r="S594">
        <f t="shared" si="21"/>
        <v>1.823E-2</v>
      </c>
      <c r="T594" t="s">
        <v>104</v>
      </c>
    </row>
    <row r="595" spans="1:31">
      <c r="A595">
        <v>31</v>
      </c>
      <c r="B595">
        <v>0</v>
      </c>
      <c r="C595">
        <v>3.1099999999999999E-2</v>
      </c>
      <c r="D595">
        <v>33.9</v>
      </c>
      <c r="E595">
        <v>4.24E-2</v>
      </c>
      <c r="F595">
        <v>0</v>
      </c>
      <c r="G595">
        <v>0.1114</v>
      </c>
      <c r="H595">
        <v>0.70269999999999999</v>
      </c>
      <c r="I595">
        <v>0</v>
      </c>
      <c r="J595">
        <v>0.56569999999999998</v>
      </c>
      <c r="K595">
        <v>0.32729999999999998</v>
      </c>
      <c r="L595">
        <v>66.849999999999994</v>
      </c>
      <c r="M595">
        <v>8.2600000000000007E-2</v>
      </c>
      <c r="N595">
        <v>102.61320000000001</v>
      </c>
      <c r="O595" t="s">
        <v>386</v>
      </c>
      <c r="Q595">
        <f t="shared" si="19"/>
        <v>67.552699999999987</v>
      </c>
      <c r="R595">
        <f>I595-(K595*Standards!$I$15)</f>
        <v>-7.2415125E-4</v>
      </c>
      <c r="S595">
        <f t="shared" si="21"/>
        <v>3.1099999999999999E-2</v>
      </c>
      <c r="T595" t="s">
        <v>104</v>
      </c>
    </row>
    <row r="596" spans="1:31">
      <c r="A596">
        <v>18</v>
      </c>
      <c r="B596">
        <v>0</v>
      </c>
      <c r="C596">
        <v>5.6800000000000003E-2</v>
      </c>
      <c r="D596">
        <v>33.25</v>
      </c>
      <c r="E596">
        <v>3.32E-2</v>
      </c>
      <c r="F596">
        <v>0</v>
      </c>
      <c r="G596">
        <v>9.9299999999999999E-2</v>
      </c>
      <c r="H596">
        <v>0.45290000000000002</v>
      </c>
      <c r="I596">
        <v>3.5999999999999999E-3</v>
      </c>
      <c r="J596">
        <v>0.23480000000000001</v>
      </c>
      <c r="K596">
        <v>0</v>
      </c>
      <c r="L596">
        <v>66.89</v>
      </c>
      <c r="M596">
        <v>8.2799999999999999E-2</v>
      </c>
      <c r="N596">
        <v>101.1033</v>
      </c>
      <c r="O596" t="s">
        <v>386</v>
      </c>
      <c r="Q596">
        <f t="shared" si="19"/>
        <v>67.3429</v>
      </c>
      <c r="R596">
        <f>I596-(K596*Standards!$I$15)</f>
        <v>3.5999999999999999E-3</v>
      </c>
      <c r="S596">
        <f t="shared" si="21"/>
        <v>5.6620000000000004E-2</v>
      </c>
      <c r="T596" t="s">
        <v>104</v>
      </c>
    </row>
    <row r="597" spans="1:31">
      <c r="A597">
        <v>19</v>
      </c>
      <c r="B597">
        <v>0</v>
      </c>
      <c r="C597">
        <v>4.6300000000000001E-2</v>
      </c>
      <c r="D597">
        <v>33.79</v>
      </c>
      <c r="E597">
        <v>2.9100000000000001E-2</v>
      </c>
      <c r="F597">
        <v>0</v>
      </c>
      <c r="G597">
        <v>8.4099999999999994E-2</v>
      </c>
      <c r="H597">
        <v>0.51429999999999998</v>
      </c>
      <c r="I597">
        <v>2.2000000000000001E-3</v>
      </c>
      <c r="J597">
        <v>0.15140000000000001</v>
      </c>
      <c r="K597">
        <v>0</v>
      </c>
      <c r="L597">
        <v>67.03</v>
      </c>
      <c r="M597">
        <v>0.12920000000000001</v>
      </c>
      <c r="N597">
        <v>101.7766</v>
      </c>
      <c r="O597" t="s">
        <v>386</v>
      </c>
      <c r="Q597">
        <f t="shared" si="19"/>
        <v>67.544300000000007</v>
      </c>
      <c r="R597">
        <f>I597-(K597*Standards!$I$15)</f>
        <v>2.2000000000000001E-3</v>
      </c>
      <c r="S597">
        <f t="shared" si="21"/>
        <v>4.6190000000000002E-2</v>
      </c>
      <c r="T597" t="s">
        <v>104</v>
      </c>
    </row>
    <row r="598" spans="1:31">
      <c r="A598">
        <v>20</v>
      </c>
      <c r="B598">
        <v>3.2000000000000002E-3</v>
      </c>
      <c r="C598">
        <v>5.5300000000000002E-2</v>
      </c>
      <c r="D598">
        <v>33.69</v>
      </c>
      <c r="E598">
        <v>0.14149999999999999</v>
      </c>
      <c r="F598">
        <v>0</v>
      </c>
      <c r="G598">
        <v>0.44319999999999998</v>
      </c>
      <c r="H598">
        <v>4.76</v>
      </c>
      <c r="I598">
        <v>0.11890000000000001</v>
      </c>
      <c r="J598">
        <v>2.64</v>
      </c>
      <c r="K598">
        <v>0</v>
      </c>
      <c r="L598">
        <v>59.41</v>
      </c>
      <c r="M598">
        <v>8.5599999999999996E-2</v>
      </c>
      <c r="N598">
        <v>101.3476</v>
      </c>
      <c r="O598" t="s">
        <v>387</v>
      </c>
      <c r="Q598">
        <f t="shared" si="19"/>
        <v>64.17</v>
      </c>
      <c r="R598">
        <f>I598-(K598*Standards!$I$15)</f>
        <v>0.11890000000000001</v>
      </c>
      <c r="S598">
        <f t="shared" si="21"/>
        <v>4.9355000000000003E-2</v>
      </c>
      <c r="T598" t="s">
        <v>102</v>
      </c>
      <c r="U598">
        <f>COUNT(R598:R626)</f>
        <v>29</v>
      </c>
      <c r="V598">
        <f>MAX(H598:H626)</f>
        <v>10.16</v>
      </c>
      <c r="W598">
        <f>AVERAGE(H598:H626)</f>
        <v>7.7989655172413777</v>
      </c>
      <c r="X598">
        <f>MAX(J598:J626)</f>
        <v>2.64</v>
      </c>
      <c r="Y598">
        <f>AVERAGE(J598:J626)</f>
        <v>0.79217586206896551</v>
      </c>
      <c r="Z598">
        <f>10000*MAX(R598:R626)</f>
        <v>3294.0000000000005</v>
      </c>
      <c r="AA598">
        <f>10000*AVERAGE(R598:R626)</f>
        <v>899.41379310344837</v>
      </c>
      <c r="AB598">
        <f>10000*MAX(G598:G626)</f>
        <v>4943</v>
      </c>
      <c r="AC598">
        <f>10000*AVERAGE(G598:G626)</f>
        <v>3071.5862068965512</v>
      </c>
      <c r="AD598">
        <f>10000*MAX(S598:S626)</f>
        <v>564.85</v>
      </c>
      <c r="AE598">
        <f>10000*AVERAGE(S598:S626)</f>
        <v>360.06379310344829</v>
      </c>
    </row>
    <row r="599" spans="1:31">
      <c r="A599">
        <v>44</v>
      </c>
      <c r="B599">
        <v>0</v>
      </c>
      <c r="C599">
        <v>5.2299999999999999E-2</v>
      </c>
      <c r="D599">
        <v>33.69</v>
      </c>
      <c r="E599">
        <v>0.16439999999999999</v>
      </c>
      <c r="F599">
        <v>2.2000000000000001E-3</v>
      </c>
      <c r="G599">
        <v>0.4733</v>
      </c>
      <c r="H599">
        <v>4.38</v>
      </c>
      <c r="I599">
        <v>0.1726</v>
      </c>
      <c r="J599">
        <v>1.38</v>
      </c>
      <c r="K599">
        <v>0</v>
      </c>
      <c r="L599">
        <v>61.16</v>
      </c>
      <c r="M599">
        <v>8.6199999999999999E-2</v>
      </c>
      <c r="N599">
        <v>101.5609</v>
      </c>
      <c r="O599" t="s">
        <v>387</v>
      </c>
      <c r="Q599">
        <f t="shared" si="19"/>
        <v>65.539999999999992</v>
      </c>
      <c r="R599">
        <f>I599-(K599*Standards!$I$15)</f>
        <v>0.1726</v>
      </c>
      <c r="S599">
        <f t="shared" si="21"/>
        <v>4.367E-2</v>
      </c>
      <c r="T599" t="s">
        <v>102</v>
      </c>
    </row>
    <row r="600" spans="1:31">
      <c r="A600">
        <v>22</v>
      </c>
      <c r="B600">
        <v>0</v>
      </c>
      <c r="C600">
        <v>5.8599999999999999E-2</v>
      </c>
      <c r="D600">
        <v>33.4</v>
      </c>
      <c r="E600">
        <v>0.13730000000000001</v>
      </c>
      <c r="F600">
        <v>0</v>
      </c>
      <c r="G600">
        <v>0.44890000000000002</v>
      </c>
      <c r="H600">
        <v>4.3899999999999997</v>
      </c>
      <c r="I600">
        <v>0.15329999999999999</v>
      </c>
      <c r="J600">
        <v>0.81130000000000002</v>
      </c>
      <c r="K600">
        <v>0</v>
      </c>
      <c r="L600">
        <v>61.2</v>
      </c>
      <c r="M600">
        <v>8.1699999999999995E-2</v>
      </c>
      <c r="N600">
        <v>100.681</v>
      </c>
      <c r="O600" t="s">
        <v>387</v>
      </c>
      <c r="Q600">
        <f t="shared" si="19"/>
        <v>65.59</v>
      </c>
      <c r="R600">
        <f>I600-(K600*Standards!$I$15)</f>
        <v>0.15329999999999999</v>
      </c>
      <c r="S600">
        <f t="shared" si="21"/>
        <v>5.0935000000000001E-2</v>
      </c>
      <c r="T600" t="s">
        <v>102</v>
      </c>
    </row>
    <row r="601" spans="1:31">
      <c r="A601">
        <v>45</v>
      </c>
      <c r="B601">
        <v>0</v>
      </c>
      <c r="C601">
        <v>5.9499999999999997E-2</v>
      </c>
      <c r="D601">
        <v>33.590000000000003</v>
      </c>
      <c r="E601">
        <v>0.15720000000000001</v>
      </c>
      <c r="F601">
        <v>0</v>
      </c>
      <c r="G601">
        <v>0.49430000000000002</v>
      </c>
      <c r="H601">
        <v>4.2</v>
      </c>
      <c r="I601">
        <v>0.17730000000000001</v>
      </c>
      <c r="J601">
        <v>1.26</v>
      </c>
      <c r="K601">
        <v>0</v>
      </c>
      <c r="L601">
        <v>61.25</v>
      </c>
      <c r="M601">
        <v>6.8000000000000005E-2</v>
      </c>
      <c r="N601">
        <v>101.25620000000001</v>
      </c>
      <c r="O601" t="s">
        <v>387</v>
      </c>
      <c r="Q601">
        <f t="shared" si="19"/>
        <v>65.45</v>
      </c>
      <c r="R601">
        <f>I601-(K601*Standards!$I$15)</f>
        <v>0.17730000000000001</v>
      </c>
      <c r="S601">
        <f t="shared" si="21"/>
        <v>5.0634999999999999E-2</v>
      </c>
      <c r="T601" t="s">
        <v>102</v>
      </c>
    </row>
    <row r="602" spans="1:31">
      <c r="A602">
        <v>21</v>
      </c>
      <c r="B602">
        <v>0</v>
      </c>
      <c r="C602">
        <v>5.4600000000000003E-2</v>
      </c>
      <c r="D602">
        <v>33.79</v>
      </c>
      <c r="E602">
        <v>0.16819999999999999</v>
      </c>
      <c r="F602">
        <v>0</v>
      </c>
      <c r="G602">
        <v>0.47610000000000002</v>
      </c>
      <c r="H602">
        <v>4.1399999999999997</v>
      </c>
      <c r="I602">
        <v>0.128</v>
      </c>
      <c r="J602">
        <v>1.52</v>
      </c>
      <c r="K602">
        <v>0</v>
      </c>
      <c r="L602">
        <v>61.34</v>
      </c>
      <c r="M602">
        <v>6.6400000000000001E-2</v>
      </c>
      <c r="N602">
        <v>101.6832</v>
      </c>
      <c r="O602" t="s">
        <v>387</v>
      </c>
      <c r="Q602">
        <f t="shared" si="19"/>
        <v>65.48</v>
      </c>
      <c r="R602">
        <f>I602-(K602*Standards!$I$15)</f>
        <v>0.128</v>
      </c>
      <c r="S602">
        <f t="shared" si="21"/>
        <v>4.82E-2</v>
      </c>
      <c r="T602" t="s">
        <v>102</v>
      </c>
    </row>
    <row r="603" spans="1:31">
      <c r="A603">
        <v>43</v>
      </c>
      <c r="B603">
        <v>0</v>
      </c>
      <c r="C603">
        <v>4.19E-2</v>
      </c>
      <c r="D603">
        <v>33.619999999999997</v>
      </c>
      <c r="E603">
        <v>0.14849999999999999</v>
      </c>
      <c r="F603">
        <v>0</v>
      </c>
      <c r="G603">
        <v>0.4768</v>
      </c>
      <c r="H603">
        <v>3.81</v>
      </c>
      <c r="I603">
        <v>0.14080000000000001</v>
      </c>
      <c r="J603">
        <v>1.07</v>
      </c>
      <c r="K603">
        <v>0</v>
      </c>
      <c r="L603">
        <v>62.14</v>
      </c>
      <c r="M603">
        <v>6.6799999999999998E-2</v>
      </c>
      <c r="N603">
        <v>101.5147</v>
      </c>
      <c r="O603" t="s">
        <v>387</v>
      </c>
      <c r="Q603">
        <f t="shared" si="19"/>
        <v>65.95</v>
      </c>
      <c r="R603">
        <f>I603-(K603*Standards!$I$15)</f>
        <v>0.14080000000000001</v>
      </c>
      <c r="S603">
        <f t="shared" si="21"/>
        <v>3.4860000000000002E-2</v>
      </c>
      <c r="T603" t="s">
        <v>102</v>
      </c>
    </row>
    <row r="604" spans="1:31">
      <c r="A604">
        <v>48</v>
      </c>
      <c r="B604">
        <v>0</v>
      </c>
      <c r="C604">
        <v>3.04E-2</v>
      </c>
      <c r="D604">
        <v>33.880000000000003</v>
      </c>
      <c r="E604">
        <v>7.6100000000000001E-2</v>
      </c>
      <c r="F604">
        <v>0</v>
      </c>
      <c r="G604">
        <v>0.2697</v>
      </c>
      <c r="H604">
        <v>8.6199999999999992</v>
      </c>
      <c r="I604">
        <v>2.1600000000000001E-2</v>
      </c>
      <c r="J604">
        <v>0.29649999999999999</v>
      </c>
      <c r="K604">
        <v>0</v>
      </c>
      <c r="L604">
        <v>57.43</v>
      </c>
      <c r="M604">
        <v>8.5699999999999998E-2</v>
      </c>
      <c r="N604">
        <v>100.7099</v>
      </c>
      <c r="O604" t="s">
        <v>388</v>
      </c>
      <c r="Q604">
        <f t="shared" si="19"/>
        <v>66.05</v>
      </c>
      <c r="R604">
        <f>I604-(K604*Standards!$I$15)</f>
        <v>2.1600000000000001E-2</v>
      </c>
      <c r="S604">
        <f t="shared" si="21"/>
        <v>2.9319999999999999E-2</v>
      </c>
      <c r="T604" t="s">
        <v>102</v>
      </c>
    </row>
    <row r="605" spans="1:31">
      <c r="A605">
        <v>56</v>
      </c>
      <c r="B605">
        <v>0</v>
      </c>
      <c r="C605">
        <v>3.8199999999999998E-2</v>
      </c>
      <c r="D605">
        <v>33.74</v>
      </c>
      <c r="E605">
        <v>8.2000000000000003E-2</v>
      </c>
      <c r="F605">
        <v>9.9000000000000008E-3</v>
      </c>
      <c r="G605">
        <v>0.28560000000000002</v>
      </c>
      <c r="H605">
        <v>8.52</v>
      </c>
      <c r="I605">
        <v>4.36E-2</v>
      </c>
      <c r="J605">
        <v>1.1000000000000001</v>
      </c>
      <c r="K605">
        <v>0</v>
      </c>
      <c r="L605">
        <v>57.15</v>
      </c>
      <c r="M605">
        <v>6.3700000000000007E-2</v>
      </c>
      <c r="N605">
        <v>101.0329</v>
      </c>
      <c r="O605" t="s">
        <v>389</v>
      </c>
      <c r="Q605">
        <f t="shared" si="19"/>
        <v>65.67</v>
      </c>
      <c r="R605">
        <f>I605-(K605*Standards!$I$15)</f>
        <v>4.36E-2</v>
      </c>
      <c r="S605">
        <f t="shared" si="21"/>
        <v>3.6019999999999996E-2</v>
      </c>
      <c r="T605" t="s">
        <v>102</v>
      </c>
    </row>
    <row r="606" spans="1:31">
      <c r="A606">
        <v>55</v>
      </c>
      <c r="B606">
        <v>3.7000000000000002E-3</v>
      </c>
      <c r="C606">
        <v>3.1300000000000001E-2</v>
      </c>
      <c r="D606">
        <v>33.78</v>
      </c>
      <c r="E606">
        <v>6.4699999999999994E-2</v>
      </c>
      <c r="F606">
        <v>0</v>
      </c>
      <c r="G606">
        <v>0.26650000000000001</v>
      </c>
      <c r="H606">
        <v>8.5399999999999991</v>
      </c>
      <c r="I606">
        <v>3.8100000000000002E-2</v>
      </c>
      <c r="J606">
        <v>1.1599999999999999</v>
      </c>
      <c r="K606">
        <v>0</v>
      </c>
      <c r="L606">
        <v>57.27</v>
      </c>
      <c r="M606">
        <v>0.10199999999999999</v>
      </c>
      <c r="N606">
        <v>101.25620000000001</v>
      </c>
      <c r="O606" t="s">
        <v>389</v>
      </c>
      <c r="Q606">
        <f t="shared" si="19"/>
        <v>65.81</v>
      </c>
      <c r="R606">
        <f>I606-(K606*Standards!$I$15)</f>
        <v>3.8100000000000002E-2</v>
      </c>
      <c r="S606">
        <f t="shared" si="21"/>
        <v>2.9395000000000001E-2</v>
      </c>
      <c r="T606" t="s">
        <v>102</v>
      </c>
    </row>
    <row r="607" spans="1:31">
      <c r="A607">
        <v>73</v>
      </c>
      <c r="B607">
        <v>0</v>
      </c>
      <c r="C607">
        <v>3.9100000000000003E-2</v>
      </c>
      <c r="D607">
        <v>33.89</v>
      </c>
      <c r="E607">
        <v>7.3400000000000007E-2</v>
      </c>
      <c r="F607">
        <v>0</v>
      </c>
      <c r="G607">
        <v>0.252</v>
      </c>
      <c r="H607">
        <v>8.7899999999999991</v>
      </c>
      <c r="I607">
        <v>2.5700000000000001E-2</v>
      </c>
      <c r="J607">
        <v>0.26479999999999998</v>
      </c>
      <c r="K607">
        <v>0</v>
      </c>
      <c r="L607">
        <v>57.37</v>
      </c>
      <c r="M607">
        <v>6.6699999999999995E-2</v>
      </c>
      <c r="N607">
        <v>100.7717</v>
      </c>
      <c r="O607" t="s">
        <v>389</v>
      </c>
      <c r="Q607">
        <f t="shared" si="19"/>
        <v>66.16</v>
      </c>
      <c r="R607">
        <f>I607-(K607*Standards!$I$15)</f>
        <v>2.5700000000000001E-2</v>
      </c>
      <c r="S607">
        <f t="shared" si="21"/>
        <v>3.7815000000000001E-2</v>
      </c>
      <c r="T607" t="s">
        <v>102</v>
      </c>
    </row>
    <row r="608" spans="1:31">
      <c r="A608">
        <v>70</v>
      </c>
      <c r="B608">
        <v>0</v>
      </c>
      <c r="C608">
        <v>0.03</v>
      </c>
      <c r="D608">
        <v>33.85</v>
      </c>
      <c r="E608">
        <v>6.8199999999999997E-2</v>
      </c>
      <c r="F608">
        <v>0</v>
      </c>
      <c r="G608">
        <v>0.246</v>
      </c>
      <c r="H608">
        <v>8.5500000000000007</v>
      </c>
      <c r="I608">
        <v>3.3399999999999999E-2</v>
      </c>
      <c r="J608">
        <v>0.1125</v>
      </c>
      <c r="K608">
        <v>0</v>
      </c>
      <c r="L608">
        <v>57.51</v>
      </c>
      <c r="M608">
        <v>4.4299999999999999E-2</v>
      </c>
      <c r="N608">
        <v>100.4443</v>
      </c>
      <c r="O608" t="s">
        <v>389</v>
      </c>
      <c r="Q608">
        <f t="shared" si="19"/>
        <v>66.06</v>
      </c>
      <c r="R608">
        <f>I608-(K608*Standards!$I$15)</f>
        <v>3.3399999999999999E-2</v>
      </c>
      <c r="S608">
        <f t="shared" si="21"/>
        <v>2.8329999999999998E-2</v>
      </c>
      <c r="T608" t="s">
        <v>102</v>
      </c>
    </row>
    <row r="609" spans="1:20">
      <c r="A609">
        <v>77</v>
      </c>
      <c r="B609">
        <v>0</v>
      </c>
      <c r="C609">
        <v>3.1899999999999998E-2</v>
      </c>
      <c r="D609">
        <v>34.229999999999997</v>
      </c>
      <c r="E609">
        <v>8.5599999999999996E-2</v>
      </c>
      <c r="F609">
        <v>0</v>
      </c>
      <c r="G609">
        <v>0.25459999999999999</v>
      </c>
      <c r="H609">
        <v>8.6300000000000008</v>
      </c>
      <c r="I609">
        <v>2.9600000000000001E-2</v>
      </c>
      <c r="J609">
        <v>0.23910000000000001</v>
      </c>
      <c r="K609">
        <v>0</v>
      </c>
      <c r="L609">
        <v>57.54</v>
      </c>
      <c r="M609">
        <v>6.6600000000000006E-2</v>
      </c>
      <c r="N609">
        <v>101.1073</v>
      </c>
      <c r="O609" t="s">
        <v>389</v>
      </c>
      <c r="Q609">
        <f t="shared" si="19"/>
        <v>66.17</v>
      </c>
      <c r="R609">
        <f>I609-(K609*Standards!$I$15)</f>
        <v>2.9600000000000001E-2</v>
      </c>
      <c r="S609">
        <f t="shared" si="21"/>
        <v>3.0419999999999999E-2</v>
      </c>
      <c r="T609" t="s">
        <v>102</v>
      </c>
    </row>
    <row r="610" spans="1:20">
      <c r="A610">
        <v>58</v>
      </c>
      <c r="B610">
        <v>0</v>
      </c>
      <c r="C610">
        <v>2.8400000000000002E-2</v>
      </c>
      <c r="D610">
        <v>33.880000000000003</v>
      </c>
      <c r="E610">
        <v>0.10340000000000001</v>
      </c>
      <c r="F610">
        <v>0</v>
      </c>
      <c r="G610">
        <v>0.26229999999999998</v>
      </c>
      <c r="H610">
        <v>8.65</v>
      </c>
      <c r="I610">
        <v>2.9399999999999999E-2</v>
      </c>
      <c r="J610">
        <v>0.2893</v>
      </c>
      <c r="K610">
        <v>0</v>
      </c>
      <c r="L610">
        <v>57.69</v>
      </c>
      <c r="M610">
        <v>7.85E-2</v>
      </c>
      <c r="N610">
        <v>101.0112</v>
      </c>
      <c r="O610" t="s">
        <v>389</v>
      </c>
      <c r="Q610">
        <f t="shared" si="19"/>
        <v>66.34</v>
      </c>
      <c r="R610">
        <f>I610-(K610*Standards!$I$15)</f>
        <v>2.9399999999999999E-2</v>
      </c>
      <c r="S610">
        <f t="shared" si="21"/>
        <v>2.6930000000000003E-2</v>
      </c>
      <c r="T610" t="s">
        <v>102</v>
      </c>
    </row>
    <row r="611" spans="1:20">
      <c r="A611">
        <v>66</v>
      </c>
      <c r="B611">
        <v>0</v>
      </c>
      <c r="C611">
        <v>4.2700000000000002E-2</v>
      </c>
      <c r="D611">
        <v>33.89</v>
      </c>
      <c r="E611">
        <v>7.6300000000000007E-2</v>
      </c>
      <c r="F611">
        <v>0</v>
      </c>
      <c r="G611">
        <v>0.25669999999999998</v>
      </c>
      <c r="H611">
        <v>8.27</v>
      </c>
      <c r="I611">
        <v>2.5899999999999999E-2</v>
      </c>
      <c r="J611">
        <v>0.97199999999999998</v>
      </c>
      <c r="K611">
        <v>0</v>
      </c>
      <c r="L611">
        <v>57.8</v>
      </c>
      <c r="M611">
        <v>6.4199999999999993E-2</v>
      </c>
      <c r="N611">
        <v>101.3978</v>
      </c>
      <c r="O611" t="s">
        <v>389</v>
      </c>
      <c r="Q611">
        <f t="shared" si="19"/>
        <v>66.069999999999993</v>
      </c>
      <c r="R611">
        <f>I611-(K611*Standards!$I$15)</f>
        <v>2.5899999999999999E-2</v>
      </c>
      <c r="S611">
        <f t="shared" si="21"/>
        <v>4.1405000000000004E-2</v>
      </c>
      <c r="T611" t="s">
        <v>102</v>
      </c>
    </row>
    <row r="612" spans="1:20">
      <c r="A612">
        <v>74</v>
      </c>
      <c r="B612">
        <v>8.6999999999999994E-3</v>
      </c>
      <c r="C612">
        <v>4.1200000000000001E-2</v>
      </c>
      <c r="D612">
        <v>33.770000000000003</v>
      </c>
      <c r="E612">
        <v>7.0999999999999994E-2</v>
      </c>
      <c r="F612">
        <v>0</v>
      </c>
      <c r="G612">
        <v>0.27529999999999999</v>
      </c>
      <c r="H612">
        <v>8.26</v>
      </c>
      <c r="I612">
        <v>3.6700000000000003E-2</v>
      </c>
      <c r="J612">
        <v>0.20899999999999999</v>
      </c>
      <c r="K612">
        <v>0</v>
      </c>
      <c r="L612">
        <v>57.82</v>
      </c>
      <c r="M612">
        <v>7.5700000000000003E-2</v>
      </c>
      <c r="N612">
        <v>100.5675</v>
      </c>
      <c r="O612" t="s">
        <v>389</v>
      </c>
      <c r="Q612">
        <f t="shared" si="19"/>
        <v>66.08</v>
      </c>
      <c r="R612">
        <f>I612-(K612*Standards!$I$15)</f>
        <v>3.6700000000000003E-2</v>
      </c>
      <c r="S612">
        <f t="shared" si="21"/>
        <v>3.9364999999999997E-2</v>
      </c>
      <c r="T612" t="s">
        <v>102</v>
      </c>
    </row>
    <row r="613" spans="1:20">
      <c r="A613">
        <v>76</v>
      </c>
      <c r="B613">
        <v>9.7999999999999997E-3</v>
      </c>
      <c r="C613">
        <v>4.1700000000000001E-2</v>
      </c>
      <c r="D613">
        <v>33.880000000000003</v>
      </c>
      <c r="E613">
        <v>7.6999999999999999E-2</v>
      </c>
      <c r="F613">
        <v>0</v>
      </c>
      <c r="G613">
        <v>0.2641</v>
      </c>
      <c r="H613">
        <v>8.5399999999999991</v>
      </c>
      <c r="I613">
        <v>2.18E-2</v>
      </c>
      <c r="J613">
        <v>0.15490000000000001</v>
      </c>
      <c r="K613">
        <v>0</v>
      </c>
      <c r="L613">
        <v>57.87</v>
      </c>
      <c r="M613">
        <v>8.5300000000000001E-2</v>
      </c>
      <c r="N613">
        <v>100.94450000000001</v>
      </c>
      <c r="O613" t="s">
        <v>389</v>
      </c>
      <c r="Q613">
        <f t="shared" si="19"/>
        <v>66.41</v>
      </c>
      <c r="R613">
        <f>I613-(K613*Standards!$I$15)</f>
        <v>2.18E-2</v>
      </c>
      <c r="S613">
        <f t="shared" si="21"/>
        <v>4.061E-2</v>
      </c>
      <c r="T613" t="s">
        <v>102</v>
      </c>
    </row>
    <row r="614" spans="1:20">
      <c r="A614">
        <v>72</v>
      </c>
      <c r="B614">
        <v>4.1000000000000003E-3</v>
      </c>
      <c r="C614">
        <v>4.0399999999999998E-2</v>
      </c>
      <c r="D614">
        <v>33.99</v>
      </c>
      <c r="E614">
        <v>7.5399999999999995E-2</v>
      </c>
      <c r="F614">
        <v>0</v>
      </c>
      <c r="G614">
        <v>0.26579999999999998</v>
      </c>
      <c r="H614">
        <v>8.24</v>
      </c>
      <c r="I614">
        <v>2.7699999999999999E-2</v>
      </c>
      <c r="J614">
        <v>0.78720000000000001</v>
      </c>
      <c r="K614">
        <v>0</v>
      </c>
      <c r="L614">
        <v>57.91</v>
      </c>
      <c r="M614">
        <v>7.9000000000000001E-2</v>
      </c>
      <c r="N614">
        <v>101.4195</v>
      </c>
      <c r="O614" t="s">
        <v>389</v>
      </c>
      <c r="Q614">
        <f t="shared" si="19"/>
        <v>66.149999999999991</v>
      </c>
      <c r="R614">
        <f>I614-(K614*Standards!$I$15)</f>
        <v>2.7699999999999999E-2</v>
      </c>
      <c r="S614">
        <f t="shared" si="21"/>
        <v>3.9015000000000001E-2</v>
      </c>
      <c r="T614" t="s">
        <v>102</v>
      </c>
    </row>
    <row r="615" spans="1:20">
      <c r="A615">
        <v>67</v>
      </c>
      <c r="B615">
        <v>0</v>
      </c>
      <c r="C615">
        <v>5.74E-2</v>
      </c>
      <c r="D615">
        <v>33.82</v>
      </c>
      <c r="E615">
        <v>8.2299999999999998E-2</v>
      </c>
      <c r="F615">
        <v>0</v>
      </c>
      <c r="G615">
        <v>0.26069999999999999</v>
      </c>
      <c r="H615">
        <v>7.97</v>
      </c>
      <c r="I615">
        <v>1.83E-2</v>
      </c>
      <c r="J615">
        <v>1.26</v>
      </c>
      <c r="K615">
        <v>0</v>
      </c>
      <c r="L615">
        <v>57.96</v>
      </c>
      <c r="M615">
        <v>9.9199999999999997E-2</v>
      </c>
      <c r="N615">
        <v>101.5278</v>
      </c>
      <c r="O615" t="s">
        <v>389</v>
      </c>
      <c r="Q615">
        <f t="shared" si="19"/>
        <v>65.930000000000007</v>
      </c>
      <c r="R615">
        <f>I615-(K615*Standards!$I$15)</f>
        <v>1.83E-2</v>
      </c>
      <c r="S615">
        <f t="shared" si="21"/>
        <v>5.6485E-2</v>
      </c>
      <c r="T615" t="s">
        <v>102</v>
      </c>
    </row>
    <row r="616" spans="1:20">
      <c r="A616">
        <v>57</v>
      </c>
      <c r="B616">
        <v>3.3E-3</v>
      </c>
      <c r="C616">
        <v>3.2399999999999998E-2</v>
      </c>
      <c r="D616">
        <v>33.979999999999997</v>
      </c>
      <c r="E616">
        <v>8.5000000000000006E-2</v>
      </c>
      <c r="F616">
        <v>0</v>
      </c>
      <c r="G616">
        <v>0.27300000000000002</v>
      </c>
      <c r="H616">
        <v>8.57</v>
      </c>
      <c r="I616">
        <v>4.2900000000000001E-2</v>
      </c>
      <c r="J616">
        <v>0.25090000000000001</v>
      </c>
      <c r="K616">
        <v>0</v>
      </c>
      <c r="L616">
        <v>57.98</v>
      </c>
      <c r="M616">
        <v>8.0199999999999994E-2</v>
      </c>
      <c r="N616">
        <v>101.2976</v>
      </c>
      <c r="O616" t="s">
        <v>389</v>
      </c>
      <c r="Q616">
        <f t="shared" si="19"/>
        <v>66.55</v>
      </c>
      <c r="R616">
        <f>I616-(K616*Standards!$I$15)</f>
        <v>4.2900000000000001E-2</v>
      </c>
      <c r="S616">
        <f t="shared" si="21"/>
        <v>3.0254999999999997E-2</v>
      </c>
      <c r="T616" t="s">
        <v>102</v>
      </c>
    </row>
    <row r="617" spans="1:20">
      <c r="A617">
        <v>75</v>
      </c>
      <c r="B617">
        <v>6.4000000000000003E-3</v>
      </c>
      <c r="C617">
        <v>2.7099999999999999E-2</v>
      </c>
      <c r="D617">
        <v>34.06</v>
      </c>
      <c r="E617">
        <v>7.5499999999999998E-2</v>
      </c>
      <c r="F617">
        <v>0</v>
      </c>
      <c r="G617">
        <v>0.28520000000000001</v>
      </c>
      <c r="H617">
        <v>8.32</v>
      </c>
      <c r="I617">
        <v>3.6900000000000002E-2</v>
      </c>
      <c r="J617">
        <v>0.1996</v>
      </c>
      <c r="K617">
        <v>0</v>
      </c>
      <c r="L617">
        <v>58.03</v>
      </c>
      <c r="M617">
        <v>7.8600000000000003E-2</v>
      </c>
      <c r="N617">
        <v>101.11920000000001</v>
      </c>
      <c r="O617" t="s">
        <v>389</v>
      </c>
      <c r="Q617">
        <f t="shared" si="19"/>
        <v>66.349999999999994</v>
      </c>
      <c r="R617">
        <f>I617-(K617*Standards!$I$15)</f>
        <v>3.6900000000000002E-2</v>
      </c>
      <c r="S617">
        <f t="shared" si="21"/>
        <v>2.5255E-2</v>
      </c>
      <c r="T617" t="s">
        <v>102</v>
      </c>
    </row>
    <row r="618" spans="1:20">
      <c r="A618">
        <v>68</v>
      </c>
      <c r="B618">
        <v>0</v>
      </c>
      <c r="C618">
        <v>3.2599999999999997E-2</v>
      </c>
      <c r="D618">
        <v>34.01</v>
      </c>
      <c r="E618">
        <v>7.5700000000000003E-2</v>
      </c>
      <c r="F618">
        <v>0</v>
      </c>
      <c r="G618">
        <v>0.27039999999999997</v>
      </c>
      <c r="H618">
        <v>8.77</v>
      </c>
      <c r="I618">
        <v>2.52E-2</v>
      </c>
      <c r="J618">
        <v>0.1545</v>
      </c>
      <c r="K618">
        <v>0</v>
      </c>
      <c r="L618">
        <v>58.1</v>
      </c>
      <c r="M618">
        <v>5.6800000000000003E-2</v>
      </c>
      <c r="N618">
        <v>101.49509999999999</v>
      </c>
      <c r="O618" t="s">
        <v>389</v>
      </c>
      <c r="Q618">
        <f t="shared" si="19"/>
        <v>66.87</v>
      </c>
      <c r="R618">
        <f>I618-(K618*Standards!$I$15)</f>
        <v>2.52E-2</v>
      </c>
      <c r="S618">
        <f t="shared" si="21"/>
        <v>3.134E-2</v>
      </c>
      <c r="T618" t="s">
        <v>102</v>
      </c>
    </row>
    <row r="619" spans="1:20">
      <c r="A619">
        <v>71</v>
      </c>
      <c r="B619">
        <v>2.0000000000000001E-4</v>
      </c>
      <c r="C619">
        <v>3.09E-2</v>
      </c>
      <c r="D619">
        <v>33.85</v>
      </c>
      <c r="E619">
        <v>7.2900000000000006E-2</v>
      </c>
      <c r="F619">
        <v>0</v>
      </c>
      <c r="G619">
        <v>0.26790000000000003</v>
      </c>
      <c r="H619">
        <v>7.69</v>
      </c>
      <c r="I619">
        <v>3.2199999999999999E-2</v>
      </c>
      <c r="J619">
        <v>0.22209999999999999</v>
      </c>
      <c r="K619">
        <v>0</v>
      </c>
      <c r="L619">
        <v>58.38</v>
      </c>
      <c r="M619">
        <v>7.7600000000000002E-2</v>
      </c>
      <c r="N619">
        <v>100.6237</v>
      </c>
      <c r="O619" t="s">
        <v>389</v>
      </c>
      <c r="Q619">
        <f t="shared" si="19"/>
        <v>66.070000000000007</v>
      </c>
      <c r="R619">
        <f>I619-(K619*Standards!$I$15)</f>
        <v>3.2199999999999999E-2</v>
      </c>
      <c r="S619">
        <f t="shared" si="21"/>
        <v>2.929E-2</v>
      </c>
      <c r="T619" t="s">
        <v>102</v>
      </c>
    </row>
    <row r="620" spans="1:20">
      <c r="A620">
        <v>69</v>
      </c>
      <c r="B620">
        <v>8.3999999999999995E-3</v>
      </c>
      <c r="C620">
        <v>3.9600000000000003E-2</v>
      </c>
      <c r="D620">
        <v>33.65</v>
      </c>
      <c r="E620">
        <v>8.9300000000000004E-2</v>
      </c>
      <c r="F620">
        <v>0</v>
      </c>
      <c r="G620">
        <v>0.29099999999999998</v>
      </c>
      <c r="H620">
        <v>7.01</v>
      </c>
      <c r="I620">
        <v>3.95E-2</v>
      </c>
      <c r="J620">
        <v>0.89949999999999997</v>
      </c>
      <c r="K620">
        <v>0</v>
      </c>
      <c r="L620">
        <v>59.17</v>
      </c>
      <c r="M620">
        <v>9.9500000000000005E-2</v>
      </c>
      <c r="N620">
        <v>101.2968</v>
      </c>
      <c r="O620" t="s">
        <v>389</v>
      </c>
      <c r="Q620">
        <f t="shared" si="19"/>
        <v>66.180000000000007</v>
      </c>
      <c r="R620">
        <f>I620-(K620*Standards!$I$15)</f>
        <v>3.95E-2</v>
      </c>
      <c r="S620">
        <f t="shared" si="21"/>
        <v>3.7625000000000006E-2</v>
      </c>
      <c r="T620" t="s">
        <v>102</v>
      </c>
    </row>
    <row r="621" spans="1:20">
      <c r="A621">
        <v>17</v>
      </c>
      <c r="B621">
        <v>0</v>
      </c>
      <c r="C621">
        <v>4.2000000000000003E-2</v>
      </c>
      <c r="D621">
        <v>33.99</v>
      </c>
      <c r="E621">
        <v>7.6799999999999993E-2</v>
      </c>
      <c r="F621">
        <v>0</v>
      </c>
      <c r="G621">
        <v>0.28639999999999999</v>
      </c>
      <c r="H621">
        <v>9.9499999999999993</v>
      </c>
      <c r="I621">
        <v>0.1381</v>
      </c>
      <c r="J621">
        <v>0.46760000000000002</v>
      </c>
      <c r="K621">
        <v>0</v>
      </c>
      <c r="L621">
        <v>56.34</v>
      </c>
      <c r="M621">
        <v>0.1012</v>
      </c>
      <c r="N621">
        <v>101.3921</v>
      </c>
      <c r="O621" t="s">
        <v>281</v>
      </c>
      <c r="Q621">
        <f t="shared" si="19"/>
        <v>66.290000000000006</v>
      </c>
      <c r="R621">
        <f>I621-(K621*Standards!$I$15)</f>
        <v>0.1381</v>
      </c>
      <c r="S621">
        <f t="shared" si="21"/>
        <v>3.5095000000000001E-2</v>
      </c>
      <c r="T621" t="s">
        <v>102</v>
      </c>
    </row>
    <row r="622" spans="1:20">
      <c r="A622">
        <v>1</v>
      </c>
      <c r="B622">
        <v>0</v>
      </c>
      <c r="C622">
        <v>4.99E-2</v>
      </c>
      <c r="D622">
        <v>33.86</v>
      </c>
      <c r="E622">
        <v>9.4100000000000003E-2</v>
      </c>
      <c r="F622">
        <v>0</v>
      </c>
      <c r="G622">
        <v>0.2666</v>
      </c>
      <c r="H622">
        <v>9.0299999999999994</v>
      </c>
      <c r="I622">
        <v>0.32940000000000003</v>
      </c>
      <c r="J622">
        <v>1.75</v>
      </c>
      <c r="K622">
        <v>0</v>
      </c>
      <c r="L622">
        <v>56.05</v>
      </c>
      <c r="M622">
        <v>0.1173</v>
      </c>
      <c r="N622">
        <v>101.5472</v>
      </c>
      <c r="O622" t="s">
        <v>390</v>
      </c>
      <c r="Q622">
        <f t="shared" si="19"/>
        <v>65.08</v>
      </c>
      <c r="R622">
        <f>I622-(K622*Standards!$I$15)</f>
        <v>0.32940000000000003</v>
      </c>
      <c r="S622">
        <f t="shared" si="21"/>
        <v>3.3430000000000001E-2</v>
      </c>
      <c r="T622" t="s">
        <v>102</v>
      </c>
    </row>
    <row r="623" spans="1:20">
      <c r="A623">
        <v>6</v>
      </c>
      <c r="B623">
        <v>0</v>
      </c>
      <c r="C623">
        <v>3.04E-2</v>
      </c>
      <c r="D623">
        <v>34.04</v>
      </c>
      <c r="E623">
        <v>9.2799999999999994E-2</v>
      </c>
      <c r="F623">
        <v>0</v>
      </c>
      <c r="G623">
        <v>0.2482</v>
      </c>
      <c r="H623">
        <v>10.16</v>
      </c>
      <c r="I623">
        <v>0.10780000000000001</v>
      </c>
      <c r="J623">
        <v>0.4017</v>
      </c>
      <c r="K623">
        <v>0</v>
      </c>
      <c r="L623">
        <v>56.02</v>
      </c>
      <c r="M623">
        <v>8.1299999999999997E-2</v>
      </c>
      <c r="N623">
        <v>101.18210000000001</v>
      </c>
      <c r="O623" t="s">
        <v>390</v>
      </c>
      <c r="Q623">
        <f t="shared" si="19"/>
        <v>66.180000000000007</v>
      </c>
      <c r="R623">
        <f>I623-(K623*Standards!$I$15)</f>
        <v>0.10780000000000001</v>
      </c>
      <c r="S623">
        <f t="shared" si="21"/>
        <v>2.5009999999999998E-2</v>
      </c>
      <c r="T623" t="s">
        <v>102</v>
      </c>
    </row>
    <row r="624" spans="1:20">
      <c r="A624">
        <v>4</v>
      </c>
      <c r="B624">
        <v>3.3999999999999998E-3</v>
      </c>
      <c r="C624">
        <v>3.1699999999999999E-2</v>
      </c>
      <c r="D624">
        <v>33.86</v>
      </c>
      <c r="E624">
        <v>9.7600000000000006E-2</v>
      </c>
      <c r="F624">
        <v>0</v>
      </c>
      <c r="G624">
        <v>0.2457</v>
      </c>
      <c r="H624">
        <v>9.82</v>
      </c>
      <c r="I624">
        <v>0.13569999999999999</v>
      </c>
      <c r="J624">
        <v>0.91059999999999997</v>
      </c>
      <c r="K624">
        <v>0</v>
      </c>
      <c r="L624">
        <v>55.92</v>
      </c>
      <c r="M624">
        <v>9.6000000000000002E-2</v>
      </c>
      <c r="N624">
        <v>101.1206</v>
      </c>
      <c r="O624" t="s">
        <v>390</v>
      </c>
      <c r="Q624">
        <f t="shared" si="19"/>
        <v>65.740000000000009</v>
      </c>
      <c r="R624">
        <f>I624-(K624*Standards!$I$15)</f>
        <v>0.13569999999999999</v>
      </c>
      <c r="S624">
        <f t="shared" si="21"/>
        <v>2.4915E-2</v>
      </c>
      <c r="T624" t="s">
        <v>102</v>
      </c>
    </row>
    <row r="625" spans="1:31">
      <c r="A625">
        <v>2</v>
      </c>
      <c r="B625">
        <v>0</v>
      </c>
      <c r="C625">
        <v>3.9800000000000002E-2</v>
      </c>
      <c r="D625">
        <v>33.82</v>
      </c>
      <c r="E625">
        <v>8.8099999999999998E-2</v>
      </c>
      <c r="F625">
        <v>0</v>
      </c>
      <c r="G625">
        <v>0.248</v>
      </c>
      <c r="H625">
        <v>9.93</v>
      </c>
      <c r="I625">
        <v>0.25769999999999998</v>
      </c>
      <c r="J625">
        <v>1.17</v>
      </c>
      <c r="K625">
        <v>0</v>
      </c>
      <c r="L625">
        <v>55.34</v>
      </c>
      <c r="M625">
        <v>0.12280000000000001</v>
      </c>
      <c r="N625">
        <v>101.0163</v>
      </c>
      <c r="O625" t="s">
        <v>390</v>
      </c>
      <c r="Q625">
        <f t="shared" si="19"/>
        <v>65.27000000000001</v>
      </c>
      <c r="R625">
        <f>I625-(K625*Standards!$I$15)</f>
        <v>0.25769999999999998</v>
      </c>
      <c r="S625">
        <f t="shared" si="21"/>
        <v>2.6915000000000001E-2</v>
      </c>
      <c r="T625" t="s">
        <v>102</v>
      </c>
    </row>
    <row r="626" spans="1:31">
      <c r="A626">
        <v>3</v>
      </c>
      <c r="B626">
        <v>0</v>
      </c>
      <c r="C626">
        <v>4.3299999999999998E-2</v>
      </c>
      <c r="D626">
        <v>34</v>
      </c>
      <c r="E626">
        <v>9.7299999999999998E-2</v>
      </c>
      <c r="F626">
        <v>0</v>
      </c>
      <c r="G626">
        <v>0.25330000000000003</v>
      </c>
      <c r="H626">
        <v>9.66</v>
      </c>
      <c r="I626">
        <v>0.22020000000000001</v>
      </c>
      <c r="J626">
        <v>1.02</v>
      </c>
      <c r="K626">
        <v>0</v>
      </c>
      <c r="L626">
        <v>55.22</v>
      </c>
      <c r="M626">
        <v>0.1003</v>
      </c>
      <c r="N626">
        <v>100.6143</v>
      </c>
      <c r="O626" t="s">
        <v>390</v>
      </c>
      <c r="Q626">
        <f t="shared" si="19"/>
        <v>64.88</v>
      </c>
      <c r="R626">
        <f>I626-(K626*Standards!$I$15)</f>
        <v>0.22020000000000001</v>
      </c>
      <c r="S626">
        <f t="shared" si="21"/>
        <v>3.2289999999999999E-2</v>
      </c>
      <c r="T626" t="s">
        <v>102</v>
      </c>
    </row>
    <row r="627" spans="1:31">
      <c r="A627">
        <v>1</v>
      </c>
      <c r="B627">
        <v>0</v>
      </c>
      <c r="C627">
        <v>1.6799999999999999E-2</v>
      </c>
      <c r="D627">
        <v>34.46</v>
      </c>
      <c r="E627">
        <v>0.23830000000000001</v>
      </c>
      <c r="F627">
        <v>0</v>
      </c>
      <c r="G627">
        <v>0.44650000000000001</v>
      </c>
      <c r="H627">
        <v>13.29</v>
      </c>
      <c r="I627">
        <v>6.5500000000000003E-2</v>
      </c>
      <c r="J627">
        <v>2.7400000000000001E-2</v>
      </c>
      <c r="K627">
        <v>0</v>
      </c>
      <c r="L627">
        <v>51.85</v>
      </c>
      <c r="M627">
        <v>0.11849999999999999</v>
      </c>
      <c r="N627">
        <v>100.5129</v>
      </c>
      <c r="O627" t="s">
        <v>391</v>
      </c>
      <c r="Q627">
        <f t="shared" si="19"/>
        <v>65.14</v>
      </c>
      <c r="R627">
        <f>I627-(K627*Standards!$I$15)</f>
        <v>6.5500000000000003E-2</v>
      </c>
      <c r="S627">
        <f t="shared" si="21"/>
        <v>1.3524999999999999E-2</v>
      </c>
      <c r="T627" t="s">
        <v>60</v>
      </c>
      <c r="U627">
        <f>COUNT(R627:R649)</f>
        <v>23</v>
      </c>
      <c r="V627">
        <f>MAX(H627:H649)</f>
        <v>13.35</v>
      </c>
      <c r="W627">
        <f>AVERAGE(H627:H649)</f>
        <v>12.697826086956519</v>
      </c>
      <c r="X627">
        <f>MAX(J627:J649)</f>
        <v>0.12790000000000001</v>
      </c>
      <c r="Y627">
        <f>AVERAGE(J627:J649)</f>
        <v>6.8199999999999997E-2</v>
      </c>
      <c r="Z627">
        <f>10000*MAX(R627:R649)</f>
        <v>1241</v>
      </c>
      <c r="AA627">
        <f>10000*AVERAGE(R627:R649)</f>
        <v>891.21739130434776</v>
      </c>
      <c r="AB627">
        <f>10000*MAX(G627:G649)</f>
        <v>4771</v>
      </c>
      <c r="AC627">
        <f>10000*AVERAGE(G627:G649)</f>
        <v>4478.0434782608681</v>
      </c>
      <c r="AD627">
        <f>10000*MAX(S627:S649)</f>
        <v>395.15000000000003</v>
      </c>
      <c r="AE627">
        <f>10000*AVERAGE(S627:S649)</f>
        <v>219.7</v>
      </c>
    </row>
    <row r="628" spans="1:31">
      <c r="A628">
        <v>8</v>
      </c>
      <c r="B628">
        <v>0</v>
      </c>
      <c r="C628">
        <v>2.7E-2</v>
      </c>
      <c r="D628">
        <v>34.78</v>
      </c>
      <c r="E628">
        <v>0.216</v>
      </c>
      <c r="F628">
        <v>0</v>
      </c>
      <c r="G628">
        <v>0.47349999999999998</v>
      </c>
      <c r="H628">
        <v>13.2</v>
      </c>
      <c r="I628">
        <v>5.1400000000000001E-2</v>
      </c>
      <c r="J628">
        <v>0.04</v>
      </c>
      <c r="K628">
        <v>0</v>
      </c>
      <c r="L628">
        <v>51.95</v>
      </c>
      <c r="M628">
        <v>0.12330000000000001</v>
      </c>
      <c r="N628">
        <v>100.86109999999999</v>
      </c>
      <c r="O628" t="s">
        <v>391</v>
      </c>
      <c r="Q628">
        <f t="shared" si="19"/>
        <v>65.150000000000006</v>
      </c>
      <c r="R628">
        <f>I628-(K628*Standards!$I$15)</f>
        <v>5.1400000000000001E-2</v>
      </c>
      <c r="S628">
        <f t="shared" si="21"/>
        <v>2.443E-2</v>
      </c>
      <c r="T628" t="s">
        <v>60</v>
      </c>
    </row>
    <row r="629" spans="1:31">
      <c r="A629">
        <v>11</v>
      </c>
      <c r="B629">
        <v>0</v>
      </c>
      <c r="C629">
        <v>1.52E-2</v>
      </c>
      <c r="D629">
        <v>34.979999999999997</v>
      </c>
      <c r="E629">
        <v>0.20039999999999999</v>
      </c>
      <c r="F629">
        <v>0</v>
      </c>
      <c r="G629">
        <v>0.44569999999999999</v>
      </c>
      <c r="H629">
        <v>13.35</v>
      </c>
      <c r="I629">
        <v>6.9500000000000006E-2</v>
      </c>
      <c r="J629">
        <v>7.4399999999999994E-2</v>
      </c>
      <c r="K629">
        <v>0</v>
      </c>
      <c r="L629">
        <v>52.15</v>
      </c>
      <c r="M629">
        <v>0.1134</v>
      </c>
      <c r="N629">
        <v>101.3986</v>
      </c>
      <c r="O629" t="s">
        <v>391</v>
      </c>
      <c r="Q629">
        <f t="shared" si="19"/>
        <v>65.5</v>
      </c>
      <c r="R629">
        <f>I629-(K629*Standards!$I$15)</f>
        <v>6.9500000000000006E-2</v>
      </c>
      <c r="S629">
        <f t="shared" si="21"/>
        <v>1.1724999999999999E-2</v>
      </c>
      <c r="T629" t="s">
        <v>60</v>
      </c>
    </row>
    <row r="630" spans="1:31">
      <c r="A630">
        <v>5</v>
      </c>
      <c r="B630">
        <v>0</v>
      </c>
      <c r="C630">
        <v>1.78E-2</v>
      </c>
      <c r="D630">
        <v>34.700000000000003</v>
      </c>
      <c r="E630">
        <v>0.2034</v>
      </c>
      <c r="F630">
        <v>0</v>
      </c>
      <c r="G630">
        <v>0.44219999999999998</v>
      </c>
      <c r="H630">
        <v>12.87</v>
      </c>
      <c r="I630">
        <v>6.5799999999999997E-2</v>
      </c>
      <c r="J630">
        <v>0.10639999999999999</v>
      </c>
      <c r="K630">
        <v>0</v>
      </c>
      <c r="L630">
        <v>52.27</v>
      </c>
      <c r="M630">
        <v>0.13089999999999999</v>
      </c>
      <c r="N630">
        <v>100.8064</v>
      </c>
      <c r="O630" t="s">
        <v>391</v>
      </c>
      <c r="Q630">
        <f t="shared" si="19"/>
        <v>65.14</v>
      </c>
      <c r="R630">
        <f>I630-(K630*Standards!$I$15)</f>
        <v>6.5799999999999997E-2</v>
      </c>
      <c r="S630">
        <f t="shared" si="21"/>
        <v>1.451E-2</v>
      </c>
      <c r="T630" t="s">
        <v>60</v>
      </c>
    </row>
    <row r="631" spans="1:31">
      <c r="A631">
        <v>9</v>
      </c>
      <c r="B631">
        <v>0</v>
      </c>
      <c r="C631">
        <v>1.9800000000000002E-2</v>
      </c>
      <c r="D631">
        <v>34.67</v>
      </c>
      <c r="E631">
        <v>0.20119999999999999</v>
      </c>
      <c r="F631">
        <v>0</v>
      </c>
      <c r="G631">
        <v>0.4521</v>
      </c>
      <c r="H631">
        <v>13.06</v>
      </c>
      <c r="I631">
        <v>5.5599999999999997E-2</v>
      </c>
      <c r="J631">
        <v>3.5000000000000003E-2</v>
      </c>
      <c r="K631">
        <v>0</v>
      </c>
      <c r="L631">
        <v>52.36</v>
      </c>
      <c r="M631">
        <v>0.13589999999999999</v>
      </c>
      <c r="N631">
        <v>100.98950000000001</v>
      </c>
      <c r="O631" t="s">
        <v>391</v>
      </c>
      <c r="Q631">
        <f t="shared" si="19"/>
        <v>65.42</v>
      </c>
      <c r="R631">
        <f>I631-(K631*Standards!$I$15)</f>
        <v>5.5599999999999997E-2</v>
      </c>
      <c r="S631">
        <f t="shared" si="21"/>
        <v>1.702E-2</v>
      </c>
      <c r="T631" t="s">
        <v>60</v>
      </c>
    </row>
    <row r="632" spans="1:31">
      <c r="A632">
        <v>6</v>
      </c>
      <c r="B632">
        <v>0</v>
      </c>
      <c r="C632">
        <v>2.1000000000000001E-2</v>
      </c>
      <c r="D632">
        <v>34.700000000000003</v>
      </c>
      <c r="E632">
        <v>0.2077</v>
      </c>
      <c r="F632">
        <v>0</v>
      </c>
      <c r="G632">
        <v>0.44629999999999997</v>
      </c>
      <c r="H632">
        <v>13.26</v>
      </c>
      <c r="I632">
        <v>6.5199999999999994E-2</v>
      </c>
      <c r="J632">
        <v>4.48E-2</v>
      </c>
      <c r="K632">
        <v>0</v>
      </c>
      <c r="L632">
        <v>52.39</v>
      </c>
      <c r="M632">
        <v>0.1239</v>
      </c>
      <c r="N632">
        <v>101.2589</v>
      </c>
      <c r="O632" t="s">
        <v>391</v>
      </c>
      <c r="Q632">
        <f t="shared" si="19"/>
        <v>65.650000000000006</v>
      </c>
      <c r="R632">
        <f>I632-(K632*Standards!$I$15)</f>
        <v>6.5199999999999994E-2</v>
      </c>
      <c r="S632">
        <f t="shared" si="21"/>
        <v>1.7740000000000002E-2</v>
      </c>
      <c r="T632" t="s">
        <v>60</v>
      </c>
    </row>
    <row r="633" spans="1:31">
      <c r="A633">
        <v>7</v>
      </c>
      <c r="B633">
        <v>0</v>
      </c>
      <c r="C633">
        <v>1.3599999999999999E-2</v>
      </c>
      <c r="D633">
        <v>34.700000000000003</v>
      </c>
      <c r="E633">
        <v>0.2087</v>
      </c>
      <c r="F633">
        <v>0</v>
      </c>
      <c r="G633">
        <v>0.45390000000000003</v>
      </c>
      <c r="H633">
        <v>12.97</v>
      </c>
      <c r="I633">
        <v>6.9699999999999998E-2</v>
      </c>
      <c r="J633">
        <v>5.4199999999999998E-2</v>
      </c>
      <c r="K633">
        <v>0</v>
      </c>
      <c r="L633">
        <v>52.41</v>
      </c>
      <c r="M633">
        <v>0.1229</v>
      </c>
      <c r="N633">
        <v>101.0029</v>
      </c>
      <c r="O633" t="s">
        <v>391</v>
      </c>
      <c r="Q633">
        <f t="shared" si="19"/>
        <v>65.38</v>
      </c>
      <c r="R633">
        <f>I633-(K633*Standards!$I$15)</f>
        <v>6.9699999999999998E-2</v>
      </c>
      <c r="S633">
        <f t="shared" si="21"/>
        <v>1.0114999999999999E-2</v>
      </c>
      <c r="T633" t="s">
        <v>60</v>
      </c>
    </row>
    <row r="634" spans="1:31">
      <c r="A634">
        <v>10</v>
      </c>
      <c r="B634">
        <v>0</v>
      </c>
      <c r="C634">
        <v>1.3599999999999999E-2</v>
      </c>
      <c r="D634">
        <v>35.04</v>
      </c>
      <c r="E634">
        <v>0.22409999999999999</v>
      </c>
      <c r="F634">
        <v>0</v>
      </c>
      <c r="G634">
        <v>0.45860000000000001</v>
      </c>
      <c r="H634">
        <v>12.71</v>
      </c>
      <c r="I634">
        <v>6.59E-2</v>
      </c>
      <c r="J634">
        <v>3.3099999999999997E-2</v>
      </c>
      <c r="K634">
        <v>0</v>
      </c>
      <c r="L634">
        <v>52.71</v>
      </c>
      <c r="M634">
        <v>0.1353</v>
      </c>
      <c r="N634">
        <v>101.3905</v>
      </c>
      <c r="O634" t="s">
        <v>391</v>
      </c>
      <c r="Q634">
        <f t="shared" si="19"/>
        <v>65.42</v>
      </c>
      <c r="R634">
        <f>I634-(K634*Standards!$I$15)</f>
        <v>6.59E-2</v>
      </c>
      <c r="S634">
        <f t="shared" si="21"/>
        <v>1.0304999999999998E-2</v>
      </c>
      <c r="T634" t="s">
        <v>60</v>
      </c>
    </row>
    <row r="635" spans="1:31">
      <c r="A635">
        <v>4</v>
      </c>
      <c r="B635">
        <v>0</v>
      </c>
      <c r="C635">
        <v>2.18E-2</v>
      </c>
      <c r="D635">
        <v>34.799999999999997</v>
      </c>
      <c r="E635">
        <v>0.2157</v>
      </c>
      <c r="F635">
        <v>0</v>
      </c>
      <c r="G635">
        <v>0.43159999999999998</v>
      </c>
      <c r="H635">
        <v>12.59</v>
      </c>
      <c r="I635">
        <v>7.1599999999999997E-2</v>
      </c>
      <c r="J635">
        <v>8.7800000000000003E-2</v>
      </c>
      <c r="K635">
        <v>0</v>
      </c>
      <c r="L635">
        <v>52.81</v>
      </c>
      <c r="M635">
        <v>0.1037</v>
      </c>
      <c r="N635">
        <v>101.13209999999999</v>
      </c>
      <c r="O635" t="s">
        <v>391</v>
      </c>
      <c r="Q635">
        <f t="shared" si="19"/>
        <v>65.400000000000006</v>
      </c>
      <c r="R635">
        <f>I635-(K635*Standards!$I$15)</f>
        <v>7.1599999999999997E-2</v>
      </c>
      <c r="S635">
        <f t="shared" si="21"/>
        <v>1.822E-2</v>
      </c>
      <c r="T635" t="s">
        <v>60</v>
      </c>
    </row>
    <row r="636" spans="1:31">
      <c r="A636">
        <v>13</v>
      </c>
      <c r="B636">
        <v>0</v>
      </c>
      <c r="C636">
        <v>2.9100000000000001E-2</v>
      </c>
      <c r="D636">
        <v>34.86</v>
      </c>
      <c r="E636">
        <v>0.21249999999999999</v>
      </c>
      <c r="F636">
        <v>0</v>
      </c>
      <c r="G636">
        <v>0.43859999999999999</v>
      </c>
      <c r="H636">
        <v>12.44</v>
      </c>
      <c r="I636">
        <v>6.7799999999999999E-2</v>
      </c>
      <c r="J636">
        <v>4.9700000000000001E-2</v>
      </c>
      <c r="K636">
        <v>0</v>
      </c>
      <c r="L636">
        <v>52.85</v>
      </c>
      <c r="M636">
        <v>0.1242</v>
      </c>
      <c r="N636">
        <v>101.0718</v>
      </c>
      <c r="O636" t="s">
        <v>391</v>
      </c>
      <c r="Q636">
        <f t="shared" si="19"/>
        <v>65.290000000000006</v>
      </c>
      <c r="R636">
        <f>I636-(K636*Standards!$I$15)</f>
        <v>6.7799999999999999E-2</v>
      </c>
      <c r="S636">
        <f t="shared" si="21"/>
        <v>2.571E-2</v>
      </c>
      <c r="T636" t="s">
        <v>60</v>
      </c>
    </row>
    <row r="637" spans="1:31">
      <c r="A637">
        <v>3</v>
      </c>
      <c r="B637">
        <v>0</v>
      </c>
      <c r="C637">
        <v>2.5399999999999999E-2</v>
      </c>
      <c r="D637">
        <v>34.659999999999997</v>
      </c>
      <c r="E637">
        <v>0.1993</v>
      </c>
      <c r="F637">
        <v>0</v>
      </c>
      <c r="G637">
        <v>0.4274</v>
      </c>
      <c r="H637">
        <v>12.1</v>
      </c>
      <c r="I637">
        <v>7.4700000000000003E-2</v>
      </c>
      <c r="J637">
        <v>7.5600000000000001E-2</v>
      </c>
      <c r="K637">
        <v>0</v>
      </c>
      <c r="L637">
        <v>53.48</v>
      </c>
      <c r="M637">
        <v>0.1138</v>
      </c>
      <c r="N637">
        <v>101.1561</v>
      </c>
      <c r="O637" t="s">
        <v>391</v>
      </c>
      <c r="Q637">
        <f t="shared" si="19"/>
        <v>65.58</v>
      </c>
      <c r="R637">
        <f>I637-(K637*Standards!$I$15)</f>
        <v>7.4700000000000003E-2</v>
      </c>
      <c r="S637">
        <f t="shared" si="21"/>
        <v>2.1664999999999997E-2</v>
      </c>
      <c r="T637" t="s">
        <v>60</v>
      </c>
    </row>
    <row r="638" spans="1:31">
      <c r="A638">
        <v>2</v>
      </c>
      <c r="B638">
        <v>0</v>
      </c>
      <c r="C638">
        <v>2.4899999999999999E-2</v>
      </c>
      <c r="D638">
        <v>34.6</v>
      </c>
      <c r="E638">
        <v>0.2253</v>
      </c>
      <c r="F638">
        <v>0</v>
      </c>
      <c r="G638">
        <v>0.44529999999999997</v>
      </c>
      <c r="H638">
        <v>11.72</v>
      </c>
      <c r="I638">
        <v>7.8200000000000006E-2</v>
      </c>
      <c r="J638">
        <v>4.3799999999999999E-2</v>
      </c>
      <c r="K638">
        <v>0</v>
      </c>
      <c r="L638">
        <v>54.03</v>
      </c>
      <c r="M638">
        <v>0.12820000000000001</v>
      </c>
      <c r="N638">
        <v>101.29559999999999</v>
      </c>
      <c r="O638" t="s">
        <v>391</v>
      </c>
      <c r="Q638">
        <f t="shared" si="19"/>
        <v>65.75</v>
      </c>
      <c r="R638">
        <f>I638-(K638*Standards!$I$15)</f>
        <v>7.8200000000000006E-2</v>
      </c>
      <c r="S638">
        <f t="shared" si="21"/>
        <v>2.0989999999999998E-2</v>
      </c>
      <c r="T638" t="s">
        <v>60</v>
      </c>
    </row>
    <row r="639" spans="1:31">
      <c r="A639">
        <v>23</v>
      </c>
      <c r="B639">
        <v>0</v>
      </c>
      <c r="C639">
        <v>2.9399999999999999E-2</v>
      </c>
      <c r="D639">
        <v>34.43</v>
      </c>
      <c r="E639">
        <v>0.20780000000000001</v>
      </c>
      <c r="F639">
        <v>0</v>
      </c>
      <c r="G639">
        <v>0.44600000000000001</v>
      </c>
      <c r="H639">
        <v>12.99</v>
      </c>
      <c r="I639">
        <v>0.1147</v>
      </c>
      <c r="J639">
        <v>9.2100000000000001E-2</v>
      </c>
      <c r="K639">
        <v>0</v>
      </c>
      <c r="L639">
        <v>51.75</v>
      </c>
      <c r="M639">
        <v>0.12529999999999999</v>
      </c>
      <c r="N639">
        <v>100.18519999999999</v>
      </c>
      <c r="O639" t="s">
        <v>288</v>
      </c>
      <c r="Q639">
        <f t="shared" si="19"/>
        <v>64.739999999999995</v>
      </c>
      <c r="R639">
        <f>I639-(K639*Standards!$I$15)</f>
        <v>0.1147</v>
      </c>
      <c r="S639">
        <f t="shared" si="21"/>
        <v>2.3664999999999999E-2</v>
      </c>
      <c r="T639" t="s">
        <v>60</v>
      </c>
    </row>
    <row r="640" spans="1:31">
      <c r="A640">
        <v>26</v>
      </c>
      <c r="B640">
        <v>0</v>
      </c>
      <c r="C640">
        <v>3.4799999999999998E-2</v>
      </c>
      <c r="D640">
        <v>34.47</v>
      </c>
      <c r="E640">
        <v>0.19919999999999999</v>
      </c>
      <c r="F640">
        <v>0</v>
      </c>
      <c r="G640">
        <v>0.44869999999999999</v>
      </c>
      <c r="H640">
        <v>13.06</v>
      </c>
      <c r="I640">
        <v>0.10920000000000001</v>
      </c>
      <c r="J640">
        <v>8.1799999999999998E-2</v>
      </c>
      <c r="K640">
        <v>0</v>
      </c>
      <c r="L640">
        <v>51.91</v>
      </c>
      <c r="M640">
        <v>0.1188</v>
      </c>
      <c r="N640">
        <v>100.4324</v>
      </c>
      <c r="O640" t="s">
        <v>288</v>
      </c>
      <c r="Q640">
        <f t="shared" si="19"/>
        <v>64.97</v>
      </c>
      <c r="R640">
        <f>I640-(K640*Standards!$I$15)</f>
        <v>0.10920000000000001</v>
      </c>
      <c r="S640">
        <f t="shared" si="21"/>
        <v>2.9339999999999998E-2</v>
      </c>
      <c r="T640" t="s">
        <v>60</v>
      </c>
    </row>
    <row r="641" spans="1:31">
      <c r="A641">
        <v>31</v>
      </c>
      <c r="B641">
        <v>0</v>
      </c>
      <c r="C641">
        <v>2.6800000000000001E-2</v>
      </c>
      <c r="D641">
        <v>34.75</v>
      </c>
      <c r="E641">
        <v>0.2016</v>
      </c>
      <c r="F641">
        <v>0</v>
      </c>
      <c r="G641">
        <v>0.4501</v>
      </c>
      <c r="H641">
        <v>12.88</v>
      </c>
      <c r="I641">
        <v>0.1081</v>
      </c>
      <c r="J641">
        <v>9.6199999999999994E-2</v>
      </c>
      <c r="K641">
        <v>0</v>
      </c>
      <c r="L641">
        <v>52.03</v>
      </c>
      <c r="M641">
        <v>0.1212</v>
      </c>
      <c r="N641">
        <v>100.6639</v>
      </c>
      <c r="O641" t="s">
        <v>288</v>
      </c>
      <c r="Q641">
        <f t="shared" si="19"/>
        <v>64.91</v>
      </c>
      <c r="R641">
        <f>I641-(K641*Standards!$I$15)</f>
        <v>0.1081</v>
      </c>
      <c r="S641">
        <f t="shared" si="21"/>
        <v>2.1395000000000001E-2</v>
      </c>
      <c r="T641" t="s">
        <v>60</v>
      </c>
    </row>
    <row r="642" spans="1:31">
      <c r="A642">
        <v>38</v>
      </c>
      <c r="B642">
        <v>0</v>
      </c>
      <c r="C642">
        <v>2.9899999999999999E-2</v>
      </c>
      <c r="D642">
        <v>34.35</v>
      </c>
      <c r="E642">
        <v>0.1925</v>
      </c>
      <c r="F642">
        <v>0</v>
      </c>
      <c r="G642">
        <v>0.434</v>
      </c>
      <c r="H642">
        <v>12.97</v>
      </c>
      <c r="I642">
        <v>0.1086</v>
      </c>
      <c r="J642">
        <v>8.7499999999999994E-2</v>
      </c>
      <c r="K642">
        <v>0</v>
      </c>
      <c r="L642">
        <v>52.17</v>
      </c>
      <c r="M642">
        <v>0.13270000000000001</v>
      </c>
      <c r="N642">
        <v>100.4751</v>
      </c>
      <c r="O642" t="s">
        <v>288</v>
      </c>
      <c r="Q642">
        <f t="shared" si="19"/>
        <v>65.14</v>
      </c>
      <c r="R642">
        <f>I642-(K642*Standards!$I$15)</f>
        <v>0.1086</v>
      </c>
      <c r="S642">
        <f t="shared" si="21"/>
        <v>2.4469999999999999E-2</v>
      </c>
      <c r="T642" t="s">
        <v>60</v>
      </c>
    </row>
    <row r="643" spans="1:31">
      <c r="A643">
        <v>28</v>
      </c>
      <c r="B643">
        <v>0</v>
      </c>
      <c r="C643">
        <v>2.8500000000000001E-2</v>
      </c>
      <c r="D643">
        <v>34.479999999999997</v>
      </c>
      <c r="E643">
        <v>0.19439999999999999</v>
      </c>
      <c r="F643">
        <v>0</v>
      </c>
      <c r="G643">
        <v>0.43909999999999999</v>
      </c>
      <c r="H643">
        <v>12.77</v>
      </c>
      <c r="I643">
        <v>0.1142</v>
      </c>
      <c r="J643">
        <v>6.7500000000000004E-2</v>
      </c>
      <c r="K643">
        <v>0</v>
      </c>
      <c r="L643">
        <v>52.34</v>
      </c>
      <c r="M643">
        <v>0.13200000000000001</v>
      </c>
      <c r="N643">
        <v>100.56570000000001</v>
      </c>
      <c r="O643" t="s">
        <v>288</v>
      </c>
      <c r="Q643">
        <f t="shared" ref="Q643:Q649" si="22">H643+L643</f>
        <v>65.11</v>
      </c>
      <c r="R643">
        <f>I643-(K643*Standards!$I$15)</f>
        <v>0.1142</v>
      </c>
      <c r="S643">
        <f t="shared" si="21"/>
        <v>2.2790000000000001E-2</v>
      </c>
      <c r="T643" t="s">
        <v>60</v>
      </c>
    </row>
    <row r="644" spans="1:31">
      <c r="A644">
        <v>36</v>
      </c>
      <c r="B644">
        <v>0</v>
      </c>
      <c r="C644">
        <v>2.6599999999999999E-2</v>
      </c>
      <c r="D644">
        <v>34.06</v>
      </c>
      <c r="E644">
        <v>0.19869999999999999</v>
      </c>
      <c r="F644">
        <v>0</v>
      </c>
      <c r="G644">
        <v>0.44359999999999999</v>
      </c>
      <c r="H644">
        <v>12.5</v>
      </c>
      <c r="I644">
        <v>0.1144</v>
      </c>
      <c r="J644">
        <v>6.8699999999999997E-2</v>
      </c>
      <c r="K644">
        <v>0</v>
      </c>
      <c r="L644">
        <v>52.41</v>
      </c>
      <c r="M644">
        <v>0.10730000000000001</v>
      </c>
      <c r="N644">
        <v>99.929400000000001</v>
      </c>
      <c r="O644" t="s">
        <v>288</v>
      </c>
      <c r="Q644">
        <f t="shared" si="22"/>
        <v>64.91</v>
      </c>
      <c r="R644">
        <f>I644-(K644*Standards!$I$15)</f>
        <v>0.1144</v>
      </c>
      <c r="S644">
        <f t="shared" si="21"/>
        <v>2.0879999999999999E-2</v>
      </c>
      <c r="T644" t="s">
        <v>60</v>
      </c>
    </row>
    <row r="645" spans="1:31">
      <c r="A645">
        <v>34</v>
      </c>
      <c r="B645">
        <v>0</v>
      </c>
      <c r="C645">
        <v>4.5400000000000003E-2</v>
      </c>
      <c r="D645">
        <v>34.479999999999997</v>
      </c>
      <c r="E645">
        <v>0.2024</v>
      </c>
      <c r="F645">
        <v>0</v>
      </c>
      <c r="G645">
        <v>0.43690000000000001</v>
      </c>
      <c r="H645">
        <v>12.69</v>
      </c>
      <c r="I645">
        <v>0.1177</v>
      </c>
      <c r="J645">
        <v>6.8599999999999994E-2</v>
      </c>
      <c r="K645">
        <v>0</v>
      </c>
      <c r="L645">
        <v>52.61</v>
      </c>
      <c r="M645">
        <v>0.10730000000000001</v>
      </c>
      <c r="N645">
        <v>100.7582</v>
      </c>
      <c r="O645" t="s">
        <v>288</v>
      </c>
      <c r="Q645">
        <f t="shared" si="22"/>
        <v>65.3</v>
      </c>
      <c r="R645">
        <f>I645-(K645*Standards!$I$15)</f>
        <v>0.1177</v>
      </c>
      <c r="S645">
        <f t="shared" si="21"/>
        <v>3.9515000000000002E-2</v>
      </c>
      <c r="T645" t="s">
        <v>60</v>
      </c>
    </row>
    <row r="646" spans="1:31">
      <c r="A646">
        <v>32</v>
      </c>
      <c r="B646">
        <v>0</v>
      </c>
      <c r="C646">
        <v>4.1700000000000001E-2</v>
      </c>
      <c r="D646">
        <v>34.44</v>
      </c>
      <c r="E646">
        <v>0.19980000000000001</v>
      </c>
      <c r="F646">
        <v>0</v>
      </c>
      <c r="G646">
        <v>0.45150000000000001</v>
      </c>
      <c r="H646">
        <v>12.47</v>
      </c>
      <c r="I646">
        <v>0.1177</v>
      </c>
      <c r="J646">
        <v>7.4399999999999994E-2</v>
      </c>
      <c r="K646">
        <v>0</v>
      </c>
      <c r="L646">
        <v>52.92</v>
      </c>
      <c r="M646">
        <v>9.2700000000000005E-2</v>
      </c>
      <c r="N646">
        <v>100.8077</v>
      </c>
      <c r="O646" t="s">
        <v>288</v>
      </c>
      <c r="Q646">
        <f t="shared" si="22"/>
        <v>65.39</v>
      </c>
      <c r="R646">
        <f>I646-(K646*Standards!$I$15)</f>
        <v>0.1177</v>
      </c>
      <c r="S646">
        <f t="shared" si="21"/>
        <v>3.5815E-2</v>
      </c>
      <c r="T646" t="s">
        <v>60</v>
      </c>
    </row>
    <row r="647" spans="1:31">
      <c r="A647">
        <v>22</v>
      </c>
      <c r="B647">
        <v>0</v>
      </c>
      <c r="C647">
        <v>3.3300000000000003E-2</v>
      </c>
      <c r="D647">
        <v>34.380000000000003</v>
      </c>
      <c r="E647">
        <v>0.2011</v>
      </c>
      <c r="F647">
        <v>0</v>
      </c>
      <c r="G647">
        <v>0.4738</v>
      </c>
      <c r="H647">
        <v>12.06</v>
      </c>
      <c r="I647">
        <v>0.1099</v>
      </c>
      <c r="J647">
        <v>6.3799999999999996E-2</v>
      </c>
      <c r="K647">
        <v>0</v>
      </c>
      <c r="L647">
        <v>53.05</v>
      </c>
      <c r="M647">
        <v>0.13339999999999999</v>
      </c>
      <c r="N647">
        <v>100.5052</v>
      </c>
      <c r="O647" t="s">
        <v>288</v>
      </c>
      <c r="Q647">
        <f t="shared" si="22"/>
        <v>65.11</v>
      </c>
      <c r="R647">
        <f>I647-(K647*Standards!$I$15)</f>
        <v>0.1099</v>
      </c>
      <c r="S647">
        <f t="shared" si="21"/>
        <v>2.7805000000000003E-2</v>
      </c>
      <c r="T647" t="s">
        <v>60</v>
      </c>
    </row>
    <row r="648" spans="1:31">
      <c r="A648">
        <v>37</v>
      </c>
      <c r="B648">
        <v>0</v>
      </c>
      <c r="C648">
        <v>2.9600000000000001E-2</v>
      </c>
      <c r="D648">
        <v>34.43</v>
      </c>
      <c r="E648">
        <v>0.1933</v>
      </c>
      <c r="F648">
        <v>0</v>
      </c>
      <c r="G648">
        <v>0.437</v>
      </c>
      <c r="H648">
        <v>12.15</v>
      </c>
      <c r="I648">
        <v>0.1103</v>
      </c>
      <c r="J648">
        <v>6.7900000000000002E-2</v>
      </c>
      <c r="K648">
        <v>0</v>
      </c>
      <c r="L648">
        <v>53.07</v>
      </c>
      <c r="M648">
        <v>0.1234</v>
      </c>
      <c r="N648">
        <v>100.6114</v>
      </c>
      <c r="O648" t="s">
        <v>288</v>
      </c>
      <c r="Q648">
        <f t="shared" si="22"/>
        <v>65.22</v>
      </c>
      <c r="R648">
        <f>I648-(K648*Standards!$I$15)</f>
        <v>0.1103</v>
      </c>
      <c r="S648">
        <f t="shared" si="21"/>
        <v>2.4085000000000002E-2</v>
      </c>
      <c r="T648" t="s">
        <v>60</v>
      </c>
    </row>
    <row r="649" spans="1:31">
      <c r="A649">
        <v>27</v>
      </c>
      <c r="B649">
        <v>0</v>
      </c>
      <c r="C649">
        <v>3.5799999999999998E-2</v>
      </c>
      <c r="D649">
        <v>34.31</v>
      </c>
      <c r="E649">
        <v>0.20760000000000001</v>
      </c>
      <c r="F649">
        <v>0</v>
      </c>
      <c r="G649">
        <v>0.47710000000000002</v>
      </c>
      <c r="H649">
        <v>11.95</v>
      </c>
      <c r="I649">
        <v>0.1241</v>
      </c>
      <c r="J649">
        <v>0.12790000000000001</v>
      </c>
      <c r="K649">
        <v>0</v>
      </c>
      <c r="L649">
        <v>53.25</v>
      </c>
      <c r="M649">
        <v>0.1263</v>
      </c>
      <c r="N649">
        <v>100.6087</v>
      </c>
      <c r="O649" t="s">
        <v>288</v>
      </c>
      <c r="Q649">
        <f t="shared" si="22"/>
        <v>65.2</v>
      </c>
      <c r="R649">
        <f>I649-(K649*Standards!$I$15)</f>
        <v>0.1241</v>
      </c>
      <c r="S649">
        <f t="shared" si="21"/>
        <v>2.9594999999999996E-2</v>
      </c>
      <c r="T649" t="s">
        <v>60</v>
      </c>
    </row>
    <row r="650" spans="1:31">
      <c r="A650">
        <v>39</v>
      </c>
      <c r="B650">
        <v>1E-4</v>
      </c>
      <c r="C650">
        <v>5.4399999999999997E-2</v>
      </c>
      <c r="D650">
        <v>34.04</v>
      </c>
      <c r="E650">
        <v>0.1363</v>
      </c>
      <c r="F650">
        <v>3.3999999999999998E-3</v>
      </c>
      <c r="G650">
        <v>0.38109999999999999</v>
      </c>
      <c r="H650">
        <v>6.55</v>
      </c>
      <c r="I650">
        <v>2.8E-3</v>
      </c>
      <c r="J650">
        <v>0</v>
      </c>
      <c r="K650">
        <v>0</v>
      </c>
      <c r="L650">
        <v>59.23</v>
      </c>
      <c r="M650">
        <v>0.1123</v>
      </c>
      <c r="N650">
        <v>100.5103</v>
      </c>
      <c r="O650" t="s">
        <v>392</v>
      </c>
      <c r="Q650">
        <f t="shared" ref="Q650:Q681" si="23">H650+L650</f>
        <v>65.78</v>
      </c>
      <c r="R650">
        <f>I650-(K650*Standards!$I$15)</f>
        <v>2.8E-3</v>
      </c>
      <c r="S650">
        <f t="shared" ref="S650:S681" si="24">C650-(I650*0.05)</f>
        <v>5.4259999999999996E-2</v>
      </c>
      <c r="T650" t="s">
        <v>290</v>
      </c>
      <c r="U650">
        <f>COUNT(R650:R670)</f>
        <v>21</v>
      </c>
      <c r="V650">
        <f>MAX(H650:H670)</f>
        <v>8.26</v>
      </c>
      <c r="W650">
        <f>AVERAGE(H650:H670)</f>
        <v>7.1376190476190455</v>
      </c>
      <c r="X650">
        <f>MAX(J650:J670)</f>
        <v>1.1299999999999999</v>
      </c>
      <c r="Y650">
        <f>AVERAGE(J650:J670)</f>
        <v>0.10785238095238095</v>
      </c>
      <c r="Z650">
        <f>10000*MAX(R650:R670)</f>
        <v>28.999999999999996</v>
      </c>
      <c r="AA650">
        <f>10000*AVERAGE(R650:R670)</f>
        <v>6.4424452380952371</v>
      </c>
      <c r="AB650">
        <f>10000*MAX(G650:G670)</f>
        <v>4055.0000000000005</v>
      </c>
      <c r="AC650">
        <f>10000*AVERAGE(G650:G670)</f>
        <v>3573.1428571428582</v>
      </c>
      <c r="AD650">
        <f>10000*MAX(S650:S670)</f>
        <v>553.65</v>
      </c>
      <c r="AE650">
        <f>10000*AVERAGE(S650:S670)</f>
        <v>370.69285714285724</v>
      </c>
    </row>
    <row r="651" spans="1:31">
      <c r="A651">
        <v>54</v>
      </c>
      <c r="B651">
        <v>0</v>
      </c>
      <c r="C651">
        <v>3.2800000000000003E-2</v>
      </c>
      <c r="D651">
        <v>34.090000000000003</v>
      </c>
      <c r="E651">
        <v>0.12139999999999999</v>
      </c>
      <c r="F651">
        <v>0</v>
      </c>
      <c r="G651">
        <v>0.35139999999999999</v>
      </c>
      <c r="H651">
        <v>6.33</v>
      </c>
      <c r="I651">
        <v>0</v>
      </c>
      <c r="J651">
        <v>0</v>
      </c>
      <c r="K651">
        <v>0</v>
      </c>
      <c r="L651">
        <v>59.12</v>
      </c>
      <c r="M651">
        <v>0.1207</v>
      </c>
      <c r="N651">
        <v>100.1662</v>
      </c>
      <c r="O651" t="s">
        <v>392</v>
      </c>
      <c r="Q651">
        <f t="shared" si="23"/>
        <v>65.45</v>
      </c>
      <c r="R651">
        <f>I651-(K651*Standards!$I$15)</f>
        <v>0</v>
      </c>
      <c r="S651">
        <f t="shared" si="24"/>
        <v>3.2800000000000003E-2</v>
      </c>
      <c r="T651" t="s">
        <v>290</v>
      </c>
    </row>
    <row r="652" spans="1:31">
      <c r="A652">
        <v>53</v>
      </c>
      <c r="B652">
        <v>0</v>
      </c>
      <c r="C652">
        <v>4.7300000000000002E-2</v>
      </c>
      <c r="D652">
        <v>33.94</v>
      </c>
      <c r="E652">
        <v>0.11940000000000001</v>
      </c>
      <c r="F652">
        <v>0</v>
      </c>
      <c r="G652">
        <v>0.33250000000000002</v>
      </c>
      <c r="H652">
        <v>6.07</v>
      </c>
      <c r="I652">
        <v>0</v>
      </c>
      <c r="J652">
        <v>1.5900000000000001E-2</v>
      </c>
      <c r="K652">
        <v>0</v>
      </c>
      <c r="L652">
        <v>58.98</v>
      </c>
      <c r="M652">
        <v>0.1179</v>
      </c>
      <c r="N652">
        <v>99.623000000000005</v>
      </c>
      <c r="O652" t="s">
        <v>392</v>
      </c>
      <c r="Q652">
        <f t="shared" si="23"/>
        <v>65.05</v>
      </c>
      <c r="R652">
        <f>I652-(K652*Standards!$I$15)</f>
        <v>0</v>
      </c>
      <c r="S652">
        <f t="shared" si="24"/>
        <v>4.7300000000000002E-2</v>
      </c>
      <c r="T652" t="s">
        <v>290</v>
      </c>
    </row>
    <row r="653" spans="1:31">
      <c r="A653">
        <v>57</v>
      </c>
      <c r="B653">
        <v>0</v>
      </c>
      <c r="C653">
        <v>4.1000000000000002E-2</v>
      </c>
      <c r="D653">
        <v>34.03</v>
      </c>
      <c r="E653">
        <v>0.1031</v>
      </c>
      <c r="F653">
        <v>3.0999999999999999E-3</v>
      </c>
      <c r="G653">
        <v>0.32369999999999999</v>
      </c>
      <c r="H653">
        <v>7.04</v>
      </c>
      <c r="I653">
        <v>0</v>
      </c>
      <c r="J653">
        <v>0</v>
      </c>
      <c r="K653">
        <v>0</v>
      </c>
      <c r="L653">
        <v>58.86</v>
      </c>
      <c r="M653">
        <v>0.12130000000000001</v>
      </c>
      <c r="N653">
        <v>100.52209999999999</v>
      </c>
      <c r="O653" t="s">
        <v>392</v>
      </c>
      <c r="Q653">
        <f t="shared" si="23"/>
        <v>65.900000000000006</v>
      </c>
      <c r="R653">
        <f>I653-(K653*Standards!$I$15)</f>
        <v>0</v>
      </c>
      <c r="S653">
        <f t="shared" si="24"/>
        <v>4.1000000000000002E-2</v>
      </c>
      <c r="T653" t="s">
        <v>290</v>
      </c>
    </row>
    <row r="654" spans="1:31">
      <c r="A654">
        <v>58</v>
      </c>
      <c r="B654">
        <v>0</v>
      </c>
      <c r="C654">
        <v>5.1499999999999997E-2</v>
      </c>
      <c r="D654">
        <v>33.92</v>
      </c>
      <c r="E654">
        <v>0.1144</v>
      </c>
      <c r="F654">
        <v>0</v>
      </c>
      <c r="G654">
        <v>0.33029999999999998</v>
      </c>
      <c r="H654">
        <v>6.52</v>
      </c>
      <c r="I654">
        <v>0</v>
      </c>
      <c r="J654">
        <v>5.1000000000000004E-3</v>
      </c>
      <c r="K654">
        <v>0</v>
      </c>
      <c r="L654">
        <v>58.85</v>
      </c>
      <c r="M654">
        <v>0.12670000000000001</v>
      </c>
      <c r="N654">
        <v>99.918000000000006</v>
      </c>
      <c r="O654" t="s">
        <v>392</v>
      </c>
      <c r="Q654">
        <f t="shared" si="23"/>
        <v>65.37</v>
      </c>
      <c r="R654">
        <f>I654-(K654*Standards!$I$15)</f>
        <v>0</v>
      </c>
      <c r="S654">
        <f t="shared" si="24"/>
        <v>5.1499999999999997E-2</v>
      </c>
      <c r="T654" t="s">
        <v>290</v>
      </c>
    </row>
    <row r="655" spans="1:31">
      <c r="A655">
        <v>40</v>
      </c>
      <c r="B655">
        <v>4.4000000000000003E-3</v>
      </c>
      <c r="C655">
        <v>0.05</v>
      </c>
      <c r="D655">
        <v>34.020000000000003</v>
      </c>
      <c r="E655">
        <v>0.1497</v>
      </c>
      <c r="F655">
        <v>0</v>
      </c>
      <c r="G655">
        <v>0.40550000000000003</v>
      </c>
      <c r="H655">
        <v>6.76</v>
      </c>
      <c r="I655">
        <v>1.1000000000000001E-3</v>
      </c>
      <c r="J655">
        <v>0</v>
      </c>
      <c r="K655">
        <v>0</v>
      </c>
      <c r="L655">
        <v>58.54</v>
      </c>
      <c r="M655">
        <v>0.1159</v>
      </c>
      <c r="N655">
        <v>100.04649999999999</v>
      </c>
      <c r="O655" t="s">
        <v>392</v>
      </c>
      <c r="Q655">
        <f t="shared" si="23"/>
        <v>65.3</v>
      </c>
      <c r="R655">
        <f>I655-(K655*Standards!$I$15)</f>
        <v>1.1000000000000001E-3</v>
      </c>
      <c r="S655">
        <f t="shared" si="24"/>
        <v>4.9945000000000003E-2</v>
      </c>
      <c r="T655" t="s">
        <v>290</v>
      </c>
    </row>
    <row r="656" spans="1:31">
      <c r="A656">
        <v>38</v>
      </c>
      <c r="B656">
        <v>0</v>
      </c>
      <c r="C656">
        <v>2.4500000000000001E-2</v>
      </c>
      <c r="D656">
        <v>34.090000000000003</v>
      </c>
      <c r="E656">
        <v>0.1179</v>
      </c>
      <c r="F656">
        <v>0</v>
      </c>
      <c r="G656">
        <v>0.3584</v>
      </c>
      <c r="H656">
        <v>6.82</v>
      </c>
      <c r="I656">
        <v>0</v>
      </c>
      <c r="J656">
        <v>2.1600000000000001E-2</v>
      </c>
      <c r="K656">
        <v>0</v>
      </c>
      <c r="L656">
        <v>58.51</v>
      </c>
      <c r="M656">
        <v>0.1118</v>
      </c>
      <c r="N656">
        <v>100.05410000000001</v>
      </c>
      <c r="O656" t="s">
        <v>392</v>
      </c>
      <c r="Q656">
        <f t="shared" si="23"/>
        <v>65.33</v>
      </c>
      <c r="R656">
        <f>I656-(K656*Standards!$I$15)</f>
        <v>0</v>
      </c>
      <c r="S656">
        <f t="shared" si="24"/>
        <v>2.4500000000000001E-2</v>
      </c>
      <c r="T656" t="s">
        <v>290</v>
      </c>
    </row>
    <row r="657" spans="1:31">
      <c r="A657">
        <v>37</v>
      </c>
      <c r="B657">
        <v>3.0499999999999999E-2</v>
      </c>
      <c r="C657">
        <v>2.7099999999999999E-2</v>
      </c>
      <c r="D657">
        <v>33.99</v>
      </c>
      <c r="E657">
        <v>0.12529999999999999</v>
      </c>
      <c r="F657">
        <v>0</v>
      </c>
      <c r="G657">
        <v>0.35149999999999998</v>
      </c>
      <c r="H657">
        <v>7.26</v>
      </c>
      <c r="I657">
        <v>0</v>
      </c>
      <c r="J657">
        <v>0</v>
      </c>
      <c r="K657">
        <v>0</v>
      </c>
      <c r="L657">
        <v>58.44</v>
      </c>
      <c r="M657">
        <v>8.9099999999999999E-2</v>
      </c>
      <c r="N657">
        <v>100.3134</v>
      </c>
      <c r="O657" t="s">
        <v>392</v>
      </c>
      <c r="Q657">
        <f t="shared" si="23"/>
        <v>65.7</v>
      </c>
      <c r="R657">
        <f>I657-(K657*Standards!$I$15)</f>
        <v>0</v>
      </c>
      <c r="S657">
        <f t="shared" si="24"/>
        <v>2.7099999999999999E-2</v>
      </c>
      <c r="T657" t="s">
        <v>290</v>
      </c>
    </row>
    <row r="658" spans="1:31">
      <c r="A658">
        <v>51</v>
      </c>
      <c r="B658">
        <v>0</v>
      </c>
      <c r="C658">
        <v>4.6699999999999998E-2</v>
      </c>
      <c r="D658">
        <v>34.049999999999997</v>
      </c>
      <c r="E658">
        <v>0.13200000000000001</v>
      </c>
      <c r="F658">
        <v>0</v>
      </c>
      <c r="G658">
        <v>0.3609</v>
      </c>
      <c r="H658">
        <v>6.6</v>
      </c>
      <c r="I658">
        <v>6.9999999999999999E-4</v>
      </c>
      <c r="J658">
        <v>0</v>
      </c>
      <c r="K658">
        <v>0</v>
      </c>
      <c r="L658">
        <v>58.35</v>
      </c>
      <c r="M658">
        <v>9.8400000000000001E-2</v>
      </c>
      <c r="N658">
        <v>99.6387</v>
      </c>
      <c r="O658" t="s">
        <v>392</v>
      </c>
      <c r="Q658">
        <f t="shared" si="23"/>
        <v>64.95</v>
      </c>
      <c r="R658">
        <f>I658-(K658*Standards!$I$15)</f>
        <v>6.9999999999999999E-4</v>
      </c>
      <c r="S658">
        <f t="shared" si="24"/>
        <v>4.6664999999999998E-2</v>
      </c>
      <c r="T658" t="s">
        <v>290</v>
      </c>
    </row>
    <row r="659" spans="1:31">
      <c r="A659">
        <v>52</v>
      </c>
      <c r="B659">
        <v>0</v>
      </c>
      <c r="C659">
        <v>3.4200000000000001E-2</v>
      </c>
      <c r="D659">
        <v>33.93</v>
      </c>
      <c r="E659">
        <v>0.112</v>
      </c>
      <c r="F659">
        <v>0</v>
      </c>
      <c r="G659">
        <v>0.34799999999999998</v>
      </c>
      <c r="H659">
        <v>6.74</v>
      </c>
      <c r="I659">
        <v>0</v>
      </c>
      <c r="J659">
        <v>0</v>
      </c>
      <c r="K659">
        <v>0</v>
      </c>
      <c r="L659">
        <v>58.32</v>
      </c>
      <c r="M659">
        <v>0.10730000000000001</v>
      </c>
      <c r="N659">
        <v>99.5916</v>
      </c>
      <c r="O659" t="s">
        <v>392</v>
      </c>
      <c r="Q659">
        <f t="shared" si="23"/>
        <v>65.06</v>
      </c>
      <c r="R659">
        <f>I659-(K659*Standards!$I$15)</f>
        <v>0</v>
      </c>
      <c r="S659">
        <f t="shared" si="24"/>
        <v>3.4200000000000001E-2</v>
      </c>
      <c r="T659" t="s">
        <v>290</v>
      </c>
    </row>
    <row r="660" spans="1:31">
      <c r="A660">
        <v>55</v>
      </c>
      <c r="B660">
        <v>0</v>
      </c>
      <c r="C660">
        <v>4.4600000000000001E-2</v>
      </c>
      <c r="D660">
        <v>34.29</v>
      </c>
      <c r="E660">
        <v>0.1133</v>
      </c>
      <c r="F660">
        <v>0</v>
      </c>
      <c r="G660">
        <v>0.33650000000000002</v>
      </c>
      <c r="H660">
        <v>6.66</v>
      </c>
      <c r="I660">
        <v>1.1999999999999999E-3</v>
      </c>
      <c r="J660">
        <v>0</v>
      </c>
      <c r="K660">
        <v>0</v>
      </c>
      <c r="L660">
        <v>58.28</v>
      </c>
      <c r="M660">
        <v>0.1111</v>
      </c>
      <c r="N660">
        <v>99.836799999999997</v>
      </c>
      <c r="O660" t="s">
        <v>392</v>
      </c>
      <c r="Q660">
        <f t="shared" si="23"/>
        <v>64.94</v>
      </c>
      <c r="R660">
        <f>I660-(K660*Standards!$I$15)</f>
        <v>1.1999999999999999E-3</v>
      </c>
      <c r="S660">
        <f t="shared" si="24"/>
        <v>4.4540000000000003E-2</v>
      </c>
      <c r="T660" t="s">
        <v>290</v>
      </c>
    </row>
    <row r="661" spans="1:31">
      <c r="A661">
        <v>56</v>
      </c>
      <c r="B661">
        <v>0</v>
      </c>
      <c r="C661">
        <v>5.5399999999999998E-2</v>
      </c>
      <c r="D661">
        <v>34.07</v>
      </c>
      <c r="E661">
        <v>0.1157</v>
      </c>
      <c r="F661">
        <v>6.1000000000000004E-3</v>
      </c>
      <c r="G661">
        <v>0.32029999999999997</v>
      </c>
      <c r="H661">
        <v>7.02</v>
      </c>
      <c r="I661">
        <v>6.9999999999999999E-4</v>
      </c>
      <c r="J661">
        <v>3.32E-2</v>
      </c>
      <c r="K661">
        <v>0</v>
      </c>
      <c r="L661">
        <v>58.19</v>
      </c>
      <c r="M661">
        <v>0.10150000000000001</v>
      </c>
      <c r="N661">
        <v>99.912999999999997</v>
      </c>
      <c r="O661" t="s">
        <v>392</v>
      </c>
      <c r="Q661">
        <f t="shared" si="23"/>
        <v>65.209999999999994</v>
      </c>
      <c r="R661">
        <f>I661-(K661*Standards!$I$15)</f>
        <v>6.9999999999999999E-4</v>
      </c>
      <c r="S661">
        <f t="shared" si="24"/>
        <v>5.5364999999999998E-2</v>
      </c>
      <c r="T661" t="s">
        <v>290</v>
      </c>
    </row>
    <row r="662" spans="1:31">
      <c r="A662">
        <v>45</v>
      </c>
      <c r="B662">
        <v>2.9999999999999997E-4</v>
      </c>
      <c r="C662">
        <v>4.7100000000000003E-2</v>
      </c>
      <c r="D662">
        <v>33.93</v>
      </c>
      <c r="E662">
        <v>0.14130000000000001</v>
      </c>
      <c r="F662">
        <v>0</v>
      </c>
      <c r="G662">
        <v>0.38140000000000002</v>
      </c>
      <c r="H662">
        <v>7.06</v>
      </c>
      <c r="I662">
        <v>0</v>
      </c>
      <c r="J662">
        <v>0</v>
      </c>
      <c r="K662">
        <v>0</v>
      </c>
      <c r="L662">
        <v>58.16</v>
      </c>
      <c r="M662">
        <v>0.1065</v>
      </c>
      <c r="N662">
        <v>99.826700000000002</v>
      </c>
      <c r="O662" t="s">
        <v>392</v>
      </c>
      <c r="Q662">
        <f t="shared" si="23"/>
        <v>65.22</v>
      </c>
      <c r="R662">
        <f>I662-(K662*Standards!$I$15)</f>
        <v>0</v>
      </c>
      <c r="S662">
        <f t="shared" si="24"/>
        <v>4.7100000000000003E-2</v>
      </c>
      <c r="T662" t="s">
        <v>290</v>
      </c>
    </row>
    <row r="663" spans="1:31">
      <c r="A663">
        <v>46</v>
      </c>
      <c r="B663">
        <v>0</v>
      </c>
      <c r="C663">
        <v>4.36E-2</v>
      </c>
      <c r="D663">
        <v>34.119999999999997</v>
      </c>
      <c r="E663">
        <v>0.13220000000000001</v>
      </c>
      <c r="F663">
        <v>0</v>
      </c>
      <c r="G663">
        <v>0.3629</v>
      </c>
      <c r="H663">
        <v>7.74</v>
      </c>
      <c r="I663">
        <v>2.0000000000000001E-4</v>
      </c>
      <c r="J663">
        <v>1.0200000000000001E-2</v>
      </c>
      <c r="K663">
        <v>0</v>
      </c>
      <c r="L663">
        <v>57.59</v>
      </c>
      <c r="M663">
        <v>0.10920000000000001</v>
      </c>
      <c r="N663">
        <v>100.1082</v>
      </c>
      <c r="O663" t="s">
        <v>392</v>
      </c>
      <c r="Q663">
        <f t="shared" si="23"/>
        <v>65.33</v>
      </c>
      <c r="R663">
        <f>I663-(K663*Standards!$I$15)</f>
        <v>2.0000000000000001E-4</v>
      </c>
      <c r="S663">
        <f t="shared" si="24"/>
        <v>4.3589999999999997E-2</v>
      </c>
      <c r="T663" t="s">
        <v>290</v>
      </c>
    </row>
    <row r="664" spans="1:31">
      <c r="A664">
        <v>48</v>
      </c>
      <c r="B664">
        <v>0</v>
      </c>
      <c r="C664">
        <v>4.36E-2</v>
      </c>
      <c r="D664">
        <v>34</v>
      </c>
      <c r="E664">
        <v>0.14249999999999999</v>
      </c>
      <c r="F664">
        <v>0</v>
      </c>
      <c r="G664">
        <v>0.35160000000000002</v>
      </c>
      <c r="H664">
        <v>7.84</v>
      </c>
      <c r="I664">
        <v>0</v>
      </c>
      <c r="J664">
        <v>0</v>
      </c>
      <c r="K664">
        <v>0</v>
      </c>
      <c r="L664">
        <v>57.57</v>
      </c>
      <c r="M664">
        <v>0.11650000000000001</v>
      </c>
      <c r="N664">
        <v>100.0641</v>
      </c>
      <c r="O664" t="s">
        <v>392</v>
      </c>
      <c r="Q664">
        <f t="shared" si="23"/>
        <v>65.41</v>
      </c>
      <c r="R664">
        <f>I664-(K664*Standards!$I$15)</f>
        <v>0</v>
      </c>
      <c r="S664">
        <f t="shared" si="24"/>
        <v>4.36E-2</v>
      </c>
      <c r="T664" t="s">
        <v>290</v>
      </c>
    </row>
    <row r="665" spans="1:31">
      <c r="A665">
        <v>60</v>
      </c>
      <c r="B665">
        <v>0</v>
      </c>
      <c r="C665">
        <v>1.6199999999999999E-2</v>
      </c>
      <c r="D665">
        <v>34.11</v>
      </c>
      <c r="E665">
        <v>0.1249</v>
      </c>
      <c r="F665">
        <v>0</v>
      </c>
      <c r="G665">
        <v>0.33339999999999997</v>
      </c>
      <c r="H665">
        <v>6.82</v>
      </c>
      <c r="I665">
        <v>6.9999999999999999E-4</v>
      </c>
      <c r="J665">
        <v>0.50839999999999996</v>
      </c>
      <c r="K665">
        <v>0.3856</v>
      </c>
      <c r="L665">
        <v>57.4</v>
      </c>
      <c r="M665">
        <v>0.1061</v>
      </c>
      <c r="N665">
        <v>99.805400000000006</v>
      </c>
      <c r="O665" t="s">
        <v>392</v>
      </c>
      <c r="Q665">
        <f t="shared" si="23"/>
        <v>64.22</v>
      </c>
      <c r="R665">
        <f>I665-(K665*Standards!$I$15)</f>
        <v>-1.5314000000000007E-4</v>
      </c>
      <c r="S665">
        <f t="shared" si="24"/>
        <v>1.6164999999999999E-2</v>
      </c>
      <c r="T665" t="s">
        <v>290</v>
      </c>
    </row>
    <row r="666" spans="1:31">
      <c r="A666">
        <v>47</v>
      </c>
      <c r="B666">
        <v>0</v>
      </c>
      <c r="C666">
        <v>2.7E-2</v>
      </c>
      <c r="D666">
        <v>34.17</v>
      </c>
      <c r="E666">
        <v>0.1507</v>
      </c>
      <c r="F666">
        <v>0</v>
      </c>
      <c r="G666">
        <v>0.35730000000000001</v>
      </c>
      <c r="H666">
        <v>8.1</v>
      </c>
      <c r="I666">
        <v>0</v>
      </c>
      <c r="J666">
        <v>5.6899999999999999E-2</v>
      </c>
      <c r="K666">
        <v>0</v>
      </c>
      <c r="L666">
        <v>57.02</v>
      </c>
      <c r="M666">
        <v>9.98E-2</v>
      </c>
      <c r="N666">
        <v>99.981800000000007</v>
      </c>
      <c r="O666" t="s">
        <v>392</v>
      </c>
      <c r="Q666">
        <f t="shared" si="23"/>
        <v>65.12</v>
      </c>
      <c r="R666">
        <f>I666-(K666*Standards!$I$15)</f>
        <v>0</v>
      </c>
      <c r="S666">
        <f t="shared" si="24"/>
        <v>2.7E-2</v>
      </c>
      <c r="T666" t="s">
        <v>290</v>
      </c>
    </row>
    <row r="667" spans="1:31">
      <c r="A667">
        <v>36</v>
      </c>
      <c r="B667">
        <v>1.32E-2</v>
      </c>
      <c r="C667">
        <v>3.04E-2</v>
      </c>
      <c r="D667">
        <v>34.020000000000003</v>
      </c>
      <c r="E667">
        <v>0.1429</v>
      </c>
      <c r="F667">
        <v>0</v>
      </c>
      <c r="G667">
        <v>0.38750000000000001</v>
      </c>
      <c r="H667">
        <v>8.14</v>
      </c>
      <c r="I667">
        <v>1.1999999999999999E-3</v>
      </c>
      <c r="J667">
        <v>0.1043</v>
      </c>
      <c r="K667">
        <v>0</v>
      </c>
      <c r="L667">
        <v>56.92</v>
      </c>
      <c r="M667">
        <v>0.11840000000000001</v>
      </c>
      <c r="N667">
        <v>99.878</v>
      </c>
      <c r="O667" t="s">
        <v>392</v>
      </c>
      <c r="Q667">
        <f t="shared" si="23"/>
        <v>65.06</v>
      </c>
      <c r="R667">
        <f>I667-(K667*Standards!$I$15)</f>
        <v>1.1999999999999999E-3</v>
      </c>
      <c r="S667">
        <f t="shared" si="24"/>
        <v>3.0339999999999999E-2</v>
      </c>
      <c r="T667" t="s">
        <v>290</v>
      </c>
    </row>
    <row r="668" spans="1:31">
      <c r="A668">
        <v>42</v>
      </c>
      <c r="B668">
        <v>0</v>
      </c>
      <c r="C668">
        <v>3.1E-2</v>
      </c>
      <c r="D668">
        <v>34.1</v>
      </c>
      <c r="E668">
        <v>0.1343</v>
      </c>
      <c r="F668">
        <v>0</v>
      </c>
      <c r="G668">
        <v>0.36359999999999998</v>
      </c>
      <c r="H668">
        <v>8.1199999999999992</v>
      </c>
      <c r="I668">
        <v>2.8999999999999998E-3</v>
      </c>
      <c r="J668">
        <v>5.33E-2</v>
      </c>
      <c r="K668">
        <v>0</v>
      </c>
      <c r="L668">
        <v>56.53</v>
      </c>
      <c r="M668">
        <v>0.12</v>
      </c>
      <c r="N668">
        <v>99.455200000000005</v>
      </c>
      <c r="O668" t="s">
        <v>392</v>
      </c>
      <c r="Q668">
        <f t="shared" si="23"/>
        <v>64.650000000000006</v>
      </c>
      <c r="R668">
        <f>I668-(K668*Standards!$I$15)</f>
        <v>2.8999999999999998E-3</v>
      </c>
      <c r="S668">
        <f t="shared" si="24"/>
        <v>3.0855E-2</v>
      </c>
      <c r="T668" t="s">
        <v>290</v>
      </c>
    </row>
    <row r="669" spans="1:31">
      <c r="A669">
        <v>49</v>
      </c>
      <c r="B669">
        <v>0</v>
      </c>
      <c r="C669">
        <v>1.89E-2</v>
      </c>
      <c r="D669">
        <v>34.090000000000003</v>
      </c>
      <c r="E669">
        <v>0.14649999999999999</v>
      </c>
      <c r="F669">
        <v>0</v>
      </c>
      <c r="G669">
        <v>0.39429999999999998</v>
      </c>
      <c r="H669">
        <v>8.26</v>
      </c>
      <c r="I669">
        <v>2.5999999999999999E-3</v>
      </c>
      <c r="J669">
        <v>0.32600000000000001</v>
      </c>
      <c r="K669">
        <v>0</v>
      </c>
      <c r="L669">
        <v>56.35</v>
      </c>
      <c r="M669">
        <v>0.1328</v>
      </c>
      <c r="N669">
        <v>99.721199999999996</v>
      </c>
      <c r="O669" t="s">
        <v>392</v>
      </c>
      <c r="Q669">
        <f t="shared" si="23"/>
        <v>64.61</v>
      </c>
      <c r="R669">
        <f>I669-(K669*Standards!$I$15)</f>
        <v>2.5999999999999999E-3</v>
      </c>
      <c r="S669">
        <f t="shared" si="24"/>
        <v>1.8769999999999998E-2</v>
      </c>
      <c r="T669" t="s">
        <v>290</v>
      </c>
    </row>
    <row r="670" spans="1:31">
      <c r="A670">
        <v>41</v>
      </c>
      <c r="B670">
        <v>0</v>
      </c>
      <c r="C670">
        <v>1.1900000000000001E-2</v>
      </c>
      <c r="D670">
        <v>33.869999999999997</v>
      </c>
      <c r="E670">
        <v>0.11890000000000001</v>
      </c>
      <c r="F670">
        <v>0</v>
      </c>
      <c r="G670">
        <v>0.3715</v>
      </c>
      <c r="H670">
        <v>7.44</v>
      </c>
      <c r="I670">
        <v>8.0000000000000004E-4</v>
      </c>
      <c r="J670">
        <v>1.1299999999999999</v>
      </c>
      <c r="K670">
        <v>0.23400000000000001</v>
      </c>
      <c r="L670">
        <v>56.19</v>
      </c>
      <c r="M670">
        <v>9.8100000000000007E-2</v>
      </c>
      <c r="N670">
        <v>99.465199999999996</v>
      </c>
      <c r="O670" t="s">
        <v>392</v>
      </c>
      <c r="Q670">
        <f t="shared" si="23"/>
        <v>63.629999999999995</v>
      </c>
      <c r="R670">
        <f>I670-(K670*Standards!$I$15)</f>
        <v>2.8227500000000002E-4</v>
      </c>
      <c r="S670">
        <f t="shared" si="24"/>
        <v>1.1860000000000001E-2</v>
      </c>
      <c r="T670" t="s">
        <v>290</v>
      </c>
    </row>
    <row r="671" spans="1:31">
      <c r="A671">
        <v>135</v>
      </c>
      <c r="B671">
        <v>0</v>
      </c>
      <c r="C671">
        <v>0.1004</v>
      </c>
      <c r="D671">
        <v>34.04</v>
      </c>
      <c r="E671">
        <v>7.1300000000000002E-2</v>
      </c>
      <c r="F671">
        <v>2.0999999999999999E-3</v>
      </c>
      <c r="G671">
        <v>0.21160000000000001</v>
      </c>
      <c r="H671">
        <v>0.42720000000000002</v>
      </c>
      <c r="I671">
        <v>0</v>
      </c>
      <c r="J671">
        <v>1.89E-2</v>
      </c>
      <c r="K671">
        <v>3.0200000000000001E-2</v>
      </c>
      <c r="L671">
        <v>67.42</v>
      </c>
      <c r="M671">
        <v>0.1008</v>
      </c>
      <c r="N671">
        <v>102.4224</v>
      </c>
      <c r="O671" t="s">
        <v>393</v>
      </c>
      <c r="Q671">
        <f t="shared" si="23"/>
        <v>67.847200000000001</v>
      </c>
      <c r="R671">
        <f>I671-(K671*Standards!$I$15)</f>
        <v>-6.6817500000000002E-5</v>
      </c>
      <c r="S671">
        <f t="shared" si="24"/>
        <v>0.1004</v>
      </c>
      <c r="T671" t="s">
        <v>292</v>
      </c>
      <c r="U671">
        <f>COUNT(R671:R695,R808:R818)</f>
        <v>36</v>
      </c>
      <c r="V671">
        <f>MAX(H671:H695,H808:H818)</f>
        <v>3.72</v>
      </c>
      <c r="W671">
        <f>AVERAGE(H671:H695,H808:H818)</f>
        <v>1.9818027777777785</v>
      </c>
      <c r="X671">
        <f>MAX(J671:J695,J808:J818)</f>
        <v>1.55</v>
      </c>
      <c r="Y671">
        <f>AVERAGE(J671:J695,J808:J818)</f>
        <v>0.42835277777777775</v>
      </c>
      <c r="Z671">
        <f>10000*MAX(R671:R695,R808:R818)</f>
        <v>975</v>
      </c>
      <c r="AA671">
        <f>10000*AVERAGE(R671:R695,R808:R818)</f>
        <v>106.12160416666669</v>
      </c>
      <c r="AB671">
        <f>10000*MAX(G671:G695,G808:G818)</f>
        <v>15500</v>
      </c>
      <c r="AC671">
        <f>10000*AVERAGE(G671:G695,G808:G818)</f>
        <v>4700.1944444444443</v>
      </c>
      <c r="AD671">
        <f>10000*MAX(S671:S695,S808:S818)</f>
        <v>1004</v>
      </c>
      <c r="AE671">
        <f>10000*AVERAGE(S671:S695,S808:S818)</f>
        <v>546.69999999999993</v>
      </c>
    </row>
    <row r="672" spans="1:31">
      <c r="A672">
        <v>134</v>
      </c>
      <c r="B672">
        <v>0</v>
      </c>
      <c r="C672">
        <v>6.2600000000000003E-2</v>
      </c>
      <c r="D672">
        <v>34.07</v>
      </c>
      <c r="E672">
        <v>0.1163</v>
      </c>
      <c r="F672">
        <v>1.32E-2</v>
      </c>
      <c r="G672">
        <v>0.30680000000000002</v>
      </c>
      <c r="H672">
        <v>0.39850000000000002</v>
      </c>
      <c r="I672">
        <v>0</v>
      </c>
      <c r="J672">
        <v>3.0000000000000001E-3</v>
      </c>
      <c r="K672">
        <v>3.15E-2</v>
      </c>
      <c r="L672">
        <v>67.06</v>
      </c>
      <c r="M672">
        <v>0.1265</v>
      </c>
      <c r="N672">
        <v>102.1883</v>
      </c>
      <c r="O672" t="s">
        <v>393</v>
      </c>
      <c r="Q672">
        <f t="shared" si="23"/>
        <v>67.458500000000001</v>
      </c>
      <c r="R672">
        <f>I672-(K672*Standards!$I$15)</f>
        <v>-6.9693749999999997E-5</v>
      </c>
      <c r="S672">
        <f t="shared" si="24"/>
        <v>6.2600000000000003E-2</v>
      </c>
      <c r="T672" t="s">
        <v>292</v>
      </c>
    </row>
    <row r="673" spans="1:20">
      <c r="A673">
        <v>138</v>
      </c>
      <c r="B673">
        <v>0</v>
      </c>
      <c r="C673">
        <v>4.8099999999999997E-2</v>
      </c>
      <c r="D673">
        <v>34.06</v>
      </c>
      <c r="E673">
        <v>0.27429999999999999</v>
      </c>
      <c r="F673">
        <v>1.0800000000000001E-2</v>
      </c>
      <c r="G673">
        <v>0.76719999999999999</v>
      </c>
      <c r="H673">
        <v>0.6915</v>
      </c>
      <c r="I673">
        <v>0</v>
      </c>
      <c r="J673">
        <v>0</v>
      </c>
      <c r="K673">
        <v>9.4600000000000004E-2</v>
      </c>
      <c r="L673">
        <v>66.66</v>
      </c>
      <c r="M673">
        <v>8.1699999999999995E-2</v>
      </c>
      <c r="N673">
        <v>102.68819999999999</v>
      </c>
      <c r="O673" t="s">
        <v>393</v>
      </c>
      <c r="Q673">
        <f t="shared" si="23"/>
        <v>67.351500000000001</v>
      </c>
      <c r="R673">
        <f>I673-(K673*Standards!$I$15)</f>
        <v>-2.093025E-4</v>
      </c>
      <c r="S673">
        <f t="shared" si="24"/>
        <v>4.8099999999999997E-2</v>
      </c>
      <c r="T673" t="s">
        <v>292</v>
      </c>
    </row>
    <row r="674" spans="1:20">
      <c r="A674">
        <v>142</v>
      </c>
      <c r="B674">
        <v>0</v>
      </c>
      <c r="C674">
        <v>8.3000000000000004E-2</v>
      </c>
      <c r="D674">
        <v>34.090000000000003</v>
      </c>
      <c r="E674">
        <v>0.1116</v>
      </c>
      <c r="F674">
        <v>3.0800000000000001E-2</v>
      </c>
      <c r="G674">
        <v>0.29060000000000002</v>
      </c>
      <c r="H674">
        <v>0.8266</v>
      </c>
      <c r="I674">
        <v>0</v>
      </c>
      <c r="J674">
        <v>5.2699999999999997E-2</v>
      </c>
      <c r="K674">
        <v>3.2500000000000001E-2</v>
      </c>
      <c r="L674">
        <v>66.62</v>
      </c>
      <c r="M674">
        <v>0.15390000000000001</v>
      </c>
      <c r="N674">
        <v>102.2916</v>
      </c>
      <c r="O674" t="s">
        <v>393</v>
      </c>
      <c r="Q674">
        <f t="shared" si="23"/>
        <v>67.446600000000004</v>
      </c>
      <c r="R674">
        <f>I674-(K674*Standards!$I$15)</f>
        <v>-7.1906250000000003E-5</v>
      </c>
      <c r="S674">
        <f t="shared" si="24"/>
        <v>8.3000000000000004E-2</v>
      </c>
      <c r="T674" t="s">
        <v>292</v>
      </c>
    </row>
    <row r="675" spans="1:20">
      <c r="A675">
        <v>140</v>
      </c>
      <c r="B675">
        <v>0</v>
      </c>
      <c r="C675">
        <v>7.4099999999999999E-2</v>
      </c>
      <c r="D675">
        <v>34.01</v>
      </c>
      <c r="E675">
        <v>0.2364</v>
      </c>
      <c r="F675">
        <v>0.14349999999999999</v>
      </c>
      <c r="G675">
        <v>0.54559999999999997</v>
      </c>
      <c r="H675">
        <v>0.58340000000000003</v>
      </c>
      <c r="I675">
        <v>0</v>
      </c>
      <c r="J675">
        <v>0.2319</v>
      </c>
      <c r="K675">
        <v>6.6199999999999995E-2</v>
      </c>
      <c r="L675">
        <v>66.510000000000005</v>
      </c>
      <c r="M675">
        <v>0.122</v>
      </c>
      <c r="N675">
        <v>102.5231</v>
      </c>
      <c r="O675" t="s">
        <v>393</v>
      </c>
      <c r="Q675">
        <f t="shared" si="23"/>
        <v>67.093400000000003</v>
      </c>
      <c r="R675">
        <f>I675-(K675*Standards!$I$15)</f>
        <v>-1.4646749999999999E-4</v>
      </c>
      <c r="S675">
        <f t="shared" si="24"/>
        <v>7.4099999999999999E-2</v>
      </c>
      <c r="T675" t="s">
        <v>292</v>
      </c>
    </row>
    <row r="676" spans="1:20">
      <c r="A676">
        <v>139</v>
      </c>
      <c r="B676">
        <v>9.1999999999999998E-3</v>
      </c>
      <c r="C676">
        <v>6.9599999999999995E-2</v>
      </c>
      <c r="D676">
        <v>33.93</v>
      </c>
      <c r="E676">
        <v>0.1192</v>
      </c>
      <c r="F676">
        <v>0.1993</v>
      </c>
      <c r="G676">
        <v>0.21179999999999999</v>
      </c>
      <c r="H676">
        <v>1.1599999999999999</v>
      </c>
      <c r="I676">
        <v>0</v>
      </c>
      <c r="J676">
        <v>0.37919999999999998</v>
      </c>
      <c r="K676">
        <v>2.4E-2</v>
      </c>
      <c r="L676">
        <v>66.25</v>
      </c>
      <c r="M676">
        <v>0.1479</v>
      </c>
      <c r="N676">
        <v>102.5001</v>
      </c>
      <c r="O676" t="s">
        <v>393</v>
      </c>
      <c r="Q676">
        <f t="shared" si="23"/>
        <v>67.41</v>
      </c>
      <c r="R676">
        <f>I676-(K676*Standards!$I$15)</f>
        <v>-5.3100000000000003E-5</v>
      </c>
      <c r="S676">
        <f t="shared" si="24"/>
        <v>6.9599999999999995E-2</v>
      </c>
      <c r="T676" t="s">
        <v>292</v>
      </c>
    </row>
    <row r="677" spans="1:20">
      <c r="A677">
        <v>136</v>
      </c>
      <c r="B677">
        <v>7.0000000000000001E-3</v>
      </c>
      <c r="C677">
        <v>7.5700000000000003E-2</v>
      </c>
      <c r="D677">
        <v>33.909999999999997</v>
      </c>
      <c r="E677">
        <v>0.24560000000000001</v>
      </c>
      <c r="F677">
        <v>0.245</v>
      </c>
      <c r="G677">
        <v>0.49330000000000002</v>
      </c>
      <c r="H677">
        <v>0.53039999999999998</v>
      </c>
      <c r="I677">
        <v>0</v>
      </c>
      <c r="J677">
        <v>0.43880000000000002</v>
      </c>
      <c r="K677">
        <v>5.6000000000000001E-2</v>
      </c>
      <c r="L677">
        <v>66.08</v>
      </c>
      <c r="M677">
        <v>0.15890000000000001</v>
      </c>
      <c r="N677">
        <v>102.2406</v>
      </c>
      <c r="O677" t="s">
        <v>393</v>
      </c>
      <c r="Q677">
        <f t="shared" si="23"/>
        <v>66.610399999999998</v>
      </c>
      <c r="R677">
        <f>I677-(K677*Standards!$I$15)</f>
        <v>-1.239E-4</v>
      </c>
      <c r="S677">
        <f t="shared" si="24"/>
        <v>7.5700000000000003E-2</v>
      </c>
      <c r="T677" t="s">
        <v>292</v>
      </c>
    </row>
    <row r="678" spans="1:20">
      <c r="A678">
        <v>137</v>
      </c>
      <c r="B678">
        <v>0</v>
      </c>
      <c r="C678">
        <v>6.0900000000000003E-2</v>
      </c>
      <c r="D678">
        <v>33.97</v>
      </c>
      <c r="E678">
        <v>0.41589999999999999</v>
      </c>
      <c r="F678">
        <v>1.84E-2</v>
      </c>
      <c r="G678">
        <v>1.1399999999999999</v>
      </c>
      <c r="H678">
        <v>0.9173</v>
      </c>
      <c r="I678">
        <v>0</v>
      </c>
      <c r="J678">
        <v>4.8999999999999998E-3</v>
      </c>
      <c r="K678">
        <v>0.13750000000000001</v>
      </c>
      <c r="L678">
        <v>65.930000000000007</v>
      </c>
      <c r="M678">
        <v>0.14319999999999999</v>
      </c>
      <c r="N678">
        <v>102.7381</v>
      </c>
      <c r="O678" t="s">
        <v>393</v>
      </c>
      <c r="Q678">
        <f t="shared" si="23"/>
        <v>66.847300000000004</v>
      </c>
      <c r="R678">
        <f>I678-(K678*Standards!$I$15)</f>
        <v>-3.0421875000000002E-4</v>
      </c>
      <c r="S678">
        <f t="shared" si="24"/>
        <v>6.0900000000000003E-2</v>
      </c>
      <c r="T678" t="s">
        <v>292</v>
      </c>
    </row>
    <row r="679" spans="1:20">
      <c r="A679">
        <v>133</v>
      </c>
      <c r="B679">
        <v>0</v>
      </c>
      <c r="C679">
        <v>6.7199999999999996E-2</v>
      </c>
      <c r="D679">
        <v>34.049999999999997</v>
      </c>
      <c r="E679">
        <v>0.16689999999999999</v>
      </c>
      <c r="F679">
        <v>9.1999999999999998E-2</v>
      </c>
      <c r="G679">
        <v>0.37240000000000001</v>
      </c>
      <c r="H679">
        <v>1.31</v>
      </c>
      <c r="I679">
        <v>0</v>
      </c>
      <c r="J679">
        <v>0.2266</v>
      </c>
      <c r="K679">
        <v>1.7299999999999999E-2</v>
      </c>
      <c r="L679">
        <v>65.92</v>
      </c>
      <c r="M679">
        <v>0.1603</v>
      </c>
      <c r="N679">
        <v>102.3826</v>
      </c>
      <c r="O679" t="s">
        <v>393</v>
      </c>
      <c r="Q679">
        <f t="shared" si="23"/>
        <v>67.23</v>
      </c>
      <c r="R679">
        <f>I679-(K679*Standards!$I$15)</f>
        <v>-3.8276250000000001E-5</v>
      </c>
      <c r="S679">
        <f t="shared" si="24"/>
        <v>6.7199999999999996E-2</v>
      </c>
      <c r="T679" t="s">
        <v>292</v>
      </c>
    </row>
    <row r="680" spans="1:20">
      <c r="A680">
        <v>141</v>
      </c>
      <c r="B680">
        <v>0</v>
      </c>
      <c r="C680">
        <v>6.2300000000000001E-2</v>
      </c>
      <c r="D680">
        <v>33.89</v>
      </c>
      <c r="E680">
        <v>0.27339999999999998</v>
      </c>
      <c r="F680">
        <v>0.18079999999999999</v>
      </c>
      <c r="G680">
        <v>0.58879999999999999</v>
      </c>
      <c r="H680">
        <v>2.1</v>
      </c>
      <c r="I680">
        <v>0</v>
      </c>
      <c r="J680">
        <v>0.36409999999999998</v>
      </c>
      <c r="K680">
        <v>8.2799999999999999E-2</v>
      </c>
      <c r="L680">
        <v>64.34</v>
      </c>
      <c r="M680">
        <v>0.27650000000000002</v>
      </c>
      <c r="N680">
        <v>102.15860000000001</v>
      </c>
      <c r="O680" t="s">
        <v>393</v>
      </c>
      <c r="Q680">
        <f t="shared" si="23"/>
        <v>66.44</v>
      </c>
      <c r="R680">
        <f>I680-(K680*Standards!$I$15)</f>
        <v>-1.8319500000000001E-4</v>
      </c>
      <c r="S680">
        <f t="shared" si="24"/>
        <v>6.2300000000000001E-2</v>
      </c>
      <c r="T680" t="s">
        <v>292</v>
      </c>
    </row>
    <row r="681" spans="1:20">
      <c r="A681">
        <v>123</v>
      </c>
      <c r="B681">
        <v>0</v>
      </c>
      <c r="C681">
        <v>5.8200000000000002E-2</v>
      </c>
      <c r="D681">
        <v>33.92</v>
      </c>
      <c r="E681">
        <v>0.22939999999999999</v>
      </c>
      <c r="F681">
        <v>2.0500000000000001E-2</v>
      </c>
      <c r="G681">
        <v>0.63180000000000003</v>
      </c>
      <c r="H681">
        <v>1.79</v>
      </c>
      <c r="I681">
        <v>1.1999999999999999E-3</v>
      </c>
      <c r="J681">
        <v>0</v>
      </c>
      <c r="K681">
        <v>8.4199999999999997E-2</v>
      </c>
      <c r="L681">
        <v>65.75</v>
      </c>
      <c r="M681">
        <v>0.10299999999999999</v>
      </c>
      <c r="N681">
        <v>102.5882</v>
      </c>
      <c r="O681" t="s">
        <v>394</v>
      </c>
      <c r="Q681">
        <f t="shared" si="23"/>
        <v>67.540000000000006</v>
      </c>
      <c r="R681">
        <f>I681-(K681*Standards!$I$15)</f>
        <v>1.0137074999999999E-3</v>
      </c>
      <c r="S681">
        <f t="shared" si="24"/>
        <v>5.8140000000000004E-2</v>
      </c>
      <c r="T681" t="s">
        <v>292</v>
      </c>
    </row>
    <row r="682" spans="1:20">
      <c r="A682">
        <v>130</v>
      </c>
      <c r="B682">
        <v>3.5000000000000001E-3</v>
      </c>
      <c r="C682">
        <v>6.5699999999999995E-2</v>
      </c>
      <c r="D682">
        <v>34.43</v>
      </c>
      <c r="E682">
        <v>9.74E-2</v>
      </c>
      <c r="F682">
        <v>2.07E-2</v>
      </c>
      <c r="G682">
        <v>0.2505</v>
      </c>
      <c r="H682">
        <v>1.26</v>
      </c>
      <c r="I682">
        <v>0</v>
      </c>
      <c r="J682">
        <v>0.1226</v>
      </c>
      <c r="K682">
        <v>3.3399999999999999E-2</v>
      </c>
      <c r="L682">
        <v>65.66</v>
      </c>
      <c r="M682">
        <v>0.1152</v>
      </c>
      <c r="N682">
        <v>102.05889999999999</v>
      </c>
      <c r="O682" t="s">
        <v>394</v>
      </c>
      <c r="Q682">
        <f t="shared" ref="Q682:Q713" si="25">H682+L682</f>
        <v>66.92</v>
      </c>
      <c r="R682">
        <f>I682-(K682*Standards!$I$15)</f>
        <v>-7.3897499999999995E-5</v>
      </c>
      <c r="S682">
        <f t="shared" ref="S682:S713" si="26">C682-(I682*0.05)</f>
        <v>6.5699999999999995E-2</v>
      </c>
      <c r="T682" t="s">
        <v>292</v>
      </c>
    </row>
    <row r="683" spans="1:20">
      <c r="A683">
        <v>124</v>
      </c>
      <c r="B683">
        <v>0</v>
      </c>
      <c r="C683">
        <v>7.7499999999999999E-2</v>
      </c>
      <c r="D683">
        <v>34.229999999999997</v>
      </c>
      <c r="E683">
        <v>0.12690000000000001</v>
      </c>
      <c r="F683">
        <v>0</v>
      </c>
      <c r="G683">
        <v>0.33800000000000002</v>
      </c>
      <c r="H683">
        <v>2.52</v>
      </c>
      <c r="I683">
        <v>5.9999999999999995E-4</v>
      </c>
      <c r="J683">
        <v>0</v>
      </c>
      <c r="K683">
        <v>5.0599999999999999E-2</v>
      </c>
      <c r="L683">
        <v>65.150000000000006</v>
      </c>
      <c r="M683">
        <v>9.6199999999999994E-2</v>
      </c>
      <c r="N683">
        <v>102.58969999999999</v>
      </c>
      <c r="O683" t="s">
        <v>394</v>
      </c>
      <c r="Q683">
        <f t="shared" si="25"/>
        <v>67.67</v>
      </c>
      <c r="R683">
        <f>I683-(K683*Standards!$I$15)</f>
        <v>4.8804749999999998E-4</v>
      </c>
      <c r="S683">
        <f t="shared" si="26"/>
        <v>7.7469999999999997E-2</v>
      </c>
      <c r="T683" t="s">
        <v>292</v>
      </c>
    </row>
    <row r="684" spans="1:20">
      <c r="A684">
        <v>125</v>
      </c>
      <c r="B684">
        <v>0</v>
      </c>
      <c r="C684">
        <v>6.9199999999999998E-2</v>
      </c>
      <c r="D684">
        <v>33.99</v>
      </c>
      <c r="E684">
        <v>0.2412</v>
      </c>
      <c r="F684">
        <v>0</v>
      </c>
      <c r="G684">
        <v>0.65259999999999996</v>
      </c>
      <c r="H684">
        <v>2.57</v>
      </c>
      <c r="I684">
        <v>4.0000000000000002E-4</v>
      </c>
      <c r="J684">
        <v>2.2200000000000001E-2</v>
      </c>
      <c r="K684">
        <v>9.64E-2</v>
      </c>
      <c r="L684">
        <v>64.989999999999995</v>
      </c>
      <c r="M684">
        <v>0.1193</v>
      </c>
      <c r="N684">
        <v>102.7513</v>
      </c>
      <c r="O684" t="s">
        <v>394</v>
      </c>
      <c r="Q684">
        <f t="shared" si="25"/>
        <v>67.559999999999988</v>
      </c>
      <c r="R684">
        <f>I684-(K684*Standards!$I$15)</f>
        <v>1.86715E-4</v>
      </c>
      <c r="S684">
        <f t="shared" si="26"/>
        <v>6.9179999999999992E-2</v>
      </c>
      <c r="T684" t="s">
        <v>292</v>
      </c>
    </row>
    <row r="685" spans="1:20">
      <c r="A685">
        <v>132</v>
      </c>
      <c r="B685">
        <v>0</v>
      </c>
      <c r="C685">
        <v>0</v>
      </c>
      <c r="D685">
        <v>31.77</v>
      </c>
      <c r="E685">
        <v>0</v>
      </c>
      <c r="F685">
        <v>3.3500000000000002E-2</v>
      </c>
      <c r="G685">
        <v>0.4204</v>
      </c>
      <c r="H685">
        <v>1.55</v>
      </c>
      <c r="I685">
        <v>0</v>
      </c>
      <c r="J685">
        <v>0.22900000000000001</v>
      </c>
      <c r="K685">
        <v>7.7000000000000002E-3</v>
      </c>
      <c r="L685">
        <v>64.97</v>
      </c>
      <c r="M685">
        <v>0.1462</v>
      </c>
      <c r="N685">
        <v>99.126900000000006</v>
      </c>
      <c r="O685" t="s">
        <v>394</v>
      </c>
      <c r="Q685">
        <f t="shared" si="25"/>
        <v>66.52</v>
      </c>
      <c r="R685">
        <f>I685-(K685*Standards!$I$15)</f>
        <v>-1.7036250000000001E-5</v>
      </c>
      <c r="S685">
        <f t="shared" si="26"/>
        <v>0</v>
      </c>
      <c r="T685" t="s">
        <v>292</v>
      </c>
    </row>
    <row r="686" spans="1:20">
      <c r="A686">
        <v>127</v>
      </c>
      <c r="B686">
        <v>3.8E-3</v>
      </c>
      <c r="C686">
        <v>8.0399999999999999E-2</v>
      </c>
      <c r="D686">
        <v>34.01</v>
      </c>
      <c r="E686">
        <v>0.13550000000000001</v>
      </c>
      <c r="F686">
        <v>0.1066</v>
      </c>
      <c r="G686">
        <v>0.33139999999999997</v>
      </c>
      <c r="H686">
        <v>1.87</v>
      </c>
      <c r="I686">
        <v>0</v>
      </c>
      <c r="J686">
        <v>0.40910000000000002</v>
      </c>
      <c r="K686">
        <v>4.3799999999999999E-2</v>
      </c>
      <c r="L686">
        <v>64.790000000000006</v>
      </c>
      <c r="M686">
        <v>0.15509999999999999</v>
      </c>
      <c r="N686">
        <v>101.9357</v>
      </c>
      <c r="O686" t="s">
        <v>394</v>
      </c>
      <c r="Q686">
        <f t="shared" si="25"/>
        <v>66.660000000000011</v>
      </c>
      <c r="R686">
        <f>I686-(K686*Standards!$I$15)</f>
        <v>-9.6907499999999993E-5</v>
      </c>
      <c r="S686">
        <f t="shared" si="26"/>
        <v>8.0399999999999999E-2</v>
      </c>
      <c r="T686" t="s">
        <v>292</v>
      </c>
    </row>
    <row r="687" spans="1:20">
      <c r="A687">
        <v>121</v>
      </c>
      <c r="B687">
        <v>0</v>
      </c>
      <c r="C687">
        <v>6.5199999999999994E-2</v>
      </c>
      <c r="D687">
        <v>34.119999999999997</v>
      </c>
      <c r="E687">
        <v>9.1499999999999998E-2</v>
      </c>
      <c r="F687">
        <v>2.2200000000000001E-2</v>
      </c>
      <c r="G687">
        <v>0.19320000000000001</v>
      </c>
      <c r="H687">
        <v>1.56</v>
      </c>
      <c r="I687">
        <v>1.49E-2</v>
      </c>
      <c r="J687">
        <v>1.08</v>
      </c>
      <c r="K687">
        <v>0</v>
      </c>
      <c r="L687">
        <v>64.3</v>
      </c>
      <c r="M687">
        <v>0.16350000000000001</v>
      </c>
      <c r="N687">
        <v>101.6105</v>
      </c>
      <c r="O687" t="s">
        <v>394</v>
      </c>
      <c r="Q687">
        <f t="shared" si="25"/>
        <v>65.86</v>
      </c>
      <c r="R687">
        <f>I687-(K687*Standards!$I$15)</f>
        <v>1.49E-2</v>
      </c>
      <c r="S687">
        <f t="shared" si="26"/>
        <v>6.4454999999999998E-2</v>
      </c>
      <c r="T687" t="s">
        <v>292</v>
      </c>
    </row>
    <row r="688" spans="1:20">
      <c r="A688">
        <v>126</v>
      </c>
      <c r="B688">
        <v>0</v>
      </c>
      <c r="C688">
        <v>7.5300000000000006E-2</v>
      </c>
      <c r="D688">
        <v>34.229999999999997</v>
      </c>
      <c r="E688">
        <v>0.1202</v>
      </c>
      <c r="F688">
        <v>1.2200000000000001E-2</v>
      </c>
      <c r="G688">
        <v>0.34689999999999999</v>
      </c>
      <c r="H688">
        <v>3.31</v>
      </c>
      <c r="I688">
        <v>0</v>
      </c>
      <c r="J688">
        <v>8.6599999999999996E-2</v>
      </c>
      <c r="K688">
        <v>6.1100000000000002E-2</v>
      </c>
      <c r="L688">
        <v>63.99</v>
      </c>
      <c r="M688">
        <v>9.8799999999999999E-2</v>
      </c>
      <c r="N688">
        <v>102.331</v>
      </c>
      <c r="O688" t="s">
        <v>394</v>
      </c>
      <c r="Q688">
        <f t="shared" si="25"/>
        <v>67.3</v>
      </c>
      <c r="R688">
        <f>I688-(K688*Standards!$I$15)</f>
        <v>-1.3518374999999999E-4</v>
      </c>
      <c r="S688">
        <f t="shared" si="26"/>
        <v>7.5300000000000006E-2</v>
      </c>
      <c r="T688" t="s">
        <v>292</v>
      </c>
    </row>
    <row r="689" spans="1:20">
      <c r="A689">
        <v>119</v>
      </c>
      <c r="B689">
        <v>0</v>
      </c>
      <c r="C689">
        <v>7.7499999999999999E-2</v>
      </c>
      <c r="D689">
        <v>34.090000000000003</v>
      </c>
      <c r="E689">
        <v>0.12280000000000001</v>
      </c>
      <c r="F689">
        <v>1.8599999999999998E-2</v>
      </c>
      <c r="G689">
        <v>0.33300000000000002</v>
      </c>
      <c r="H689">
        <v>3.29</v>
      </c>
      <c r="I689">
        <v>2.3E-3</v>
      </c>
      <c r="J689">
        <v>0.15590000000000001</v>
      </c>
      <c r="K689">
        <v>4.6899999999999997E-2</v>
      </c>
      <c r="L689">
        <v>63.88</v>
      </c>
      <c r="M689">
        <v>0.1308</v>
      </c>
      <c r="N689">
        <v>102.1477</v>
      </c>
      <c r="O689" t="s">
        <v>394</v>
      </c>
      <c r="Q689">
        <f t="shared" si="25"/>
        <v>67.17</v>
      </c>
      <c r="R689">
        <f>I689-(K689*Standards!$I$15)</f>
        <v>2.1962337500000002E-3</v>
      </c>
      <c r="S689">
        <f t="shared" si="26"/>
        <v>7.7384999999999995E-2</v>
      </c>
      <c r="T689" t="s">
        <v>292</v>
      </c>
    </row>
    <row r="690" spans="1:20">
      <c r="A690">
        <v>118</v>
      </c>
      <c r="B690">
        <v>8.6E-3</v>
      </c>
      <c r="C690">
        <v>6.6100000000000006E-2</v>
      </c>
      <c r="D690">
        <v>34.130000000000003</v>
      </c>
      <c r="E690">
        <v>0.1177</v>
      </c>
      <c r="F690">
        <v>2.53E-2</v>
      </c>
      <c r="G690">
        <v>0.28039999999999998</v>
      </c>
      <c r="H690">
        <v>3.19</v>
      </c>
      <c r="I690">
        <v>0</v>
      </c>
      <c r="J690">
        <v>6.83E-2</v>
      </c>
      <c r="K690">
        <v>2.5399999999999999E-2</v>
      </c>
      <c r="L690">
        <v>63.82</v>
      </c>
      <c r="M690">
        <v>9.8000000000000004E-2</v>
      </c>
      <c r="N690">
        <v>101.8297</v>
      </c>
      <c r="O690" t="s">
        <v>394</v>
      </c>
      <c r="Q690">
        <f t="shared" si="25"/>
        <v>67.010000000000005</v>
      </c>
      <c r="R690">
        <f>I690-(K690*Standards!$I$15)</f>
        <v>-5.6197499999999999E-5</v>
      </c>
      <c r="S690">
        <f t="shared" si="26"/>
        <v>6.6100000000000006E-2</v>
      </c>
      <c r="T690" t="s">
        <v>292</v>
      </c>
    </row>
    <row r="691" spans="1:20">
      <c r="A691">
        <v>128</v>
      </c>
      <c r="B691">
        <v>6.5000000000000002E-2</v>
      </c>
      <c r="C691">
        <v>5.3900000000000003E-2</v>
      </c>
      <c r="D691">
        <v>33.880000000000003</v>
      </c>
      <c r="E691">
        <v>0.19620000000000001</v>
      </c>
      <c r="F691">
        <v>0</v>
      </c>
      <c r="G691">
        <v>0.5554</v>
      </c>
      <c r="H691">
        <v>1.63</v>
      </c>
      <c r="I691">
        <v>3.8899999999999997E-2</v>
      </c>
      <c r="J691">
        <v>1.37</v>
      </c>
      <c r="K691">
        <v>0</v>
      </c>
      <c r="L691">
        <v>63.25</v>
      </c>
      <c r="M691">
        <v>0.14480000000000001</v>
      </c>
      <c r="N691">
        <v>101.1841</v>
      </c>
      <c r="O691" t="s">
        <v>394</v>
      </c>
      <c r="Q691">
        <f t="shared" si="25"/>
        <v>64.88</v>
      </c>
      <c r="R691">
        <f>I691-(K691*Standards!$I$15)</f>
        <v>3.8899999999999997E-2</v>
      </c>
      <c r="S691">
        <f t="shared" si="26"/>
        <v>5.1955000000000001E-2</v>
      </c>
      <c r="T691" t="s">
        <v>292</v>
      </c>
    </row>
    <row r="692" spans="1:20">
      <c r="A692">
        <v>120</v>
      </c>
      <c r="B692">
        <v>8.8599999999999998E-2</v>
      </c>
      <c r="C692">
        <v>4.53E-2</v>
      </c>
      <c r="D692">
        <v>34</v>
      </c>
      <c r="E692">
        <v>0.56299999999999994</v>
      </c>
      <c r="F692">
        <v>6.0000000000000001E-3</v>
      </c>
      <c r="G692">
        <v>1.55</v>
      </c>
      <c r="H692">
        <v>3.28</v>
      </c>
      <c r="I692">
        <v>0</v>
      </c>
      <c r="J692">
        <v>0.22850000000000001</v>
      </c>
      <c r="K692">
        <v>0.20069999999999999</v>
      </c>
      <c r="L692">
        <v>62.7</v>
      </c>
      <c r="M692">
        <v>0.13250000000000001</v>
      </c>
      <c r="N692">
        <v>102.7945</v>
      </c>
      <c r="O692" t="s">
        <v>394</v>
      </c>
      <c r="Q692">
        <f t="shared" si="25"/>
        <v>65.98</v>
      </c>
      <c r="R692">
        <f>I692-(K692*Standards!$I$15)</f>
        <v>-4.4404874999999999E-4</v>
      </c>
      <c r="S692">
        <f t="shared" si="26"/>
        <v>4.53E-2</v>
      </c>
      <c r="T692" t="s">
        <v>292</v>
      </c>
    </row>
    <row r="693" spans="1:20">
      <c r="A693">
        <v>131</v>
      </c>
      <c r="B693">
        <v>0.05</v>
      </c>
      <c r="C693">
        <v>5.6599999999999998E-2</v>
      </c>
      <c r="D693">
        <v>33.61</v>
      </c>
      <c r="E693">
        <v>0.40510000000000002</v>
      </c>
      <c r="F693">
        <v>0</v>
      </c>
      <c r="G693">
        <v>1.1299999999999999</v>
      </c>
      <c r="H693">
        <v>2.63</v>
      </c>
      <c r="I693">
        <v>1.38E-2</v>
      </c>
      <c r="J693">
        <v>0.44169999999999998</v>
      </c>
      <c r="K693">
        <v>0.12509999999999999</v>
      </c>
      <c r="L693">
        <v>62.63</v>
      </c>
      <c r="M693">
        <v>0.12920000000000001</v>
      </c>
      <c r="N693">
        <v>101.22150000000001</v>
      </c>
      <c r="O693" t="s">
        <v>394</v>
      </c>
      <c r="Q693">
        <f t="shared" si="25"/>
        <v>65.260000000000005</v>
      </c>
      <c r="R693">
        <f>I693-(K693*Standards!$I$15)</f>
        <v>1.3523216249999999E-2</v>
      </c>
      <c r="S693">
        <f t="shared" si="26"/>
        <v>5.5909999999999994E-2</v>
      </c>
      <c r="T693" t="s">
        <v>292</v>
      </c>
    </row>
    <row r="694" spans="1:20">
      <c r="A694">
        <v>122</v>
      </c>
      <c r="B694">
        <v>8.2000000000000007E-3</v>
      </c>
      <c r="C694">
        <v>4.5100000000000001E-2</v>
      </c>
      <c r="D694">
        <v>34.15</v>
      </c>
      <c r="E694">
        <v>0.21110000000000001</v>
      </c>
      <c r="F694">
        <v>0</v>
      </c>
      <c r="G694">
        <v>0.55640000000000001</v>
      </c>
      <c r="H694">
        <v>3.52</v>
      </c>
      <c r="I694">
        <v>3.44E-2</v>
      </c>
      <c r="J694">
        <v>0.96930000000000005</v>
      </c>
      <c r="K694">
        <v>0</v>
      </c>
      <c r="L694">
        <v>62.13</v>
      </c>
      <c r="M694">
        <v>0.16450000000000001</v>
      </c>
      <c r="N694">
        <v>101.7889</v>
      </c>
      <c r="O694" t="s">
        <v>394</v>
      </c>
      <c r="Q694">
        <f t="shared" si="25"/>
        <v>65.650000000000006</v>
      </c>
      <c r="R694">
        <f>I694-(K694*Standards!$I$15)</f>
        <v>3.44E-2</v>
      </c>
      <c r="S694">
        <f t="shared" si="26"/>
        <v>4.3380000000000002E-2</v>
      </c>
      <c r="T694" t="s">
        <v>292</v>
      </c>
    </row>
    <row r="695" spans="1:20">
      <c r="A695">
        <v>129</v>
      </c>
      <c r="B695">
        <v>0</v>
      </c>
      <c r="C695">
        <v>3.5900000000000001E-2</v>
      </c>
      <c r="D695">
        <v>34.03</v>
      </c>
      <c r="E695">
        <v>8.3599999999999994E-2</v>
      </c>
      <c r="F695">
        <v>0</v>
      </c>
      <c r="G695">
        <v>0.25540000000000002</v>
      </c>
      <c r="H695">
        <v>2.5</v>
      </c>
      <c r="I695">
        <v>3.3799999999999997E-2</v>
      </c>
      <c r="J695">
        <v>1.55</v>
      </c>
      <c r="K695">
        <v>0</v>
      </c>
      <c r="L695">
        <v>62.06</v>
      </c>
      <c r="M695">
        <v>0.151</v>
      </c>
      <c r="N695">
        <v>100.6996</v>
      </c>
      <c r="O695" t="s">
        <v>394</v>
      </c>
      <c r="Q695">
        <f t="shared" si="25"/>
        <v>64.56</v>
      </c>
      <c r="R695">
        <f>I695-(K695*Standards!$I$15)</f>
        <v>3.3799999999999997E-2</v>
      </c>
      <c r="S695">
        <f t="shared" si="26"/>
        <v>3.4210000000000004E-2</v>
      </c>
      <c r="T695" t="s">
        <v>292</v>
      </c>
    </row>
    <row r="696" spans="1:20">
      <c r="A696">
        <v>30</v>
      </c>
      <c r="B696">
        <v>0</v>
      </c>
      <c r="C696">
        <v>7.5800000000000006E-2</v>
      </c>
      <c r="D696">
        <v>33.979999999999997</v>
      </c>
      <c r="E696">
        <v>0.1386</v>
      </c>
      <c r="F696">
        <v>0</v>
      </c>
      <c r="G696">
        <v>0.3967</v>
      </c>
      <c r="H696">
        <v>1.32</v>
      </c>
      <c r="I696">
        <v>0</v>
      </c>
      <c r="J696">
        <v>0.15379999999999999</v>
      </c>
      <c r="K696">
        <v>0.18479999999999999</v>
      </c>
      <c r="L696">
        <v>65.48</v>
      </c>
      <c r="M696">
        <v>0.1178</v>
      </c>
      <c r="N696">
        <v>101.8475</v>
      </c>
      <c r="O696" t="s">
        <v>395</v>
      </c>
      <c r="Q696">
        <f t="shared" si="25"/>
        <v>66.8</v>
      </c>
      <c r="R696">
        <f>I696-(K696*Standards!$I$15)</f>
        <v>-4.0886999999999998E-4</v>
      </c>
      <c r="S696">
        <f t="shared" si="26"/>
        <v>7.5800000000000006E-2</v>
      </c>
      <c r="T696" t="s">
        <v>292</v>
      </c>
    </row>
    <row r="697" spans="1:20">
      <c r="A697">
        <v>11</v>
      </c>
      <c r="B697">
        <v>0</v>
      </c>
      <c r="C697">
        <v>6.9900000000000004E-2</v>
      </c>
      <c r="D697">
        <v>34.1</v>
      </c>
      <c r="E697">
        <v>0.193</v>
      </c>
      <c r="F697">
        <v>6.4000000000000003E-3</v>
      </c>
      <c r="G697">
        <v>0.49380000000000002</v>
      </c>
      <c r="H697">
        <v>1.99</v>
      </c>
      <c r="I697">
        <v>0</v>
      </c>
      <c r="J697">
        <v>2.41E-2</v>
      </c>
      <c r="K697">
        <v>1.46E-2</v>
      </c>
      <c r="L697">
        <v>64.569999999999993</v>
      </c>
      <c r="M697">
        <v>0.1079</v>
      </c>
      <c r="N697">
        <v>101.5697</v>
      </c>
      <c r="O697" t="s">
        <v>395</v>
      </c>
      <c r="Q697">
        <f t="shared" si="25"/>
        <v>66.559999999999988</v>
      </c>
      <c r="R697">
        <f>I697-(K697*Standards!$I$15)</f>
        <v>-3.2302499999999998E-5</v>
      </c>
      <c r="S697">
        <f t="shared" si="26"/>
        <v>6.9900000000000004E-2</v>
      </c>
      <c r="T697" t="s">
        <v>292</v>
      </c>
    </row>
    <row r="698" spans="1:20">
      <c r="A698">
        <v>29</v>
      </c>
      <c r="B698">
        <v>7.7999999999999996E-3</v>
      </c>
      <c r="C698">
        <v>6.5600000000000006E-2</v>
      </c>
      <c r="D698">
        <v>34.03</v>
      </c>
      <c r="E698">
        <v>0.12620000000000001</v>
      </c>
      <c r="F698">
        <v>0</v>
      </c>
      <c r="G698">
        <v>0.35820000000000002</v>
      </c>
      <c r="H698">
        <v>2.77</v>
      </c>
      <c r="I698">
        <v>0</v>
      </c>
      <c r="J698">
        <v>4.5999999999999999E-2</v>
      </c>
      <c r="K698">
        <v>0</v>
      </c>
      <c r="L698">
        <v>64.52</v>
      </c>
      <c r="M698">
        <v>0.11360000000000001</v>
      </c>
      <c r="N698">
        <v>102.0373</v>
      </c>
      <c r="O698" t="s">
        <v>395</v>
      </c>
      <c r="Q698">
        <f t="shared" si="25"/>
        <v>67.289999999999992</v>
      </c>
      <c r="R698">
        <f>I698-(K698*Standards!$I$15)</f>
        <v>0</v>
      </c>
      <c r="S698">
        <f t="shared" si="26"/>
        <v>6.5600000000000006E-2</v>
      </c>
      <c r="T698" t="s">
        <v>292</v>
      </c>
    </row>
    <row r="699" spans="1:20">
      <c r="A699">
        <v>27</v>
      </c>
      <c r="B699">
        <v>3.0300000000000001E-2</v>
      </c>
      <c r="C699">
        <v>5.21E-2</v>
      </c>
      <c r="D699">
        <v>33.700000000000003</v>
      </c>
      <c r="E699">
        <v>0.33229999999999998</v>
      </c>
      <c r="F699">
        <v>2.2800000000000001E-2</v>
      </c>
      <c r="G699">
        <v>0.83509999999999995</v>
      </c>
      <c r="H699">
        <v>1.9</v>
      </c>
      <c r="I699">
        <v>0</v>
      </c>
      <c r="J699">
        <v>0.19070000000000001</v>
      </c>
      <c r="K699">
        <v>0.13020000000000001</v>
      </c>
      <c r="L699">
        <v>63.96</v>
      </c>
      <c r="M699">
        <v>0.1709</v>
      </c>
      <c r="N699">
        <v>101.32429999999999</v>
      </c>
      <c r="O699" t="s">
        <v>395</v>
      </c>
      <c r="Q699">
        <f t="shared" si="25"/>
        <v>65.86</v>
      </c>
      <c r="R699">
        <f>I699-(K699*Standards!$I$15)</f>
        <v>-2.8806750000000004E-4</v>
      </c>
      <c r="S699">
        <f t="shared" si="26"/>
        <v>5.21E-2</v>
      </c>
      <c r="T699" t="s">
        <v>292</v>
      </c>
    </row>
    <row r="700" spans="1:20">
      <c r="A700">
        <v>15</v>
      </c>
      <c r="B700">
        <v>0</v>
      </c>
      <c r="C700">
        <v>8.2299999999999998E-2</v>
      </c>
      <c r="D700">
        <v>34</v>
      </c>
      <c r="E700">
        <v>0.121</v>
      </c>
      <c r="F700">
        <v>0</v>
      </c>
      <c r="G700">
        <v>0.31380000000000002</v>
      </c>
      <c r="H700">
        <v>2.34</v>
      </c>
      <c r="I700">
        <v>0</v>
      </c>
      <c r="J700">
        <v>6.0100000000000001E-2</v>
      </c>
      <c r="K700">
        <v>4.2900000000000001E-2</v>
      </c>
      <c r="L700">
        <v>63.54</v>
      </c>
      <c r="M700">
        <v>0.11700000000000001</v>
      </c>
      <c r="N700">
        <v>100.617</v>
      </c>
      <c r="O700" t="s">
        <v>395</v>
      </c>
      <c r="Q700">
        <f t="shared" si="25"/>
        <v>65.88</v>
      </c>
      <c r="R700">
        <f>I700-(K700*Standards!$I$15)</f>
        <v>-9.4916250000000001E-5</v>
      </c>
      <c r="S700">
        <f t="shared" si="26"/>
        <v>8.2299999999999998E-2</v>
      </c>
      <c r="T700" t="s">
        <v>292</v>
      </c>
    </row>
    <row r="701" spans="1:20">
      <c r="A701">
        <v>26</v>
      </c>
      <c r="B701">
        <v>8.5500000000000007E-2</v>
      </c>
      <c r="C701">
        <v>5.5399999999999998E-2</v>
      </c>
      <c r="D701">
        <v>33.97</v>
      </c>
      <c r="E701">
        <v>0.3483</v>
      </c>
      <c r="F701">
        <v>0</v>
      </c>
      <c r="G701">
        <v>0.87760000000000005</v>
      </c>
      <c r="H701">
        <v>2.8</v>
      </c>
      <c r="I701">
        <v>0</v>
      </c>
      <c r="J701">
        <v>0.1067</v>
      </c>
      <c r="K701">
        <v>6.2100000000000002E-2</v>
      </c>
      <c r="L701">
        <v>63.35</v>
      </c>
      <c r="M701">
        <v>0.1163</v>
      </c>
      <c r="N701">
        <v>101.7719</v>
      </c>
      <c r="O701" t="s">
        <v>395</v>
      </c>
      <c r="Q701">
        <f t="shared" si="25"/>
        <v>66.150000000000006</v>
      </c>
      <c r="R701">
        <f>I701-(K701*Standards!$I$15)</f>
        <v>-1.3739625E-4</v>
      </c>
      <c r="S701">
        <f t="shared" si="26"/>
        <v>5.5399999999999998E-2</v>
      </c>
      <c r="T701" t="s">
        <v>292</v>
      </c>
    </row>
    <row r="702" spans="1:20">
      <c r="A702">
        <v>4</v>
      </c>
      <c r="B702">
        <v>0</v>
      </c>
      <c r="C702">
        <v>8.4699999999999998E-2</v>
      </c>
      <c r="D702">
        <v>34.049999999999997</v>
      </c>
      <c r="E702">
        <v>0.20899999999999999</v>
      </c>
      <c r="F702">
        <v>4.41E-2</v>
      </c>
      <c r="G702">
        <v>0.52359999999999995</v>
      </c>
      <c r="H702">
        <v>2.91</v>
      </c>
      <c r="I702">
        <v>0</v>
      </c>
      <c r="J702">
        <v>0.18110000000000001</v>
      </c>
      <c r="K702">
        <v>8.9999999999999998E-4</v>
      </c>
      <c r="L702">
        <v>62.28</v>
      </c>
      <c r="M702">
        <v>0.12139999999999999</v>
      </c>
      <c r="N702">
        <v>100.40470000000001</v>
      </c>
      <c r="O702" t="s">
        <v>395</v>
      </c>
      <c r="Q702">
        <f t="shared" si="25"/>
        <v>65.19</v>
      </c>
      <c r="R702">
        <f>I702-(K702*Standards!$I$15)</f>
        <v>-1.9912500000000002E-6</v>
      </c>
      <c r="S702">
        <f t="shared" si="26"/>
        <v>8.4699999999999998E-2</v>
      </c>
      <c r="T702" t="s">
        <v>292</v>
      </c>
    </row>
    <row r="703" spans="1:20">
      <c r="A703">
        <v>28</v>
      </c>
      <c r="B703">
        <v>1.2200000000000001E-2</v>
      </c>
      <c r="C703">
        <v>5.0599999999999999E-2</v>
      </c>
      <c r="D703">
        <v>33.700000000000003</v>
      </c>
      <c r="E703">
        <v>0.5161</v>
      </c>
      <c r="F703">
        <v>0</v>
      </c>
      <c r="G703">
        <v>1.32</v>
      </c>
      <c r="H703">
        <v>2.97</v>
      </c>
      <c r="I703">
        <v>2.06E-2</v>
      </c>
      <c r="J703">
        <v>0.41739999999999999</v>
      </c>
      <c r="K703">
        <v>0.56979999999999997</v>
      </c>
      <c r="L703">
        <v>61.89</v>
      </c>
      <c r="M703">
        <v>0.14510000000000001</v>
      </c>
      <c r="N703">
        <v>101.6118</v>
      </c>
      <c r="O703" t="s">
        <v>395</v>
      </c>
      <c r="Q703">
        <f t="shared" si="25"/>
        <v>64.86</v>
      </c>
      <c r="R703">
        <f>I703-(K703*Standards!$I$15)</f>
        <v>1.9339317500000001E-2</v>
      </c>
      <c r="S703">
        <f t="shared" si="26"/>
        <v>4.9569999999999996E-2</v>
      </c>
      <c r="T703" t="s">
        <v>292</v>
      </c>
    </row>
    <row r="704" spans="1:20">
      <c r="A704">
        <v>13</v>
      </c>
      <c r="B704">
        <v>0</v>
      </c>
      <c r="C704">
        <v>5.0799999999999998E-2</v>
      </c>
      <c r="D704">
        <v>34.15</v>
      </c>
      <c r="E704">
        <v>0.3362</v>
      </c>
      <c r="F704">
        <v>0</v>
      </c>
      <c r="G704">
        <v>0.86480000000000001</v>
      </c>
      <c r="H704">
        <v>3.72</v>
      </c>
      <c r="I704">
        <v>0</v>
      </c>
      <c r="J704">
        <v>1.8700000000000001E-2</v>
      </c>
      <c r="K704">
        <v>0</v>
      </c>
      <c r="L704">
        <v>61.75</v>
      </c>
      <c r="M704">
        <v>9.3799999999999994E-2</v>
      </c>
      <c r="N704">
        <v>100.9843</v>
      </c>
      <c r="O704" t="s">
        <v>395</v>
      </c>
      <c r="Q704">
        <f t="shared" si="25"/>
        <v>65.47</v>
      </c>
      <c r="R704">
        <f>I704-(K704*Standards!$I$15)</f>
        <v>0</v>
      </c>
      <c r="S704">
        <f t="shared" si="26"/>
        <v>5.0799999999999998E-2</v>
      </c>
      <c r="T704" t="s">
        <v>292</v>
      </c>
    </row>
    <row r="705" spans="1:20">
      <c r="A705">
        <v>2</v>
      </c>
      <c r="B705">
        <v>2.8400000000000002E-2</v>
      </c>
      <c r="C705">
        <v>0.1651</v>
      </c>
      <c r="D705">
        <v>34.22</v>
      </c>
      <c r="E705">
        <v>0.51800000000000002</v>
      </c>
      <c r="F705">
        <v>1.66E-2</v>
      </c>
      <c r="G705">
        <v>1.06</v>
      </c>
      <c r="H705">
        <v>3.97</v>
      </c>
      <c r="I705">
        <v>0</v>
      </c>
      <c r="J705">
        <v>3.32E-2</v>
      </c>
      <c r="K705">
        <v>0</v>
      </c>
      <c r="L705">
        <v>61.66</v>
      </c>
      <c r="M705">
        <v>0.1076</v>
      </c>
      <c r="N705">
        <v>101.77889999999999</v>
      </c>
      <c r="O705" t="s">
        <v>395</v>
      </c>
      <c r="Q705">
        <f t="shared" si="25"/>
        <v>65.63</v>
      </c>
      <c r="R705">
        <f>I705-(K705*Standards!$I$15)</f>
        <v>0</v>
      </c>
      <c r="S705">
        <f t="shared" si="26"/>
        <v>0.1651</v>
      </c>
      <c r="T705" t="s">
        <v>292</v>
      </c>
    </row>
    <row r="706" spans="1:20">
      <c r="A706">
        <v>14</v>
      </c>
      <c r="B706">
        <v>0</v>
      </c>
      <c r="C706">
        <v>9.74E-2</v>
      </c>
      <c r="D706">
        <v>34.159999999999997</v>
      </c>
      <c r="E706">
        <v>0.25240000000000001</v>
      </c>
      <c r="F706">
        <v>0</v>
      </c>
      <c r="G706">
        <v>0.627</v>
      </c>
      <c r="H706">
        <v>3.87</v>
      </c>
      <c r="I706">
        <v>0</v>
      </c>
      <c r="J706">
        <v>4.1300000000000003E-2</v>
      </c>
      <c r="K706">
        <v>0</v>
      </c>
      <c r="L706">
        <v>61.26</v>
      </c>
      <c r="M706">
        <v>0.1</v>
      </c>
      <c r="N706">
        <v>100.408</v>
      </c>
      <c r="O706" t="s">
        <v>395</v>
      </c>
      <c r="Q706">
        <f t="shared" si="25"/>
        <v>65.13</v>
      </c>
      <c r="R706">
        <f>I706-(K706*Standards!$I$15)</f>
        <v>0</v>
      </c>
      <c r="S706">
        <f t="shared" si="26"/>
        <v>9.74E-2</v>
      </c>
      <c r="T706" t="s">
        <v>292</v>
      </c>
    </row>
    <row r="707" spans="1:20">
      <c r="A707">
        <v>1</v>
      </c>
      <c r="B707">
        <v>0</v>
      </c>
      <c r="C707">
        <v>6.0699999999999997E-2</v>
      </c>
      <c r="D707">
        <v>34.01</v>
      </c>
      <c r="E707">
        <v>0.50139999999999996</v>
      </c>
      <c r="F707">
        <v>0</v>
      </c>
      <c r="G707">
        <v>1.35</v>
      </c>
      <c r="H707">
        <v>4.07</v>
      </c>
      <c r="I707">
        <v>4.0000000000000002E-4</v>
      </c>
      <c r="J707">
        <v>0</v>
      </c>
      <c r="K707">
        <v>0</v>
      </c>
      <c r="L707">
        <v>60.9</v>
      </c>
      <c r="M707">
        <v>0.1416</v>
      </c>
      <c r="N707">
        <v>101.03400000000001</v>
      </c>
      <c r="O707" t="s">
        <v>395</v>
      </c>
      <c r="Q707">
        <f t="shared" si="25"/>
        <v>64.97</v>
      </c>
      <c r="R707">
        <f>I707-(K707*Standards!$I$15)</f>
        <v>4.0000000000000002E-4</v>
      </c>
      <c r="S707">
        <f t="shared" si="26"/>
        <v>6.0679999999999998E-2</v>
      </c>
      <c r="T707" t="s">
        <v>292</v>
      </c>
    </row>
    <row r="708" spans="1:20">
      <c r="A708">
        <v>12</v>
      </c>
      <c r="B708">
        <v>0</v>
      </c>
      <c r="C708">
        <v>7.0300000000000001E-2</v>
      </c>
      <c r="D708">
        <v>34.29</v>
      </c>
      <c r="E708">
        <v>0.24829999999999999</v>
      </c>
      <c r="F708">
        <v>0</v>
      </c>
      <c r="G708">
        <v>0.67010000000000003</v>
      </c>
      <c r="H708">
        <v>4.2699999999999996</v>
      </c>
      <c r="I708">
        <v>0</v>
      </c>
      <c r="J708">
        <v>4.0099999999999997E-2</v>
      </c>
      <c r="K708">
        <v>4.0000000000000002E-4</v>
      </c>
      <c r="L708">
        <v>60.89</v>
      </c>
      <c r="M708">
        <v>9.8799999999999999E-2</v>
      </c>
      <c r="N708">
        <v>100.5779</v>
      </c>
      <c r="O708" t="s">
        <v>395</v>
      </c>
      <c r="Q708">
        <f t="shared" si="25"/>
        <v>65.16</v>
      </c>
      <c r="R708">
        <f>I708-(K708*Standards!$I$15)</f>
        <v>-8.850000000000001E-7</v>
      </c>
      <c r="S708">
        <f t="shared" si="26"/>
        <v>7.0300000000000001E-2</v>
      </c>
      <c r="T708" t="s">
        <v>292</v>
      </c>
    </row>
    <row r="709" spans="1:20">
      <c r="A709">
        <v>5</v>
      </c>
      <c r="B709">
        <v>0</v>
      </c>
      <c r="C709">
        <v>8.1600000000000006E-2</v>
      </c>
      <c r="D709">
        <v>33.450000000000003</v>
      </c>
      <c r="E709">
        <v>0.40450000000000003</v>
      </c>
      <c r="F709">
        <v>0</v>
      </c>
      <c r="G709">
        <v>1</v>
      </c>
      <c r="H709">
        <v>4.57</v>
      </c>
      <c r="I709">
        <v>1E-4</v>
      </c>
      <c r="J709">
        <v>1.12E-2</v>
      </c>
      <c r="K709">
        <v>0</v>
      </c>
      <c r="L709">
        <v>60.69</v>
      </c>
      <c r="M709">
        <v>0.1182</v>
      </c>
      <c r="N709">
        <v>100.32550000000001</v>
      </c>
      <c r="O709" t="s">
        <v>395</v>
      </c>
      <c r="Q709">
        <f t="shared" si="25"/>
        <v>65.259999999999991</v>
      </c>
      <c r="R709">
        <f>I709-(K709*Standards!$I$15)</f>
        <v>1E-4</v>
      </c>
      <c r="S709">
        <f t="shared" si="26"/>
        <v>8.1595000000000001E-2</v>
      </c>
      <c r="T709" t="s">
        <v>292</v>
      </c>
    </row>
    <row r="710" spans="1:20">
      <c r="A710">
        <v>3</v>
      </c>
      <c r="B710">
        <v>2.29E-2</v>
      </c>
      <c r="C710">
        <v>0.17469999999999999</v>
      </c>
      <c r="D710">
        <v>34.1</v>
      </c>
      <c r="E710">
        <v>0.46460000000000001</v>
      </c>
      <c r="F710">
        <v>0</v>
      </c>
      <c r="G710">
        <v>0.88260000000000005</v>
      </c>
      <c r="H710">
        <v>4.5999999999999996</v>
      </c>
      <c r="I710">
        <v>0</v>
      </c>
      <c r="J710">
        <v>5.3199999999999997E-2</v>
      </c>
      <c r="K710">
        <v>0</v>
      </c>
      <c r="L710">
        <v>60.6</v>
      </c>
      <c r="M710">
        <v>0.1168</v>
      </c>
      <c r="N710">
        <v>101.0147</v>
      </c>
      <c r="O710" t="s">
        <v>395</v>
      </c>
      <c r="Q710">
        <f t="shared" si="25"/>
        <v>65.2</v>
      </c>
      <c r="R710">
        <f>I710-(K710*Standards!$I$15)</f>
        <v>0</v>
      </c>
      <c r="S710">
        <f t="shared" si="26"/>
        <v>0.17469999999999999</v>
      </c>
      <c r="T710" t="s">
        <v>292</v>
      </c>
    </row>
    <row r="711" spans="1:20">
      <c r="A711">
        <v>148</v>
      </c>
      <c r="B711">
        <v>0</v>
      </c>
      <c r="C711">
        <v>6.4500000000000002E-2</v>
      </c>
      <c r="D711">
        <v>33.380000000000003</v>
      </c>
      <c r="E711">
        <v>9.2399999999999996E-2</v>
      </c>
      <c r="F711">
        <v>0</v>
      </c>
      <c r="G711">
        <v>0.30099999999999999</v>
      </c>
      <c r="H711">
        <v>2.4</v>
      </c>
      <c r="I711">
        <v>0</v>
      </c>
      <c r="J711">
        <v>0.67130000000000001</v>
      </c>
      <c r="K711">
        <v>0</v>
      </c>
      <c r="L711">
        <v>65.42</v>
      </c>
      <c r="M711">
        <v>8.5800000000000001E-2</v>
      </c>
      <c r="N711">
        <v>102.4149</v>
      </c>
      <c r="O711" t="s">
        <v>396</v>
      </c>
      <c r="Q711">
        <f t="shared" si="25"/>
        <v>67.820000000000007</v>
      </c>
      <c r="R711">
        <f>I711-(K711*Standards!$I$15)</f>
        <v>0</v>
      </c>
      <c r="S711">
        <f t="shared" si="26"/>
        <v>6.4500000000000002E-2</v>
      </c>
      <c r="T711" t="s">
        <v>297</v>
      </c>
    </row>
    <row r="712" spans="1:20">
      <c r="A712">
        <v>149</v>
      </c>
      <c r="B712">
        <v>0</v>
      </c>
      <c r="C712">
        <v>6.83E-2</v>
      </c>
      <c r="D712">
        <v>33.6</v>
      </c>
      <c r="E712">
        <v>9.3299999999999994E-2</v>
      </c>
      <c r="F712">
        <v>0</v>
      </c>
      <c r="G712">
        <v>0.30270000000000002</v>
      </c>
      <c r="H712">
        <v>2.62</v>
      </c>
      <c r="I712">
        <v>0</v>
      </c>
      <c r="J712">
        <v>1.03E-2</v>
      </c>
      <c r="K712">
        <v>0</v>
      </c>
      <c r="L712">
        <v>65.41</v>
      </c>
      <c r="M712">
        <v>0.10059999999999999</v>
      </c>
      <c r="N712">
        <v>102.2051</v>
      </c>
      <c r="O712" t="s">
        <v>396</v>
      </c>
      <c r="Q712">
        <f t="shared" si="25"/>
        <v>68.03</v>
      </c>
      <c r="R712">
        <f>I712-(K712*Standards!$I$15)</f>
        <v>0</v>
      </c>
      <c r="S712">
        <f t="shared" si="26"/>
        <v>6.83E-2</v>
      </c>
      <c r="T712" t="s">
        <v>297</v>
      </c>
    </row>
    <row r="713" spans="1:20">
      <c r="A713">
        <v>133</v>
      </c>
      <c r="B713">
        <v>0</v>
      </c>
      <c r="C713">
        <v>8.5300000000000001E-2</v>
      </c>
      <c r="D713">
        <v>33.85</v>
      </c>
      <c r="E713">
        <v>9.2100000000000001E-2</v>
      </c>
      <c r="F713">
        <v>0</v>
      </c>
      <c r="G713">
        <v>0.31440000000000001</v>
      </c>
      <c r="H713">
        <v>3.15</v>
      </c>
      <c r="I713">
        <v>0</v>
      </c>
      <c r="J713">
        <v>0.26090000000000002</v>
      </c>
      <c r="K713">
        <v>0</v>
      </c>
      <c r="L713">
        <v>64.75</v>
      </c>
      <c r="M713">
        <v>9.98E-2</v>
      </c>
      <c r="N713">
        <v>102.6024</v>
      </c>
      <c r="O713" t="s">
        <v>396</v>
      </c>
      <c r="Q713">
        <f t="shared" si="25"/>
        <v>67.900000000000006</v>
      </c>
      <c r="R713">
        <f>I713-(K713*Standards!$I$15)</f>
        <v>0</v>
      </c>
      <c r="S713">
        <f t="shared" si="26"/>
        <v>8.5300000000000001E-2</v>
      </c>
      <c r="T713" t="s">
        <v>297</v>
      </c>
    </row>
    <row r="714" spans="1:20">
      <c r="A714">
        <v>147</v>
      </c>
      <c r="B714">
        <v>0</v>
      </c>
      <c r="C714">
        <v>5.9299999999999999E-2</v>
      </c>
      <c r="D714">
        <v>33.89</v>
      </c>
      <c r="E714">
        <v>9.8400000000000001E-2</v>
      </c>
      <c r="F714">
        <v>0</v>
      </c>
      <c r="G714">
        <v>0.31459999999999999</v>
      </c>
      <c r="H714">
        <v>2.82</v>
      </c>
      <c r="I714">
        <v>3.2000000000000002E-3</v>
      </c>
      <c r="J714">
        <v>0.46010000000000001</v>
      </c>
      <c r="K714">
        <v>0</v>
      </c>
      <c r="L714">
        <v>64.75</v>
      </c>
      <c r="M714">
        <v>7.4300000000000005E-2</v>
      </c>
      <c r="N714">
        <v>102.46980000000001</v>
      </c>
      <c r="O714" t="s">
        <v>396</v>
      </c>
      <c r="Q714">
        <f t="shared" ref="Q714:Q741" si="27">H714+L714</f>
        <v>67.569999999999993</v>
      </c>
      <c r="R714">
        <f>I714-(K714*Standards!$I$15)</f>
        <v>3.2000000000000002E-3</v>
      </c>
      <c r="S714">
        <f t="shared" ref="S714:S741" si="28">C714-(I714*0.05)</f>
        <v>5.9139999999999998E-2</v>
      </c>
      <c r="T714" t="s">
        <v>297</v>
      </c>
    </row>
    <row r="715" spans="1:20">
      <c r="A715">
        <v>143</v>
      </c>
      <c r="B715">
        <v>0</v>
      </c>
      <c r="C715">
        <v>3.7900000000000003E-2</v>
      </c>
      <c r="D715">
        <v>33.83</v>
      </c>
      <c r="E715">
        <v>8.2900000000000001E-2</v>
      </c>
      <c r="F715">
        <v>0</v>
      </c>
      <c r="G715">
        <v>0.2949</v>
      </c>
      <c r="H715">
        <v>3.09</v>
      </c>
      <c r="I715">
        <v>0</v>
      </c>
      <c r="J715">
        <v>0.17199999999999999</v>
      </c>
      <c r="K715">
        <v>0</v>
      </c>
      <c r="L715">
        <v>64.64</v>
      </c>
      <c r="M715">
        <v>6.9199999999999998E-2</v>
      </c>
      <c r="N715">
        <v>102.2169</v>
      </c>
      <c r="O715" t="s">
        <v>396</v>
      </c>
      <c r="Q715">
        <f t="shared" si="27"/>
        <v>67.73</v>
      </c>
      <c r="R715">
        <f>I715-(K715*Standards!$I$15)</f>
        <v>0</v>
      </c>
      <c r="S715">
        <f t="shared" si="28"/>
        <v>3.7900000000000003E-2</v>
      </c>
      <c r="T715" t="s">
        <v>297</v>
      </c>
    </row>
    <row r="716" spans="1:20">
      <c r="A716">
        <v>140</v>
      </c>
      <c r="B716">
        <v>0</v>
      </c>
      <c r="C716">
        <v>7.0499999999999993E-2</v>
      </c>
      <c r="D716">
        <v>33.659999999999997</v>
      </c>
      <c r="E716">
        <v>8.6699999999999999E-2</v>
      </c>
      <c r="F716">
        <v>0</v>
      </c>
      <c r="G716">
        <v>0.2994</v>
      </c>
      <c r="H716">
        <v>3.12</v>
      </c>
      <c r="I716">
        <v>0</v>
      </c>
      <c r="J716">
        <v>0.90769999999999995</v>
      </c>
      <c r="K716">
        <v>0</v>
      </c>
      <c r="L716">
        <v>64.459999999999994</v>
      </c>
      <c r="M716">
        <v>6.4000000000000001E-2</v>
      </c>
      <c r="N716">
        <v>102.6682</v>
      </c>
      <c r="O716" t="s">
        <v>396</v>
      </c>
      <c r="Q716">
        <f t="shared" si="27"/>
        <v>67.58</v>
      </c>
      <c r="R716">
        <f>I716-(K716*Standards!$I$15)</f>
        <v>0</v>
      </c>
      <c r="S716">
        <f t="shared" si="28"/>
        <v>7.0499999999999993E-2</v>
      </c>
      <c r="T716" t="s">
        <v>297</v>
      </c>
    </row>
    <row r="717" spans="1:20">
      <c r="A717">
        <v>150</v>
      </c>
      <c r="B717">
        <v>0</v>
      </c>
      <c r="C717">
        <v>5.8900000000000001E-2</v>
      </c>
      <c r="D717">
        <v>33.94</v>
      </c>
      <c r="E717">
        <v>0.1024</v>
      </c>
      <c r="F717">
        <v>0</v>
      </c>
      <c r="G717">
        <v>0.30909999999999999</v>
      </c>
      <c r="H717">
        <v>2.95</v>
      </c>
      <c r="I717">
        <v>0</v>
      </c>
      <c r="J717">
        <v>0.92379999999999995</v>
      </c>
      <c r="K717">
        <v>0</v>
      </c>
      <c r="L717">
        <v>64.400000000000006</v>
      </c>
      <c r="M717">
        <v>6.9599999999999995E-2</v>
      </c>
      <c r="N717">
        <v>102.7538</v>
      </c>
      <c r="O717" t="s">
        <v>396</v>
      </c>
      <c r="Q717">
        <f t="shared" si="27"/>
        <v>67.350000000000009</v>
      </c>
      <c r="R717">
        <f>I717-(K717*Standards!$I$15)</f>
        <v>0</v>
      </c>
      <c r="S717">
        <f t="shared" si="28"/>
        <v>5.8900000000000001E-2</v>
      </c>
      <c r="T717" t="s">
        <v>297</v>
      </c>
    </row>
    <row r="718" spans="1:20">
      <c r="A718">
        <v>134</v>
      </c>
      <c r="B718">
        <v>0</v>
      </c>
      <c r="C718">
        <v>6.7900000000000002E-2</v>
      </c>
      <c r="D718">
        <v>33.69</v>
      </c>
      <c r="E718">
        <v>0.11269999999999999</v>
      </c>
      <c r="F718">
        <v>0</v>
      </c>
      <c r="G718">
        <v>0.30869999999999997</v>
      </c>
      <c r="H718">
        <v>3.02</v>
      </c>
      <c r="I718">
        <v>1.6999999999999999E-3</v>
      </c>
      <c r="J718">
        <v>0.31059999999999999</v>
      </c>
      <c r="K718">
        <v>0</v>
      </c>
      <c r="L718">
        <v>64.36</v>
      </c>
      <c r="M718">
        <v>8.3900000000000002E-2</v>
      </c>
      <c r="N718">
        <v>101.9555</v>
      </c>
      <c r="O718" t="s">
        <v>396</v>
      </c>
      <c r="Q718">
        <f t="shared" si="27"/>
        <v>67.38</v>
      </c>
      <c r="R718">
        <f>I718-(K718*Standards!$I$15)</f>
        <v>1.6999999999999999E-3</v>
      </c>
      <c r="S718">
        <f t="shared" si="28"/>
        <v>6.7815E-2</v>
      </c>
      <c r="T718" t="s">
        <v>297</v>
      </c>
    </row>
    <row r="719" spans="1:20">
      <c r="A719">
        <v>146</v>
      </c>
      <c r="B719">
        <v>0</v>
      </c>
      <c r="C719">
        <v>5.9200000000000003E-2</v>
      </c>
      <c r="D719">
        <v>33.67</v>
      </c>
      <c r="E719">
        <v>9.2100000000000001E-2</v>
      </c>
      <c r="F719">
        <v>0</v>
      </c>
      <c r="G719">
        <v>0.29530000000000001</v>
      </c>
      <c r="H719">
        <v>3.79</v>
      </c>
      <c r="I719">
        <v>5.0000000000000001E-4</v>
      </c>
      <c r="J719">
        <v>0.75629999999999997</v>
      </c>
      <c r="K719">
        <v>0</v>
      </c>
      <c r="L719">
        <v>63.36</v>
      </c>
      <c r="M719">
        <v>8.0199999999999994E-2</v>
      </c>
      <c r="N719">
        <v>102.1035</v>
      </c>
      <c r="O719" t="s">
        <v>396</v>
      </c>
      <c r="Q719">
        <f t="shared" si="27"/>
        <v>67.150000000000006</v>
      </c>
      <c r="R719">
        <f>I719-(K719*Standards!$I$15)</f>
        <v>5.0000000000000001E-4</v>
      </c>
      <c r="S719">
        <f t="shared" si="28"/>
        <v>5.9175000000000005E-2</v>
      </c>
      <c r="T719" t="s">
        <v>297</v>
      </c>
    </row>
    <row r="720" spans="1:20">
      <c r="A720">
        <v>137</v>
      </c>
      <c r="B720">
        <v>0</v>
      </c>
      <c r="C720">
        <v>8.0100000000000005E-2</v>
      </c>
      <c r="D720">
        <v>33.700000000000003</v>
      </c>
      <c r="E720">
        <v>0.10630000000000001</v>
      </c>
      <c r="F720">
        <v>0</v>
      </c>
      <c r="G720">
        <v>0.31180000000000002</v>
      </c>
      <c r="H720">
        <v>3.81</v>
      </c>
      <c r="I720">
        <v>0</v>
      </c>
      <c r="J720">
        <v>1.1100000000000001</v>
      </c>
      <c r="K720">
        <v>0</v>
      </c>
      <c r="L720">
        <v>63.12</v>
      </c>
      <c r="M720">
        <v>7.9100000000000004E-2</v>
      </c>
      <c r="N720">
        <v>102.3173</v>
      </c>
      <c r="O720" t="s">
        <v>396</v>
      </c>
      <c r="Q720">
        <f t="shared" si="27"/>
        <v>66.929999999999993</v>
      </c>
      <c r="R720">
        <f>I720-(K720*Standards!$I$15)</f>
        <v>0</v>
      </c>
      <c r="S720">
        <f t="shared" si="28"/>
        <v>8.0100000000000005E-2</v>
      </c>
      <c r="T720" t="s">
        <v>297</v>
      </c>
    </row>
    <row r="721" spans="1:20">
      <c r="A721">
        <v>128</v>
      </c>
      <c r="B721">
        <v>0</v>
      </c>
      <c r="C721">
        <v>4.9500000000000002E-2</v>
      </c>
      <c r="D721">
        <v>33.68</v>
      </c>
      <c r="E721">
        <v>0.114</v>
      </c>
      <c r="F721">
        <v>0</v>
      </c>
      <c r="G721">
        <v>0.29149999999999998</v>
      </c>
      <c r="H721">
        <v>3.58</v>
      </c>
      <c r="I721">
        <v>0</v>
      </c>
      <c r="J721">
        <v>1.39</v>
      </c>
      <c r="K721">
        <v>0</v>
      </c>
      <c r="L721">
        <v>62.92</v>
      </c>
      <c r="M721">
        <v>8.9300000000000004E-2</v>
      </c>
      <c r="N721">
        <v>102.1142</v>
      </c>
      <c r="O721" t="s">
        <v>396</v>
      </c>
      <c r="Q721">
        <f t="shared" si="27"/>
        <v>66.5</v>
      </c>
      <c r="R721">
        <f>I721-(K721*Standards!$I$15)</f>
        <v>0</v>
      </c>
      <c r="S721">
        <f t="shared" si="28"/>
        <v>4.9500000000000002E-2</v>
      </c>
      <c r="T721" t="s">
        <v>297</v>
      </c>
    </row>
    <row r="722" spans="1:20">
      <c r="A722">
        <v>145</v>
      </c>
      <c r="B722">
        <v>0</v>
      </c>
      <c r="C722">
        <v>4.2099999999999999E-2</v>
      </c>
      <c r="D722">
        <v>33.71</v>
      </c>
      <c r="E722">
        <v>7.6399999999999996E-2</v>
      </c>
      <c r="F722">
        <v>0</v>
      </c>
      <c r="G722">
        <v>0.2923</v>
      </c>
      <c r="H722">
        <v>3.76</v>
      </c>
      <c r="I722">
        <v>0</v>
      </c>
      <c r="J722">
        <v>1.86</v>
      </c>
      <c r="K722">
        <v>0</v>
      </c>
      <c r="L722">
        <v>62.5</v>
      </c>
      <c r="M722">
        <v>9.4700000000000006E-2</v>
      </c>
      <c r="N722">
        <v>102.33540000000001</v>
      </c>
      <c r="O722" t="s">
        <v>396</v>
      </c>
      <c r="Q722">
        <f t="shared" si="27"/>
        <v>66.260000000000005</v>
      </c>
      <c r="R722">
        <f>I722-(K722*Standards!$I$15)</f>
        <v>0</v>
      </c>
      <c r="S722">
        <f t="shared" si="28"/>
        <v>4.2099999999999999E-2</v>
      </c>
      <c r="T722" t="s">
        <v>297</v>
      </c>
    </row>
    <row r="723" spans="1:20">
      <c r="A723">
        <v>129</v>
      </c>
      <c r="B723">
        <v>0</v>
      </c>
      <c r="C723">
        <v>5.9700000000000003E-2</v>
      </c>
      <c r="D723">
        <v>33.549999999999997</v>
      </c>
      <c r="E723">
        <v>0.104</v>
      </c>
      <c r="F723">
        <v>0</v>
      </c>
      <c r="G723">
        <v>0.2863</v>
      </c>
      <c r="H723">
        <v>4</v>
      </c>
      <c r="I723">
        <v>0</v>
      </c>
      <c r="J723">
        <v>2.17</v>
      </c>
      <c r="K723">
        <v>0</v>
      </c>
      <c r="L723">
        <v>61.71</v>
      </c>
      <c r="M723">
        <v>6.9099999999999995E-2</v>
      </c>
      <c r="N723">
        <v>101.949</v>
      </c>
      <c r="O723" t="s">
        <v>396</v>
      </c>
      <c r="Q723">
        <f t="shared" si="27"/>
        <v>65.710000000000008</v>
      </c>
      <c r="R723">
        <f>I723-(K723*Standards!$I$15)</f>
        <v>0</v>
      </c>
      <c r="S723">
        <f t="shared" si="28"/>
        <v>5.9700000000000003E-2</v>
      </c>
      <c r="T723" t="s">
        <v>297</v>
      </c>
    </row>
    <row r="724" spans="1:20">
      <c r="A724">
        <v>127</v>
      </c>
      <c r="B724">
        <v>0</v>
      </c>
      <c r="C724">
        <v>5.9799999999999999E-2</v>
      </c>
      <c r="D724">
        <v>33.94</v>
      </c>
      <c r="E724">
        <v>0.10780000000000001</v>
      </c>
      <c r="F724">
        <v>0</v>
      </c>
      <c r="G724">
        <v>0.28289999999999998</v>
      </c>
      <c r="H724">
        <v>4.3</v>
      </c>
      <c r="I724">
        <v>0</v>
      </c>
      <c r="J724">
        <v>3.06</v>
      </c>
      <c r="K724">
        <v>0</v>
      </c>
      <c r="L724">
        <v>61.03</v>
      </c>
      <c r="M724">
        <v>0.1109</v>
      </c>
      <c r="N724">
        <v>102.8913</v>
      </c>
      <c r="O724" t="s">
        <v>396</v>
      </c>
      <c r="Q724">
        <f t="shared" si="27"/>
        <v>65.33</v>
      </c>
      <c r="R724">
        <f>I724-(K724*Standards!$I$15)</f>
        <v>0</v>
      </c>
      <c r="S724">
        <f t="shared" si="28"/>
        <v>5.9799999999999999E-2</v>
      </c>
      <c r="T724" t="s">
        <v>297</v>
      </c>
    </row>
    <row r="725" spans="1:20">
      <c r="A725">
        <v>139</v>
      </c>
      <c r="B725">
        <v>0</v>
      </c>
      <c r="C725">
        <v>5.7099999999999998E-2</v>
      </c>
      <c r="D725">
        <v>33.659999999999997</v>
      </c>
      <c r="E725">
        <v>9.9500000000000005E-2</v>
      </c>
      <c r="F725">
        <v>3.8999999999999998E-3</v>
      </c>
      <c r="G725">
        <v>0.29039999999999999</v>
      </c>
      <c r="H725">
        <v>4.34</v>
      </c>
      <c r="I725">
        <v>1E-4</v>
      </c>
      <c r="J725">
        <v>2.39</v>
      </c>
      <c r="K725">
        <v>0</v>
      </c>
      <c r="L725">
        <v>60.93</v>
      </c>
      <c r="M725">
        <v>6.6299999999999998E-2</v>
      </c>
      <c r="N725">
        <v>101.8372</v>
      </c>
      <c r="O725" t="s">
        <v>396</v>
      </c>
      <c r="Q725">
        <f t="shared" si="27"/>
        <v>65.27</v>
      </c>
      <c r="R725">
        <f>I725-(K725*Standards!$I$15)</f>
        <v>1E-4</v>
      </c>
      <c r="S725">
        <f t="shared" si="28"/>
        <v>5.7095E-2</v>
      </c>
      <c r="T725" t="s">
        <v>297</v>
      </c>
    </row>
    <row r="726" spans="1:20">
      <c r="A726">
        <v>144</v>
      </c>
      <c r="B726">
        <v>0</v>
      </c>
      <c r="C726">
        <v>6.2899999999999998E-2</v>
      </c>
      <c r="D726">
        <v>33.64</v>
      </c>
      <c r="E726">
        <v>9.0200000000000002E-2</v>
      </c>
      <c r="F726">
        <v>0</v>
      </c>
      <c r="G726">
        <v>0.28589999999999999</v>
      </c>
      <c r="H726">
        <v>4.08</v>
      </c>
      <c r="I726">
        <v>0</v>
      </c>
      <c r="J726">
        <v>1.98</v>
      </c>
      <c r="K726">
        <v>0</v>
      </c>
      <c r="L726">
        <v>60.7</v>
      </c>
      <c r="M726">
        <v>6.0299999999999999E-2</v>
      </c>
      <c r="N726">
        <v>100.89919999999999</v>
      </c>
      <c r="O726" t="s">
        <v>396</v>
      </c>
      <c r="Q726">
        <f t="shared" si="27"/>
        <v>64.78</v>
      </c>
      <c r="R726">
        <f>I726-(K726*Standards!$I$15)</f>
        <v>0</v>
      </c>
      <c r="S726">
        <f t="shared" si="28"/>
        <v>6.2899999999999998E-2</v>
      </c>
      <c r="T726" t="s">
        <v>297</v>
      </c>
    </row>
    <row r="727" spans="1:20">
      <c r="A727">
        <v>138</v>
      </c>
      <c r="B727">
        <v>0</v>
      </c>
      <c r="C727">
        <v>5.6599999999999998E-2</v>
      </c>
      <c r="D727">
        <v>33.69</v>
      </c>
      <c r="E727">
        <v>0.1028</v>
      </c>
      <c r="F727">
        <v>0</v>
      </c>
      <c r="G727">
        <v>0.2762</v>
      </c>
      <c r="H727">
        <v>5.88</v>
      </c>
      <c r="I727">
        <v>0</v>
      </c>
      <c r="J727">
        <v>2.99</v>
      </c>
      <c r="K727">
        <v>0</v>
      </c>
      <c r="L727">
        <v>58.49</v>
      </c>
      <c r="M727">
        <v>7.0000000000000007E-2</v>
      </c>
      <c r="N727">
        <v>101.55549999999999</v>
      </c>
      <c r="O727" t="s">
        <v>396</v>
      </c>
      <c r="Q727">
        <f t="shared" si="27"/>
        <v>64.37</v>
      </c>
      <c r="R727">
        <f>I727-(K727*Standards!$I$15)</f>
        <v>0</v>
      </c>
      <c r="S727">
        <f t="shared" si="28"/>
        <v>5.6599999999999998E-2</v>
      </c>
      <c r="T727" t="s">
        <v>297</v>
      </c>
    </row>
    <row r="728" spans="1:20">
      <c r="A728">
        <v>142</v>
      </c>
      <c r="B728">
        <v>0</v>
      </c>
      <c r="C728">
        <v>5.1499999999999997E-2</v>
      </c>
      <c r="D728">
        <v>33.65</v>
      </c>
      <c r="E728">
        <v>8.2199999999999995E-2</v>
      </c>
      <c r="F728">
        <v>0</v>
      </c>
      <c r="G728">
        <v>0.27979999999999999</v>
      </c>
      <c r="H728">
        <v>5.51</v>
      </c>
      <c r="I728">
        <v>0</v>
      </c>
      <c r="J728">
        <v>4.25</v>
      </c>
      <c r="K728">
        <v>0</v>
      </c>
      <c r="L728">
        <v>57.55</v>
      </c>
      <c r="M728">
        <v>7.1400000000000005E-2</v>
      </c>
      <c r="N728">
        <v>101.4449</v>
      </c>
      <c r="O728" t="s">
        <v>396</v>
      </c>
      <c r="Q728">
        <f t="shared" si="27"/>
        <v>63.059999999999995</v>
      </c>
      <c r="R728">
        <f>I728-(K728*Standards!$I$15)</f>
        <v>0</v>
      </c>
      <c r="S728">
        <f t="shared" si="28"/>
        <v>5.1499999999999997E-2</v>
      </c>
      <c r="T728" t="s">
        <v>297</v>
      </c>
    </row>
    <row r="729" spans="1:20">
      <c r="A729">
        <v>132</v>
      </c>
      <c r="B729">
        <v>0</v>
      </c>
      <c r="C729">
        <v>3.1199999999999999E-2</v>
      </c>
      <c r="D729">
        <v>34.020000000000003</v>
      </c>
      <c r="E729">
        <v>9.7100000000000006E-2</v>
      </c>
      <c r="F729">
        <v>0</v>
      </c>
      <c r="G729">
        <v>0.26069999999999999</v>
      </c>
      <c r="H729">
        <v>6.42</v>
      </c>
      <c r="I729">
        <v>0</v>
      </c>
      <c r="J729">
        <v>5.38</v>
      </c>
      <c r="K729">
        <v>0</v>
      </c>
      <c r="L729">
        <v>55.12</v>
      </c>
      <c r="M729">
        <v>0.1076</v>
      </c>
      <c r="N729">
        <v>101.4365</v>
      </c>
      <c r="O729" t="s">
        <v>396</v>
      </c>
      <c r="Q729">
        <f t="shared" si="27"/>
        <v>61.54</v>
      </c>
      <c r="R729">
        <f>I729-(K729*Standards!$I$15)</f>
        <v>0</v>
      </c>
      <c r="S729">
        <f t="shared" si="28"/>
        <v>3.1199999999999999E-2</v>
      </c>
      <c r="T729" t="s">
        <v>297</v>
      </c>
    </row>
    <row r="730" spans="1:20">
      <c r="A730">
        <v>178</v>
      </c>
      <c r="B730">
        <v>0</v>
      </c>
      <c r="C730">
        <v>5.7799999999999997E-2</v>
      </c>
      <c r="D730">
        <v>34.159999999999997</v>
      </c>
      <c r="E730">
        <v>9.6299999999999997E-2</v>
      </c>
      <c r="F730">
        <v>0</v>
      </c>
      <c r="G730">
        <v>0.33829999999999999</v>
      </c>
      <c r="H730">
        <v>7.41</v>
      </c>
      <c r="I730">
        <v>0</v>
      </c>
      <c r="J730">
        <v>0.32100000000000001</v>
      </c>
      <c r="K730">
        <v>0</v>
      </c>
      <c r="L730">
        <v>59.77</v>
      </c>
      <c r="M730">
        <v>7.2300000000000003E-2</v>
      </c>
      <c r="N730">
        <v>102.2256</v>
      </c>
      <c r="O730" t="s">
        <v>397</v>
      </c>
      <c r="Q730">
        <f t="shared" si="27"/>
        <v>67.180000000000007</v>
      </c>
      <c r="R730">
        <f>I730-(K730*Standards!$I$15)</f>
        <v>0</v>
      </c>
      <c r="S730">
        <f t="shared" si="28"/>
        <v>5.7799999999999997E-2</v>
      </c>
      <c r="T730" t="s">
        <v>297</v>
      </c>
    </row>
    <row r="731" spans="1:20">
      <c r="A731">
        <v>198</v>
      </c>
      <c r="B731">
        <v>0</v>
      </c>
      <c r="C731">
        <v>4.9599999999999998E-2</v>
      </c>
      <c r="D731">
        <v>33.72</v>
      </c>
      <c r="E731">
        <v>9.6799999999999997E-2</v>
      </c>
      <c r="F731">
        <v>0</v>
      </c>
      <c r="G731">
        <v>0.33779999999999999</v>
      </c>
      <c r="H731">
        <v>7.86</v>
      </c>
      <c r="I731">
        <v>0</v>
      </c>
      <c r="J731">
        <v>0.49569999999999997</v>
      </c>
      <c r="K731">
        <v>2.3E-2</v>
      </c>
      <c r="L731">
        <v>59</v>
      </c>
      <c r="M731">
        <v>4.7300000000000002E-2</v>
      </c>
      <c r="N731">
        <v>101.6301</v>
      </c>
      <c r="O731" t="s">
        <v>397</v>
      </c>
      <c r="Q731">
        <f t="shared" si="27"/>
        <v>66.86</v>
      </c>
      <c r="R731">
        <f>I731-(K731*Standards!$I$15)</f>
        <v>-5.0887500000000004E-5</v>
      </c>
      <c r="S731">
        <f t="shared" si="28"/>
        <v>4.9599999999999998E-2</v>
      </c>
      <c r="T731" t="s">
        <v>297</v>
      </c>
    </row>
    <row r="732" spans="1:20">
      <c r="A732">
        <v>190</v>
      </c>
      <c r="B732">
        <v>0</v>
      </c>
      <c r="C732">
        <v>6.2899999999999998E-2</v>
      </c>
      <c r="D732">
        <v>33.96</v>
      </c>
      <c r="E732">
        <v>8.2400000000000001E-2</v>
      </c>
      <c r="F732">
        <v>0</v>
      </c>
      <c r="G732">
        <v>0.32279999999999998</v>
      </c>
      <c r="H732">
        <v>8.11</v>
      </c>
      <c r="I732">
        <v>0</v>
      </c>
      <c r="J732">
        <v>0.63349999999999995</v>
      </c>
      <c r="K732">
        <v>0</v>
      </c>
      <c r="L732">
        <v>58.96</v>
      </c>
      <c r="M732">
        <v>8.48E-2</v>
      </c>
      <c r="N732">
        <v>102.2163</v>
      </c>
      <c r="O732" t="s">
        <v>397</v>
      </c>
      <c r="Q732">
        <f t="shared" si="27"/>
        <v>67.069999999999993</v>
      </c>
      <c r="R732">
        <f>I732-(K732*Standards!$I$15)</f>
        <v>0</v>
      </c>
      <c r="S732">
        <f t="shared" si="28"/>
        <v>6.2899999999999998E-2</v>
      </c>
      <c r="T732" t="s">
        <v>297</v>
      </c>
    </row>
    <row r="733" spans="1:20">
      <c r="A733">
        <v>189</v>
      </c>
      <c r="B733">
        <v>0</v>
      </c>
      <c r="C733">
        <v>5.5100000000000003E-2</v>
      </c>
      <c r="D733">
        <v>33.96</v>
      </c>
      <c r="E733">
        <v>9.3600000000000003E-2</v>
      </c>
      <c r="F733">
        <v>8.9999999999999998E-4</v>
      </c>
      <c r="G733">
        <v>0.33560000000000001</v>
      </c>
      <c r="H733">
        <v>8.34</v>
      </c>
      <c r="I733">
        <v>0</v>
      </c>
      <c r="J733">
        <v>0.29530000000000001</v>
      </c>
      <c r="K733">
        <v>0</v>
      </c>
      <c r="L733">
        <v>58.89</v>
      </c>
      <c r="M733">
        <v>5.8299999999999998E-2</v>
      </c>
      <c r="N733">
        <v>102.0287</v>
      </c>
      <c r="O733" t="s">
        <v>397</v>
      </c>
      <c r="Q733">
        <f t="shared" si="27"/>
        <v>67.23</v>
      </c>
      <c r="R733">
        <f>I733-(K733*Standards!$I$15)</f>
        <v>0</v>
      </c>
      <c r="S733">
        <f t="shared" si="28"/>
        <v>5.5100000000000003E-2</v>
      </c>
      <c r="T733" t="s">
        <v>297</v>
      </c>
    </row>
    <row r="734" spans="1:20">
      <c r="A734">
        <v>177</v>
      </c>
      <c r="B734">
        <v>0</v>
      </c>
      <c r="C734">
        <v>5.4399999999999997E-2</v>
      </c>
      <c r="D734">
        <v>34.020000000000003</v>
      </c>
      <c r="E734">
        <v>7.7899999999999997E-2</v>
      </c>
      <c r="F734">
        <v>0</v>
      </c>
      <c r="G734">
        <v>0.33029999999999998</v>
      </c>
      <c r="H734">
        <v>8.68</v>
      </c>
      <c r="I734">
        <v>0</v>
      </c>
      <c r="J734">
        <v>5.4800000000000001E-2</v>
      </c>
      <c r="K734">
        <v>0</v>
      </c>
      <c r="L734">
        <v>58.78</v>
      </c>
      <c r="M734">
        <v>6.9199999999999998E-2</v>
      </c>
      <c r="N734">
        <v>102.0665</v>
      </c>
      <c r="O734" t="s">
        <v>397</v>
      </c>
      <c r="Q734">
        <f t="shared" si="27"/>
        <v>67.460000000000008</v>
      </c>
      <c r="R734">
        <f>I734-(K734*Standards!$I$15)</f>
        <v>0</v>
      </c>
      <c r="S734">
        <f t="shared" si="28"/>
        <v>5.4399999999999997E-2</v>
      </c>
      <c r="T734" t="s">
        <v>297</v>
      </c>
    </row>
    <row r="735" spans="1:20">
      <c r="A735">
        <v>193</v>
      </c>
      <c r="B735">
        <v>0</v>
      </c>
      <c r="C735">
        <v>8.0699999999999994E-2</v>
      </c>
      <c r="D735">
        <v>34.26</v>
      </c>
      <c r="E735">
        <v>9.2100000000000001E-2</v>
      </c>
      <c r="F735">
        <v>0</v>
      </c>
      <c r="G735">
        <v>0.34</v>
      </c>
      <c r="H735">
        <v>8.49</v>
      </c>
      <c r="I735">
        <v>0</v>
      </c>
      <c r="J735">
        <v>0.1179</v>
      </c>
      <c r="K735">
        <v>0</v>
      </c>
      <c r="L735">
        <v>58.74</v>
      </c>
      <c r="M735">
        <v>6.3200000000000006E-2</v>
      </c>
      <c r="N735">
        <v>102.18380000000001</v>
      </c>
      <c r="O735" t="s">
        <v>397</v>
      </c>
      <c r="Q735">
        <f t="shared" si="27"/>
        <v>67.23</v>
      </c>
      <c r="R735">
        <f>I735-(K735*Standards!$I$15)</f>
        <v>0</v>
      </c>
      <c r="S735">
        <f t="shared" si="28"/>
        <v>8.0699999999999994E-2</v>
      </c>
      <c r="T735" t="s">
        <v>297</v>
      </c>
    </row>
    <row r="736" spans="1:20">
      <c r="A736">
        <v>199</v>
      </c>
      <c r="B736">
        <v>0</v>
      </c>
      <c r="C736">
        <v>4.2999999999999997E-2</v>
      </c>
      <c r="D736">
        <v>33.94</v>
      </c>
      <c r="E736">
        <v>7.6200000000000004E-2</v>
      </c>
      <c r="F736">
        <v>0</v>
      </c>
      <c r="G736">
        <v>0.32169999999999999</v>
      </c>
      <c r="H736">
        <v>8.82</v>
      </c>
      <c r="I736">
        <v>0</v>
      </c>
      <c r="J736">
        <v>7.1800000000000003E-2</v>
      </c>
      <c r="K736">
        <v>0</v>
      </c>
      <c r="L736">
        <v>58.48</v>
      </c>
      <c r="M736">
        <v>7.6399999999999996E-2</v>
      </c>
      <c r="N736">
        <v>101.82899999999999</v>
      </c>
      <c r="O736" t="s">
        <v>397</v>
      </c>
      <c r="Q736">
        <f t="shared" si="27"/>
        <v>67.3</v>
      </c>
      <c r="R736">
        <f>I736-(K736*Standards!$I$15)</f>
        <v>0</v>
      </c>
      <c r="S736">
        <f t="shared" si="28"/>
        <v>4.2999999999999997E-2</v>
      </c>
      <c r="T736" t="s">
        <v>297</v>
      </c>
    </row>
    <row r="737" spans="1:31">
      <c r="A737">
        <v>68</v>
      </c>
      <c r="B737">
        <v>0</v>
      </c>
      <c r="C737">
        <v>4.5199999999999997E-2</v>
      </c>
      <c r="D737">
        <v>34.159999999999997</v>
      </c>
      <c r="E737">
        <v>9.64E-2</v>
      </c>
      <c r="F737">
        <v>0</v>
      </c>
      <c r="G737">
        <v>0.31230000000000002</v>
      </c>
      <c r="H737">
        <v>2.79</v>
      </c>
      <c r="I737">
        <v>0</v>
      </c>
      <c r="J737">
        <v>3.3000000000000002E-2</v>
      </c>
      <c r="K737">
        <v>0</v>
      </c>
      <c r="L737">
        <v>64.599999999999994</v>
      </c>
      <c r="M737">
        <v>0.1208</v>
      </c>
      <c r="N737">
        <v>102.1576</v>
      </c>
      <c r="O737" t="s">
        <v>398</v>
      </c>
      <c r="Q737">
        <f t="shared" si="27"/>
        <v>67.39</v>
      </c>
      <c r="R737">
        <f>I737-(K737*Standards!$I$15)</f>
        <v>0</v>
      </c>
      <c r="S737">
        <f t="shared" si="28"/>
        <v>4.5199999999999997E-2</v>
      </c>
      <c r="T737" t="s">
        <v>297</v>
      </c>
      <c r="U737">
        <f>COUNT(R737:R746)</f>
        <v>6</v>
      </c>
      <c r="V737">
        <f>MAX(H737:H746)</f>
        <v>4.0999999999999996</v>
      </c>
      <c r="W737">
        <f>AVERAGE(H737:H746)</f>
        <v>3.2666666666666671</v>
      </c>
      <c r="X737">
        <f>MAX(J737:J746)</f>
        <v>1.74</v>
      </c>
      <c r="Y737">
        <f>AVERAGE(J737:J746)</f>
        <v>0.78699999999999992</v>
      </c>
      <c r="Z737">
        <f>10000*MAX(R737:R746)</f>
        <v>54</v>
      </c>
      <c r="AA737">
        <f>10000*AVERAGE(R737:R746)</f>
        <v>11.922756250000001</v>
      </c>
      <c r="AB737">
        <f>10000*MAX(G737:G746)</f>
        <v>3123</v>
      </c>
      <c r="AC737">
        <f>10000*AVERAGE(G737:G746)</f>
        <v>2915.666666666667</v>
      </c>
      <c r="AD737">
        <f>10000*MAX(S737:S746)</f>
        <v>478.29999999999995</v>
      </c>
      <c r="AE737">
        <f>10000*AVERAGE(S737:S746)</f>
        <v>385.05833333333334</v>
      </c>
    </row>
    <row r="738" spans="1:31">
      <c r="A738">
        <v>72</v>
      </c>
      <c r="B738">
        <v>0</v>
      </c>
      <c r="C738">
        <v>4.8099999999999997E-2</v>
      </c>
      <c r="D738">
        <v>34.03</v>
      </c>
      <c r="E738">
        <v>0.10929999999999999</v>
      </c>
      <c r="F738">
        <v>0</v>
      </c>
      <c r="G738">
        <v>0.30580000000000002</v>
      </c>
      <c r="H738">
        <v>2.59</v>
      </c>
      <c r="I738">
        <v>5.4000000000000003E-3</v>
      </c>
      <c r="J738">
        <v>0.2545</v>
      </c>
      <c r="K738">
        <v>0</v>
      </c>
      <c r="L738">
        <v>64.05</v>
      </c>
      <c r="M738">
        <v>0.10290000000000001</v>
      </c>
      <c r="N738">
        <v>101.49590000000001</v>
      </c>
      <c r="O738" t="s">
        <v>398</v>
      </c>
      <c r="Q738">
        <f t="shared" si="27"/>
        <v>66.64</v>
      </c>
      <c r="R738">
        <f>I738-(K738*Standards!$I$15)</f>
        <v>5.4000000000000003E-3</v>
      </c>
      <c r="S738">
        <f t="shared" si="28"/>
        <v>4.7829999999999998E-2</v>
      </c>
      <c r="T738" t="s">
        <v>297</v>
      </c>
    </row>
    <row r="739" spans="1:31">
      <c r="A739">
        <v>84</v>
      </c>
      <c r="B739">
        <v>0</v>
      </c>
      <c r="C739">
        <v>3.2500000000000001E-2</v>
      </c>
      <c r="D739">
        <v>34.03</v>
      </c>
      <c r="E739">
        <v>0.1066</v>
      </c>
      <c r="F739">
        <v>0</v>
      </c>
      <c r="G739">
        <v>0.28239999999999998</v>
      </c>
      <c r="H739">
        <v>3.19</v>
      </c>
      <c r="I739">
        <v>0</v>
      </c>
      <c r="J739">
        <v>0.93389999999999995</v>
      </c>
      <c r="K739">
        <v>0</v>
      </c>
      <c r="L739">
        <v>63.83</v>
      </c>
      <c r="M739">
        <v>0.1052</v>
      </c>
      <c r="N739">
        <v>102.51049999999999</v>
      </c>
      <c r="O739" t="s">
        <v>398</v>
      </c>
      <c r="Q739">
        <f t="shared" si="27"/>
        <v>67.02</v>
      </c>
      <c r="R739">
        <f>I739-(K739*Standards!$I$15)</f>
        <v>0</v>
      </c>
      <c r="S739">
        <f t="shared" si="28"/>
        <v>3.2500000000000001E-2</v>
      </c>
      <c r="T739" t="s">
        <v>297</v>
      </c>
    </row>
    <row r="740" spans="1:31">
      <c r="A740">
        <v>82</v>
      </c>
      <c r="B740">
        <v>0</v>
      </c>
      <c r="C740">
        <v>2.6200000000000001E-2</v>
      </c>
      <c r="D740">
        <v>34.01</v>
      </c>
      <c r="E740">
        <v>0.1004</v>
      </c>
      <c r="F740">
        <v>0</v>
      </c>
      <c r="G740">
        <v>0.25950000000000001</v>
      </c>
      <c r="H740">
        <v>3.85</v>
      </c>
      <c r="I740">
        <v>0</v>
      </c>
      <c r="J740">
        <v>1.74</v>
      </c>
      <c r="K740">
        <v>0</v>
      </c>
      <c r="L740">
        <v>62.17</v>
      </c>
      <c r="M740">
        <v>0.11459999999999999</v>
      </c>
      <c r="N740">
        <v>102.2706</v>
      </c>
      <c r="O740" t="s">
        <v>398</v>
      </c>
      <c r="Q740">
        <f t="shared" si="27"/>
        <v>66.02</v>
      </c>
      <c r="R740">
        <f>I740-(K740*Standards!$I$15)</f>
        <v>0</v>
      </c>
      <c r="S740">
        <f t="shared" si="28"/>
        <v>2.6200000000000001E-2</v>
      </c>
      <c r="T740" t="s">
        <v>297</v>
      </c>
    </row>
    <row r="741" spans="1:31">
      <c r="A741">
        <v>81</v>
      </c>
      <c r="B741">
        <v>0</v>
      </c>
      <c r="C741">
        <v>3.6900000000000002E-2</v>
      </c>
      <c r="D741">
        <v>33.76</v>
      </c>
      <c r="E741">
        <v>0.1076</v>
      </c>
      <c r="F741">
        <v>0</v>
      </c>
      <c r="G741">
        <v>0.29360000000000003</v>
      </c>
      <c r="H741">
        <v>3.08</v>
      </c>
      <c r="I741">
        <v>3.8999999999999998E-3</v>
      </c>
      <c r="J741">
        <v>1.39</v>
      </c>
      <c r="K741">
        <v>0.97009999999999996</v>
      </c>
      <c r="L741">
        <v>62.09</v>
      </c>
      <c r="M741">
        <v>0.1116</v>
      </c>
      <c r="N741">
        <v>101.8437</v>
      </c>
      <c r="O741" t="s">
        <v>398</v>
      </c>
      <c r="Q741">
        <f t="shared" si="27"/>
        <v>65.17</v>
      </c>
      <c r="R741">
        <f>I741-(K741*Standards!$I$15)</f>
        <v>1.75365375E-3</v>
      </c>
      <c r="S741">
        <f t="shared" si="28"/>
        <v>3.6705000000000002E-2</v>
      </c>
      <c r="T741" t="s">
        <v>297</v>
      </c>
    </row>
    <row r="743" spans="1:31">
      <c r="A743">
        <v>71</v>
      </c>
      <c r="B743">
        <v>0</v>
      </c>
      <c r="C743">
        <v>4.2599999999999999E-2</v>
      </c>
      <c r="D743">
        <v>34.14</v>
      </c>
      <c r="E743">
        <v>0.1024</v>
      </c>
      <c r="F743">
        <v>0</v>
      </c>
      <c r="G743">
        <v>0.29580000000000001</v>
      </c>
      <c r="H743">
        <v>4.0999999999999996</v>
      </c>
      <c r="I743">
        <v>0</v>
      </c>
      <c r="J743">
        <v>0.37059999999999998</v>
      </c>
      <c r="K743">
        <v>0</v>
      </c>
      <c r="L743">
        <v>62.82</v>
      </c>
      <c r="M743">
        <v>0.1019</v>
      </c>
      <c r="N743">
        <v>101.97320000000001</v>
      </c>
      <c r="O743" t="s">
        <v>399</v>
      </c>
      <c r="Q743">
        <f>H743+L743</f>
        <v>66.92</v>
      </c>
      <c r="R743">
        <f>I743-(K743*Standards!$I$15)</f>
        <v>0</v>
      </c>
      <c r="S743">
        <f>C743-(I743*0.05)</f>
        <v>4.2599999999999999E-2</v>
      </c>
      <c r="T743" t="s">
        <v>297</v>
      </c>
    </row>
    <row r="747" spans="1:31">
      <c r="A747">
        <v>13</v>
      </c>
      <c r="B747">
        <v>0</v>
      </c>
      <c r="C747">
        <v>6.3100000000000003E-2</v>
      </c>
      <c r="D747">
        <v>34.020000000000003</v>
      </c>
      <c r="E747">
        <v>0.1154</v>
      </c>
      <c r="F747">
        <v>0</v>
      </c>
      <c r="G747">
        <v>0.32879999999999998</v>
      </c>
      <c r="H747">
        <v>3.69</v>
      </c>
      <c r="I747">
        <v>0.1</v>
      </c>
      <c r="J747">
        <v>0.97460000000000002</v>
      </c>
      <c r="K747">
        <v>0</v>
      </c>
      <c r="L747">
        <v>62.73</v>
      </c>
      <c r="M747">
        <v>0.11360000000000001</v>
      </c>
      <c r="N747">
        <v>102.1354</v>
      </c>
      <c r="O747" t="s">
        <v>400</v>
      </c>
      <c r="Q747">
        <f t="shared" ref="Q747:Q776" si="29">H747+L747</f>
        <v>66.42</v>
      </c>
      <c r="R747">
        <f>I747-(K747*Standards!$I$15)</f>
        <v>0.1</v>
      </c>
      <c r="S747">
        <f t="shared" ref="S747:S776" si="30">C747-(I747*0.05)</f>
        <v>5.8099999999999999E-2</v>
      </c>
      <c r="T747" t="s">
        <v>299</v>
      </c>
      <c r="U747">
        <f>COUNT(R747:R756)</f>
        <v>10</v>
      </c>
      <c r="V747">
        <f>MAX(H747:H756)</f>
        <v>6.61</v>
      </c>
      <c r="W747">
        <f>AVERAGE(H747:H756)</f>
        <v>4.3499999999999996</v>
      </c>
      <c r="X747">
        <f>MAX(J747:J756)</f>
        <v>4.74</v>
      </c>
      <c r="Y747">
        <f>AVERAGE(J747:J756)</f>
        <v>1.7047699999999999</v>
      </c>
      <c r="Z747">
        <f>10000*MAX(R747:R756)</f>
        <v>2324</v>
      </c>
      <c r="AA747">
        <f>10000*AVERAGE(R747:R756)</f>
        <v>1543.1999999999998</v>
      </c>
      <c r="AB747">
        <f>10000*MAX(G747:G756)</f>
        <v>3288</v>
      </c>
      <c r="AC747">
        <f>10000*AVERAGE(G747:G756)</f>
        <v>3070.6</v>
      </c>
      <c r="AD747">
        <f>10000*MAX(S747:S756)</f>
        <v>625.70000000000005</v>
      </c>
      <c r="AE747">
        <f>10000*AVERAGE(S747:S756)</f>
        <v>447.14</v>
      </c>
    </row>
    <row r="748" spans="1:31">
      <c r="A748">
        <v>11</v>
      </c>
      <c r="B748">
        <v>0</v>
      </c>
      <c r="C748">
        <v>4.5999999999999999E-2</v>
      </c>
      <c r="D748">
        <v>34.119999999999997</v>
      </c>
      <c r="E748">
        <v>0.1188</v>
      </c>
      <c r="F748">
        <v>0</v>
      </c>
      <c r="G748">
        <v>0.32300000000000001</v>
      </c>
      <c r="H748">
        <v>4.8499999999999996</v>
      </c>
      <c r="I748">
        <v>9.5500000000000002E-2</v>
      </c>
      <c r="J748">
        <v>0.70050000000000001</v>
      </c>
      <c r="K748">
        <v>0</v>
      </c>
      <c r="L748">
        <v>61.91</v>
      </c>
      <c r="M748">
        <v>9.3899999999999997E-2</v>
      </c>
      <c r="N748">
        <v>102.2577</v>
      </c>
      <c r="O748" t="s">
        <v>400</v>
      </c>
      <c r="Q748">
        <f t="shared" si="29"/>
        <v>66.759999999999991</v>
      </c>
      <c r="R748">
        <f>I748-(K748*Standards!$I$15)</f>
        <v>9.5500000000000002E-2</v>
      </c>
      <c r="S748">
        <f t="shared" si="30"/>
        <v>4.1224999999999998E-2</v>
      </c>
      <c r="T748" t="s">
        <v>299</v>
      </c>
    </row>
    <row r="749" spans="1:31">
      <c r="A749">
        <v>12</v>
      </c>
      <c r="B749">
        <v>0</v>
      </c>
      <c r="C749">
        <v>3.3099999999999997E-2</v>
      </c>
      <c r="D749">
        <v>34.04</v>
      </c>
      <c r="E749">
        <v>0.1169</v>
      </c>
      <c r="F749">
        <v>0</v>
      </c>
      <c r="G749">
        <v>0.3266</v>
      </c>
      <c r="H749">
        <v>4.8600000000000003</v>
      </c>
      <c r="I749">
        <v>0.12139999999999999</v>
      </c>
      <c r="J749">
        <v>3.16</v>
      </c>
      <c r="K749">
        <v>0</v>
      </c>
      <c r="L749">
        <v>59.15</v>
      </c>
      <c r="M749">
        <v>8.3299999999999999E-2</v>
      </c>
      <c r="N749">
        <v>101.8912</v>
      </c>
      <c r="O749" t="s">
        <v>400</v>
      </c>
      <c r="Q749">
        <f t="shared" si="29"/>
        <v>64.010000000000005</v>
      </c>
      <c r="R749">
        <f>I749-(K749*Standards!$I$15)</f>
        <v>0.12139999999999999</v>
      </c>
      <c r="S749">
        <f t="shared" si="30"/>
        <v>2.7029999999999998E-2</v>
      </c>
      <c r="T749" t="s">
        <v>299</v>
      </c>
    </row>
    <row r="750" spans="1:31">
      <c r="A750">
        <v>15</v>
      </c>
      <c r="B750">
        <v>0</v>
      </c>
      <c r="C750">
        <v>3.3700000000000001E-2</v>
      </c>
      <c r="D750">
        <v>34.119999999999997</v>
      </c>
      <c r="E750">
        <v>0.1174</v>
      </c>
      <c r="F750">
        <v>0</v>
      </c>
      <c r="G750">
        <v>0.31480000000000002</v>
      </c>
      <c r="H750">
        <v>5.04</v>
      </c>
      <c r="I750">
        <v>0.1162</v>
      </c>
      <c r="J750">
        <v>3.49</v>
      </c>
      <c r="K750">
        <v>0</v>
      </c>
      <c r="L750">
        <v>59.08</v>
      </c>
      <c r="M750">
        <v>0.1103</v>
      </c>
      <c r="N750">
        <v>102.42230000000001</v>
      </c>
      <c r="O750" t="s">
        <v>400</v>
      </c>
      <c r="Q750">
        <f t="shared" si="29"/>
        <v>64.12</v>
      </c>
      <c r="R750">
        <f>I750-(K750*Standards!$I$15)</f>
        <v>0.1162</v>
      </c>
      <c r="S750">
        <f t="shared" si="30"/>
        <v>2.7890000000000002E-2</v>
      </c>
      <c r="T750" t="s">
        <v>299</v>
      </c>
    </row>
    <row r="751" spans="1:31">
      <c r="A751">
        <v>14</v>
      </c>
      <c r="B751">
        <v>0</v>
      </c>
      <c r="C751">
        <v>1.6199999999999999E-2</v>
      </c>
      <c r="D751">
        <v>34.06</v>
      </c>
      <c r="E751">
        <v>0.1079</v>
      </c>
      <c r="F751">
        <v>0</v>
      </c>
      <c r="G751">
        <v>0.28039999999999998</v>
      </c>
      <c r="H751">
        <v>6.61</v>
      </c>
      <c r="I751">
        <v>9.2600000000000002E-2</v>
      </c>
      <c r="J751">
        <v>4.74</v>
      </c>
      <c r="K751">
        <v>0</v>
      </c>
      <c r="L751">
        <v>56.28</v>
      </c>
      <c r="M751">
        <v>9.8299999999999998E-2</v>
      </c>
      <c r="N751">
        <v>102.28530000000001</v>
      </c>
      <c r="O751" t="s">
        <v>400</v>
      </c>
      <c r="Q751">
        <f t="shared" si="29"/>
        <v>62.89</v>
      </c>
      <c r="R751">
        <f>I751-(K751*Standards!$I$15)</f>
        <v>9.2600000000000002E-2</v>
      </c>
      <c r="S751">
        <f t="shared" si="30"/>
        <v>1.1569999999999999E-2</v>
      </c>
      <c r="T751" t="s">
        <v>299</v>
      </c>
    </row>
    <row r="752" spans="1:31">
      <c r="A752">
        <v>117</v>
      </c>
      <c r="B752">
        <v>0</v>
      </c>
      <c r="C752">
        <v>6.3299999999999995E-2</v>
      </c>
      <c r="D752">
        <v>33.68</v>
      </c>
      <c r="E752">
        <v>0.1046</v>
      </c>
      <c r="F752">
        <v>0</v>
      </c>
      <c r="G752">
        <v>0.31169999999999998</v>
      </c>
      <c r="H752">
        <v>3.24</v>
      </c>
      <c r="I752">
        <v>0.1981</v>
      </c>
      <c r="J752">
        <v>0.86609999999999998</v>
      </c>
      <c r="K752">
        <v>0</v>
      </c>
      <c r="L752">
        <v>64.150000000000006</v>
      </c>
      <c r="M752">
        <v>9.7000000000000003E-2</v>
      </c>
      <c r="N752">
        <v>102.7107</v>
      </c>
      <c r="O752" t="s">
        <v>401</v>
      </c>
      <c r="Q752">
        <f t="shared" si="29"/>
        <v>67.39</v>
      </c>
      <c r="R752">
        <f>I752-(K752*Standards!$I$15)</f>
        <v>0.1981</v>
      </c>
      <c r="S752">
        <f t="shared" si="30"/>
        <v>5.3394999999999998E-2</v>
      </c>
      <c r="T752" t="s">
        <v>299</v>
      </c>
    </row>
    <row r="753" spans="1:20">
      <c r="A753">
        <v>114</v>
      </c>
      <c r="B753">
        <v>0</v>
      </c>
      <c r="C753">
        <v>7.0199999999999999E-2</v>
      </c>
      <c r="D753">
        <v>33.78</v>
      </c>
      <c r="E753">
        <v>9.7699999999999995E-2</v>
      </c>
      <c r="F753">
        <v>0</v>
      </c>
      <c r="G753">
        <v>0.32300000000000001</v>
      </c>
      <c r="H753">
        <v>3.05</v>
      </c>
      <c r="I753">
        <v>0.1794</v>
      </c>
      <c r="J753">
        <v>0.67079999999999995</v>
      </c>
      <c r="K753">
        <v>0</v>
      </c>
      <c r="L753">
        <v>63.93</v>
      </c>
      <c r="M753">
        <v>7.5700000000000003E-2</v>
      </c>
      <c r="N753">
        <v>102.1768</v>
      </c>
      <c r="O753" t="s">
        <v>401</v>
      </c>
      <c r="Q753">
        <f t="shared" si="29"/>
        <v>66.98</v>
      </c>
      <c r="R753">
        <f>I753-(K753*Standards!$I$15)</f>
        <v>0.1794</v>
      </c>
      <c r="S753">
        <f t="shared" si="30"/>
        <v>6.123E-2</v>
      </c>
      <c r="T753" t="s">
        <v>299</v>
      </c>
    </row>
    <row r="754" spans="1:20">
      <c r="A754">
        <v>115</v>
      </c>
      <c r="B754">
        <v>0</v>
      </c>
      <c r="C754">
        <v>7.2300000000000003E-2</v>
      </c>
      <c r="D754">
        <v>33.630000000000003</v>
      </c>
      <c r="E754">
        <v>0.10050000000000001</v>
      </c>
      <c r="F754">
        <v>0</v>
      </c>
      <c r="G754">
        <v>0.29599999999999999</v>
      </c>
      <c r="H754">
        <v>3.03</v>
      </c>
      <c r="I754">
        <v>0.1946</v>
      </c>
      <c r="J754">
        <v>0.86619999999999997</v>
      </c>
      <c r="K754">
        <v>0</v>
      </c>
      <c r="L754">
        <v>63.69</v>
      </c>
      <c r="M754">
        <v>0.1065</v>
      </c>
      <c r="N754">
        <v>101.986</v>
      </c>
      <c r="O754" t="s">
        <v>401</v>
      </c>
      <c r="Q754">
        <f t="shared" si="29"/>
        <v>66.72</v>
      </c>
      <c r="R754">
        <f>I754-(K754*Standards!$I$15)</f>
        <v>0.1946</v>
      </c>
      <c r="S754">
        <f t="shared" si="30"/>
        <v>6.2570000000000001E-2</v>
      </c>
      <c r="T754" t="s">
        <v>299</v>
      </c>
    </row>
    <row r="755" spans="1:20">
      <c r="A755">
        <v>116</v>
      </c>
      <c r="B755">
        <v>0</v>
      </c>
      <c r="C755">
        <v>6.3E-2</v>
      </c>
      <c r="D755">
        <v>33.700000000000003</v>
      </c>
      <c r="E755">
        <v>8.8099999999999998E-2</v>
      </c>
      <c r="F755">
        <v>0</v>
      </c>
      <c r="G755">
        <v>0.29770000000000002</v>
      </c>
      <c r="H755">
        <v>2.97</v>
      </c>
      <c r="I755">
        <v>0.21299999999999999</v>
      </c>
      <c r="J755">
        <v>1.1499999999999999</v>
      </c>
      <c r="K755">
        <v>0</v>
      </c>
      <c r="L755">
        <v>63.57</v>
      </c>
      <c r="M755">
        <v>0.1014</v>
      </c>
      <c r="N755">
        <v>102.1532</v>
      </c>
      <c r="O755" t="s">
        <v>401</v>
      </c>
      <c r="Q755">
        <f t="shared" si="29"/>
        <v>66.540000000000006</v>
      </c>
      <c r="R755">
        <f>I755-(K755*Standards!$I$15)</f>
        <v>0.21299999999999999</v>
      </c>
      <c r="S755">
        <f t="shared" si="30"/>
        <v>5.2350000000000001E-2</v>
      </c>
      <c r="T755" t="s">
        <v>299</v>
      </c>
    </row>
    <row r="756" spans="1:20">
      <c r="A756">
        <v>94</v>
      </c>
      <c r="B756">
        <v>0</v>
      </c>
      <c r="C756">
        <v>6.3399999999999998E-2</v>
      </c>
      <c r="D756">
        <v>33.9</v>
      </c>
      <c r="E756">
        <v>8.5999999999999993E-2</v>
      </c>
      <c r="F756">
        <v>0</v>
      </c>
      <c r="G756">
        <v>0.26860000000000001</v>
      </c>
      <c r="H756">
        <v>6.16</v>
      </c>
      <c r="I756">
        <v>0.2324</v>
      </c>
      <c r="J756">
        <v>0.42949999999999999</v>
      </c>
      <c r="K756">
        <v>0</v>
      </c>
      <c r="L756">
        <v>59.88</v>
      </c>
      <c r="M756">
        <v>0.12379999999999999</v>
      </c>
      <c r="N756">
        <v>101.14360000000001</v>
      </c>
      <c r="O756" t="s">
        <v>402</v>
      </c>
      <c r="Q756">
        <f t="shared" si="29"/>
        <v>66.040000000000006</v>
      </c>
      <c r="R756">
        <f>I756-(K756*Standards!$I$15)</f>
        <v>0.2324</v>
      </c>
      <c r="S756">
        <f t="shared" si="30"/>
        <v>5.178E-2</v>
      </c>
      <c r="T756" t="s">
        <v>299</v>
      </c>
    </row>
    <row r="757" spans="1:20">
      <c r="A757">
        <v>163</v>
      </c>
      <c r="B757">
        <v>0</v>
      </c>
      <c r="C757">
        <v>6.3500000000000001E-2</v>
      </c>
      <c r="D757">
        <v>33.71</v>
      </c>
      <c r="E757">
        <v>0.28289999999999998</v>
      </c>
      <c r="F757">
        <v>0</v>
      </c>
      <c r="G757">
        <v>0.92459999999999998</v>
      </c>
      <c r="H757">
        <v>4.75</v>
      </c>
      <c r="I757">
        <v>2.87E-2</v>
      </c>
      <c r="J757">
        <v>0</v>
      </c>
      <c r="K757">
        <v>0</v>
      </c>
      <c r="L757">
        <v>63.19</v>
      </c>
      <c r="M757">
        <v>0.10290000000000001</v>
      </c>
      <c r="N757">
        <v>103.05249999999999</v>
      </c>
      <c r="O757" t="s">
        <v>403</v>
      </c>
      <c r="Q757">
        <f t="shared" si="29"/>
        <v>67.94</v>
      </c>
      <c r="R757">
        <f>I757-(K757*Standards!$I$15)</f>
        <v>2.87E-2</v>
      </c>
      <c r="S757">
        <f t="shared" si="30"/>
        <v>6.2065000000000002E-2</v>
      </c>
      <c r="T757" t="s">
        <v>290</v>
      </c>
    </row>
    <row r="758" spans="1:20">
      <c r="A758">
        <v>157</v>
      </c>
      <c r="B758">
        <v>0</v>
      </c>
      <c r="C758">
        <v>8.7800000000000003E-2</v>
      </c>
      <c r="D758">
        <v>33.79</v>
      </c>
      <c r="E758">
        <v>0.24049999999999999</v>
      </c>
      <c r="F758">
        <v>0</v>
      </c>
      <c r="G758">
        <v>0.79669999999999996</v>
      </c>
      <c r="H758">
        <v>4.67</v>
      </c>
      <c r="I758">
        <v>1.9300000000000001E-2</v>
      </c>
      <c r="J758">
        <v>0</v>
      </c>
      <c r="K758">
        <v>0</v>
      </c>
      <c r="L758">
        <v>63.08</v>
      </c>
      <c r="M758">
        <v>6.4500000000000002E-2</v>
      </c>
      <c r="N758">
        <v>102.7487</v>
      </c>
      <c r="O758" t="s">
        <v>403</v>
      </c>
      <c r="Q758">
        <f t="shared" si="29"/>
        <v>67.75</v>
      </c>
      <c r="R758">
        <f>I758-(K758*Standards!$I$15)</f>
        <v>1.9300000000000001E-2</v>
      </c>
      <c r="S758">
        <f t="shared" si="30"/>
        <v>8.6835000000000009E-2</v>
      </c>
      <c r="T758" t="s">
        <v>290</v>
      </c>
    </row>
    <row r="759" spans="1:20">
      <c r="A759">
        <v>175</v>
      </c>
      <c r="B759">
        <v>0</v>
      </c>
      <c r="C759">
        <v>6.2300000000000001E-2</v>
      </c>
      <c r="D759">
        <v>33.86</v>
      </c>
      <c r="E759">
        <v>0.185</v>
      </c>
      <c r="F759">
        <v>0</v>
      </c>
      <c r="G759">
        <v>0.66790000000000005</v>
      </c>
      <c r="H759">
        <v>4.54</v>
      </c>
      <c r="I759">
        <v>1.6400000000000001E-2</v>
      </c>
      <c r="J759">
        <v>0.1875</v>
      </c>
      <c r="K759">
        <v>0</v>
      </c>
      <c r="L759">
        <v>63</v>
      </c>
      <c r="M759">
        <v>8.7499999999999994E-2</v>
      </c>
      <c r="N759">
        <v>102.6066</v>
      </c>
      <c r="O759" t="s">
        <v>403</v>
      </c>
      <c r="Q759">
        <f t="shared" si="29"/>
        <v>67.540000000000006</v>
      </c>
      <c r="R759">
        <f>I759-(K759*Standards!$I$15)</f>
        <v>1.6400000000000001E-2</v>
      </c>
      <c r="S759">
        <f t="shared" si="30"/>
        <v>6.148E-2</v>
      </c>
      <c r="T759" t="s">
        <v>290</v>
      </c>
    </row>
    <row r="760" spans="1:20">
      <c r="A760">
        <v>174</v>
      </c>
      <c r="B760">
        <v>0</v>
      </c>
      <c r="C760">
        <v>4.5699999999999998E-2</v>
      </c>
      <c r="D760">
        <v>33.6</v>
      </c>
      <c r="E760">
        <v>0.1845</v>
      </c>
      <c r="F760">
        <v>0</v>
      </c>
      <c r="G760">
        <v>0.72360000000000002</v>
      </c>
      <c r="H760">
        <v>4.67</v>
      </c>
      <c r="I760">
        <v>2.7400000000000001E-2</v>
      </c>
      <c r="J760">
        <v>2.8899999999999999E-2</v>
      </c>
      <c r="K760">
        <v>0</v>
      </c>
      <c r="L760">
        <v>62.91</v>
      </c>
      <c r="M760">
        <v>8.1799999999999998E-2</v>
      </c>
      <c r="N760">
        <v>102.2719</v>
      </c>
      <c r="O760" t="s">
        <v>403</v>
      </c>
      <c r="Q760">
        <f t="shared" si="29"/>
        <v>67.58</v>
      </c>
      <c r="R760">
        <f>I760-(K760*Standards!$I$15)</f>
        <v>2.7400000000000001E-2</v>
      </c>
      <c r="S760">
        <f t="shared" si="30"/>
        <v>4.4329999999999994E-2</v>
      </c>
      <c r="T760" t="s">
        <v>290</v>
      </c>
    </row>
    <row r="761" spans="1:20">
      <c r="A761">
        <v>160</v>
      </c>
      <c r="B761">
        <v>0</v>
      </c>
      <c r="C761">
        <v>6.6699999999999995E-2</v>
      </c>
      <c r="D761">
        <v>33.840000000000003</v>
      </c>
      <c r="E761">
        <v>0.2762</v>
      </c>
      <c r="F761">
        <v>0</v>
      </c>
      <c r="G761">
        <v>0.92179999999999995</v>
      </c>
      <c r="H761">
        <v>4.8099999999999996</v>
      </c>
      <c r="I761">
        <v>2.6599999999999999E-2</v>
      </c>
      <c r="J761">
        <v>2.2100000000000002E-2</v>
      </c>
      <c r="K761">
        <v>0</v>
      </c>
      <c r="L761">
        <v>62.68</v>
      </c>
      <c r="M761">
        <v>7.7799999999999994E-2</v>
      </c>
      <c r="N761">
        <v>102.72110000000001</v>
      </c>
      <c r="O761" t="s">
        <v>403</v>
      </c>
      <c r="Q761">
        <f t="shared" si="29"/>
        <v>67.489999999999995</v>
      </c>
      <c r="R761">
        <f>I761-(K761*Standards!$I$15)</f>
        <v>2.6599999999999999E-2</v>
      </c>
      <c r="S761">
        <f t="shared" si="30"/>
        <v>6.5369999999999998E-2</v>
      </c>
      <c r="T761" t="s">
        <v>290</v>
      </c>
    </row>
    <row r="762" spans="1:20">
      <c r="A762">
        <v>172</v>
      </c>
      <c r="B762">
        <v>0</v>
      </c>
      <c r="C762">
        <v>6.0100000000000001E-2</v>
      </c>
      <c r="D762">
        <v>33.78</v>
      </c>
      <c r="E762">
        <v>0.2412</v>
      </c>
      <c r="F762">
        <v>0</v>
      </c>
      <c r="G762">
        <v>0.90310000000000001</v>
      </c>
      <c r="H762">
        <v>4.75</v>
      </c>
      <c r="I762">
        <v>1.7899999999999999E-2</v>
      </c>
      <c r="J762">
        <v>0</v>
      </c>
      <c r="K762">
        <v>0</v>
      </c>
      <c r="L762">
        <v>62.55</v>
      </c>
      <c r="M762">
        <v>6.3799999999999996E-2</v>
      </c>
      <c r="N762">
        <v>102.366</v>
      </c>
      <c r="O762" t="s">
        <v>403</v>
      </c>
      <c r="Q762">
        <f t="shared" si="29"/>
        <v>67.3</v>
      </c>
      <c r="R762">
        <f>I762-(K762*Standards!$I$15)</f>
        <v>1.7899999999999999E-2</v>
      </c>
      <c r="S762">
        <f t="shared" si="30"/>
        <v>5.9205000000000001E-2</v>
      </c>
      <c r="T762" t="s">
        <v>290</v>
      </c>
    </row>
    <row r="763" spans="1:20">
      <c r="A763">
        <v>171</v>
      </c>
      <c r="B763">
        <v>0</v>
      </c>
      <c r="C763">
        <v>4.6399999999999997E-2</v>
      </c>
      <c r="D763">
        <v>33.67</v>
      </c>
      <c r="E763">
        <v>0.26950000000000002</v>
      </c>
      <c r="F763">
        <v>0</v>
      </c>
      <c r="G763">
        <v>0.92230000000000001</v>
      </c>
      <c r="H763">
        <v>4.7699999999999996</v>
      </c>
      <c r="I763">
        <v>3.9199999999999999E-2</v>
      </c>
      <c r="J763">
        <v>3.7000000000000002E-3</v>
      </c>
      <c r="K763">
        <v>0</v>
      </c>
      <c r="L763">
        <v>62.52</v>
      </c>
      <c r="M763">
        <v>6.4399999999999999E-2</v>
      </c>
      <c r="N763">
        <v>102.30540000000001</v>
      </c>
      <c r="O763" t="s">
        <v>403</v>
      </c>
      <c r="Q763">
        <f t="shared" si="29"/>
        <v>67.290000000000006</v>
      </c>
      <c r="R763">
        <f>I763-(K763*Standards!$I$15)</f>
        <v>3.9199999999999999E-2</v>
      </c>
      <c r="S763">
        <f t="shared" si="30"/>
        <v>4.4439999999999993E-2</v>
      </c>
      <c r="T763" t="s">
        <v>290</v>
      </c>
    </row>
    <row r="764" spans="1:20">
      <c r="A764">
        <v>159</v>
      </c>
      <c r="B764">
        <v>0</v>
      </c>
      <c r="C764">
        <v>6.4899999999999999E-2</v>
      </c>
      <c r="D764">
        <v>33.659999999999997</v>
      </c>
      <c r="E764">
        <v>0.25690000000000002</v>
      </c>
      <c r="F764">
        <v>0</v>
      </c>
      <c r="G764">
        <v>0.90890000000000004</v>
      </c>
      <c r="H764">
        <v>4.8899999999999997</v>
      </c>
      <c r="I764">
        <v>1.7600000000000001E-2</v>
      </c>
      <c r="J764">
        <v>2.4E-2</v>
      </c>
      <c r="K764">
        <v>0</v>
      </c>
      <c r="L764">
        <v>62.48</v>
      </c>
      <c r="M764">
        <v>7.5800000000000006E-2</v>
      </c>
      <c r="N764">
        <v>102.378</v>
      </c>
      <c r="O764" t="s">
        <v>403</v>
      </c>
      <c r="Q764">
        <f t="shared" si="29"/>
        <v>67.36999999999999</v>
      </c>
      <c r="R764">
        <f>I764-(K764*Standards!$I$15)</f>
        <v>1.7600000000000001E-2</v>
      </c>
      <c r="S764">
        <f t="shared" si="30"/>
        <v>6.4019999999999994E-2</v>
      </c>
      <c r="T764" t="s">
        <v>290</v>
      </c>
    </row>
    <row r="765" spans="1:20">
      <c r="A765">
        <v>158</v>
      </c>
      <c r="B765">
        <v>0</v>
      </c>
      <c r="C765">
        <v>6.83E-2</v>
      </c>
      <c r="D765">
        <v>33.79</v>
      </c>
      <c r="E765">
        <v>0.218</v>
      </c>
      <c r="F765">
        <v>0</v>
      </c>
      <c r="G765">
        <v>0.7288</v>
      </c>
      <c r="H765">
        <v>5.18</v>
      </c>
      <c r="I765">
        <v>8.6E-3</v>
      </c>
      <c r="J765">
        <v>0</v>
      </c>
      <c r="K765">
        <v>0</v>
      </c>
      <c r="L765">
        <v>62.2</v>
      </c>
      <c r="M765">
        <v>6.0600000000000001E-2</v>
      </c>
      <c r="N765">
        <v>102.2542</v>
      </c>
      <c r="O765" t="s">
        <v>403</v>
      </c>
      <c r="Q765">
        <f t="shared" si="29"/>
        <v>67.38</v>
      </c>
      <c r="R765">
        <f>I765-(K765*Standards!$I$15)</f>
        <v>8.6E-3</v>
      </c>
      <c r="S765">
        <f t="shared" si="30"/>
        <v>6.787E-2</v>
      </c>
      <c r="T765" t="s">
        <v>290</v>
      </c>
    </row>
    <row r="766" spans="1:20">
      <c r="A766">
        <v>164</v>
      </c>
      <c r="B766">
        <v>0</v>
      </c>
      <c r="C766">
        <v>6.08E-2</v>
      </c>
      <c r="D766">
        <v>33.85</v>
      </c>
      <c r="E766">
        <v>0.19339999999999999</v>
      </c>
      <c r="F766">
        <v>0</v>
      </c>
      <c r="G766">
        <v>0.65939999999999999</v>
      </c>
      <c r="H766">
        <v>5.79</v>
      </c>
      <c r="I766">
        <v>8.2000000000000007E-3</v>
      </c>
      <c r="J766">
        <v>4.0099999999999997E-2</v>
      </c>
      <c r="K766">
        <v>0</v>
      </c>
      <c r="L766">
        <v>61.75</v>
      </c>
      <c r="M766">
        <v>6.6000000000000003E-2</v>
      </c>
      <c r="N766">
        <v>102.4178</v>
      </c>
      <c r="O766" t="s">
        <v>403</v>
      </c>
      <c r="Q766">
        <f t="shared" si="29"/>
        <v>67.540000000000006</v>
      </c>
      <c r="R766">
        <f>I766-(K766*Standards!$I$15)</f>
        <v>8.2000000000000007E-3</v>
      </c>
      <c r="S766">
        <f t="shared" si="30"/>
        <v>6.0389999999999999E-2</v>
      </c>
      <c r="T766" t="s">
        <v>290</v>
      </c>
    </row>
    <row r="767" spans="1:20">
      <c r="A767">
        <v>154</v>
      </c>
      <c r="B767">
        <v>2.9999999999999997E-4</v>
      </c>
      <c r="C767">
        <v>5.2900000000000003E-2</v>
      </c>
      <c r="D767">
        <v>33.93</v>
      </c>
      <c r="E767">
        <v>0.18010000000000001</v>
      </c>
      <c r="F767">
        <v>0</v>
      </c>
      <c r="G767">
        <v>0.60209999999999997</v>
      </c>
      <c r="H767">
        <v>5.33</v>
      </c>
      <c r="I767">
        <v>2.46E-2</v>
      </c>
      <c r="J767">
        <v>0.60360000000000003</v>
      </c>
      <c r="K767">
        <v>0</v>
      </c>
      <c r="L767">
        <v>61.4</v>
      </c>
      <c r="M767">
        <v>5.8799999999999998E-2</v>
      </c>
      <c r="N767">
        <v>102.1823</v>
      </c>
      <c r="O767" t="s">
        <v>403</v>
      </c>
      <c r="Q767">
        <f t="shared" si="29"/>
        <v>66.73</v>
      </c>
      <c r="R767">
        <f>I767-(K767*Standards!$I$15)</f>
        <v>2.46E-2</v>
      </c>
      <c r="S767">
        <f t="shared" si="30"/>
        <v>5.1670000000000001E-2</v>
      </c>
      <c r="T767" t="s">
        <v>290</v>
      </c>
    </row>
    <row r="768" spans="1:20">
      <c r="A768">
        <v>155</v>
      </c>
      <c r="B768">
        <v>0</v>
      </c>
      <c r="C768">
        <v>6.3600000000000004E-2</v>
      </c>
      <c r="D768">
        <v>33.83</v>
      </c>
      <c r="E768">
        <v>0.1817</v>
      </c>
      <c r="F768">
        <v>0</v>
      </c>
      <c r="G768">
        <v>0.59450000000000003</v>
      </c>
      <c r="H768">
        <v>6.22</v>
      </c>
      <c r="I768">
        <v>3.04E-2</v>
      </c>
      <c r="J768">
        <v>0.16919999999999999</v>
      </c>
      <c r="K768">
        <v>0</v>
      </c>
      <c r="L768">
        <v>61.17</v>
      </c>
      <c r="M768">
        <v>7.4899999999999994E-2</v>
      </c>
      <c r="N768">
        <v>102.3342</v>
      </c>
      <c r="O768" t="s">
        <v>403</v>
      </c>
      <c r="Q768">
        <f t="shared" si="29"/>
        <v>67.39</v>
      </c>
      <c r="R768">
        <f>I768-(K768*Standards!$I$15)</f>
        <v>3.04E-2</v>
      </c>
      <c r="S768">
        <f t="shared" si="30"/>
        <v>6.2080000000000003E-2</v>
      </c>
      <c r="T768" t="s">
        <v>290</v>
      </c>
    </row>
    <row r="769" spans="1:31">
      <c r="A769">
        <v>153</v>
      </c>
      <c r="B769">
        <v>4.7000000000000002E-3</v>
      </c>
      <c r="C769">
        <v>6.5500000000000003E-2</v>
      </c>
      <c r="D769">
        <v>33.56</v>
      </c>
      <c r="E769">
        <v>0.17849999999999999</v>
      </c>
      <c r="F769">
        <v>0</v>
      </c>
      <c r="G769">
        <v>0.57569999999999999</v>
      </c>
      <c r="H769">
        <v>6.48</v>
      </c>
      <c r="I769">
        <v>2.64E-2</v>
      </c>
      <c r="J769">
        <v>1.89E-2</v>
      </c>
      <c r="K769">
        <v>0</v>
      </c>
      <c r="L769">
        <v>60.75</v>
      </c>
      <c r="M769">
        <v>8.8800000000000004E-2</v>
      </c>
      <c r="N769">
        <v>101.74850000000001</v>
      </c>
      <c r="O769" t="s">
        <v>403</v>
      </c>
      <c r="Q769">
        <f t="shared" si="29"/>
        <v>67.23</v>
      </c>
      <c r="R769">
        <f>I769-(K769*Standards!$I$15)</f>
        <v>2.64E-2</v>
      </c>
      <c r="S769">
        <f t="shared" si="30"/>
        <v>6.4180000000000001E-2</v>
      </c>
      <c r="T769" t="s">
        <v>290</v>
      </c>
    </row>
    <row r="770" spans="1:31">
      <c r="A770">
        <v>156</v>
      </c>
      <c r="B770">
        <v>0</v>
      </c>
      <c r="C770">
        <v>7.5800000000000006E-2</v>
      </c>
      <c r="D770">
        <v>33.81</v>
      </c>
      <c r="E770">
        <v>0.1784</v>
      </c>
      <c r="F770">
        <v>0</v>
      </c>
      <c r="G770">
        <v>0.56640000000000001</v>
      </c>
      <c r="H770">
        <v>6.74</v>
      </c>
      <c r="I770">
        <v>1.5699999999999999E-2</v>
      </c>
      <c r="J770">
        <v>3.2099999999999997E-2</v>
      </c>
      <c r="K770">
        <v>0</v>
      </c>
      <c r="L770">
        <v>60.71</v>
      </c>
      <c r="M770">
        <v>6.4500000000000002E-2</v>
      </c>
      <c r="N770">
        <v>102.19280000000001</v>
      </c>
      <c r="O770" t="s">
        <v>403</v>
      </c>
      <c r="Q770">
        <f t="shared" si="29"/>
        <v>67.45</v>
      </c>
      <c r="R770">
        <f>I770-(K770*Standards!$I$15)</f>
        <v>1.5699999999999999E-2</v>
      </c>
      <c r="S770">
        <f t="shared" si="30"/>
        <v>7.5015000000000012E-2</v>
      </c>
      <c r="T770" t="s">
        <v>290</v>
      </c>
    </row>
    <row r="771" spans="1:31">
      <c r="A771">
        <v>74</v>
      </c>
      <c r="B771">
        <v>0</v>
      </c>
      <c r="C771">
        <v>5.2999999999999999E-2</v>
      </c>
      <c r="D771">
        <v>34.15</v>
      </c>
      <c r="E771">
        <v>0.15540000000000001</v>
      </c>
      <c r="F771">
        <v>0</v>
      </c>
      <c r="G771">
        <v>0.45029999999999998</v>
      </c>
      <c r="H771">
        <v>5.83</v>
      </c>
      <c r="I771">
        <v>0</v>
      </c>
      <c r="J771">
        <v>0</v>
      </c>
      <c r="K771">
        <v>9.5699999999999993E-2</v>
      </c>
      <c r="L771">
        <v>60.99</v>
      </c>
      <c r="M771">
        <v>8.8499999999999995E-2</v>
      </c>
      <c r="N771">
        <v>101.8129</v>
      </c>
      <c r="O771" t="s">
        <v>404</v>
      </c>
      <c r="Q771">
        <f t="shared" si="29"/>
        <v>66.820000000000007</v>
      </c>
      <c r="R771">
        <f>I771-(K771*Standards!$I$15)</f>
        <v>-2.1173625E-4</v>
      </c>
      <c r="S771">
        <f t="shared" si="30"/>
        <v>5.2999999999999999E-2</v>
      </c>
      <c r="T771" t="s">
        <v>405</v>
      </c>
      <c r="U771">
        <f>COUNT(R771:R790)</f>
        <v>20</v>
      </c>
      <c r="V771">
        <f>MAX(H771:H790)</f>
        <v>7.88</v>
      </c>
      <c r="W771">
        <f>AVERAGE(H771:H790)</f>
        <v>6.0080000000000009</v>
      </c>
      <c r="X771">
        <f>MAX(J771:J790)</f>
        <v>1.28</v>
      </c>
      <c r="Y771">
        <f>AVERAGE(J771:J790)</f>
        <v>8.0634999999999998E-2</v>
      </c>
      <c r="Z771">
        <f>10000*MAX(R771:R790)</f>
        <v>14.466787500000001</v>
      </c>
      <c r="AA771">
        <f>10000*AVERAGE(R771:R790)</f>
        <v>0.82739499999999988</v>
      </c>
      <c r="AB771">
        <f>10000*MAX(G771:G790)</f>
        <v>4638</v>
      </c>
      <c r="AC771">
        <f>10000*AVERAGE(G771:G790)</f>
        <v>4465.75</v>
      </c>
      <c r="AD771">
        <f>10000*MAX(S771:S790)</f>
        <v>979.25</v>
      </c>
      <c r="AE771">
        <f>10000*AVERAGE(S771:S790)</f>
        <v>662.77</v>
      </c>
    </row>
    <row r="772" spans="1:31">
      <c r="A772">
        <v>55</v>
      </c>
      <c r="B772">
        <v>0</v>
      </c>
      <c r="C772">
        <v>6.9400000000000003E-2</v>
      </c>
      <c r="D772">
        <v>33.880000000000003</v>
      </c>
      <c r="E772">
        <v>0.1704</v>
      </c>
      <c r="F772">
        <v>0</v>
      </c>
      <c r="G772">
        <v>0.43830000000000002</v>
      </c>
      <c r="H772">
        <v>5.78</v>
      </c>
      <c r="I772">
        <v>0</v>
      </c>
      <c r="J772">
        <v>0</v>
      </c>
      <c r="K772">
        <v>0</v>
      </c>
      <c r="L772">
        <v>60.86</v>
      </c>
      <c r="M772">
        <v>7.5600000000000001E-2</v>
      </c>
      <c r="N772">
        <v>101.27370000000001</v>
      </c>
      <c r="O772" t="s">
        <v>404</v>
      </c>
      <c r="Q772">
        <f t="shared" si="29"/>
        <v>66.64</v>
      </c>
      <c r="R772">
        <f>I772-(K772*Standards!$I$15)</f>
        <v>0</v>
      </c>
      <c r="S772">
        <f t="shared" si="30"/>
        <v>6.9400000000000003E-2</v>
      </c>
      <c r="T772" t="s">
        <v>405</v>
      </c>
    </row>
    <row r="773" spans="1:31">
      <c r="A773">
        <v>73</v>
      </c>
      <c r="B773">
        <v>0</v>
      </c>
      <c r="C773">
        <v>8.1900000000000001E-2</v>
      </c>
      <c r="D773">
        <v>33.81</v>
      </c>
      <c r="E773">
        <v>0.16889999999999999</v>
      </c>
      <c r="F773">
        <v>0</v>
      </c>
      <c r="G773">
        <v>0.45529999999999998</v>
      </c>
      <c r="H773">
        <v>5.8</v>
      </c>
      <c r="I773">
        <v>0</v>
      </c>
      <c r="J773">
        <v>0</v>
      </c>
      <c r="K773">
        <v>9.5399999999999999E-2</v>
      </c>
      <c r="L773">
        <v>60.85</v>
      </c>
      <c r="M773">
        <v>0.10539999999999999</v>
      </c>
      <c r="N773">
        <v>101.3669</v>
      </c>
      <c r="O773" t="s">
        <v>404</v>
      </c>
      <c r="Q773">
        <f t="shared" si="29"/>
        <v>66.650000000000006</v>
      </c>
      <c r="R773">
        <f>I773-(K773*Standards!$I$15)</f>
        <v>-2.1107250000000001E-4</v>
      </c>
      <c r="S773">
        <f t="shared" si="30"/>
        <v>8.1900000000000001E-2</v>
      </c>
      <c r="T773" t="s">
        <v>405</v>
      </c>
    </row>
    <row r="774" spans="1:31">
      <c r="A774">
        <v>68</v>
      </c>
      <c r="B774">
        <v>0</v>
      </c>
      <c r="C774">
        <v>9.8000000000000004E-2</v>
      </c>
      <c r="D774">
        <v>34.04</v>
      </c>
      <c r="E774">
        <v>0.18240000000000001</v>
      </c>
      <c r="F774">
        <v>0</v>
      </c>
      <c r="G774">
        <v>0.45090000000000002</v>
      </c>
      <c r="H774">
        <v>5.83</v>
      </c>
      <c r="I774">
        <v>1.5E-3</v>
      </c>
      <c r="J774">
        <v>0</v>
      </c>
      <c r="K774">
        <v>2.41E-2</v>
      </c>
      <c r="L774">
        <v>60.77</v>
      </c>
      <c r="M774">
        <v>0.10050000000000001</v>
      </c>
      <c r="N774">
        <v>101.4974</v>
      </c>
      <c r="O774" t="s">
        <v>404</v>
      </c>
      <c r="Q774">
        <f t="shared" si="29"/>
        <v>66.600000000000009</v>
      </c>
      <c r="R774">
        <f>I774-(K774*Standards!$I$15)</f>
        <v>1.4466787500000001E-3</v>
      </c>
      <c r="S774">
        <f t="shared" si="30"/>
        <v>9.7924999999999998E-2</v>
      </c>
      <c r="T774" t="s">
        <v>405</v>
      </c>
    </row>
    <row r="775" spans="1:31">
      <c r="A775">
        <v>69</v>
      </c>
      <c r="B775">
        <v>0</v>
      </c>
      <c r="C775">
        <v>6.4000000000000001E-2</v>
      </c>
      <c r="D775">
        <v>34.020000000000003</v>
      </c>
      <c r="E775">
        <v>0.1507</v>
      </c>
      <c r="F775">
        <v>0</v>
      </c>
      <c r="G775">
        <v>0.45050000000000001</v>
      </c>
      <c r="H775">
        <v>5.77</v>
      </c>
      <c r="I775">
        <v>0</v>
      </c>
      <c r="J775">
        <v>1.26E-2</v>
      </c>
      <c r="K775">
        <v>9.1499999999999998E-2</v>
      </c>
      <c r="L775">
        <v>60.77</v>
      </c>
      <c r="M775">
        <v>9.5299999999999996E-2</v>
      </c>
      <c r="N775">
        <v>101.42449999999999</v>
      </c>
      <c r="O775" t="s">
        <v>404</v>
      </c>
      <c r="Q775">
        <f t="shared" si="29"/>
        <v>66.540000000000006</v>
      </c>
      <c r="R775">
        <f>I775-(K775*Standards!$I$15)</f>
        <v>-2.0244375E-4</v>
      </c>
      <c r="S775">
        <f t="shared" si="30"/>
        <v>6.4000000000000001E-2</v>
      </c>
      <c r="T775" t="s">
        <v>405</v>
      </c>
    </row>
    <row r="776" spans="1:31">
      <c r="A776">
        <v>66</v>
      </c>
      <c r="B776">
        <v>0</v>
      </c>
      <c r="C776">
        <v>6.0999999999999999E-2</v>
      </c>
      <c r="D776">
        <v>34.020000000000003</v>
      </c>
      <c r="E776">
        <v>0.16639999999999999</v>
      </c>
      <c r="F776">
        <v>0</v>
      </c>
      <c r="G776">
        <v>0.45569999999999999</v>
      </c>
      <c r="H776">
        <v>5.87</v>
      </c>
      <c r="I776">
        <v>5.0000000000000001E-4</v>
      </c>
      <c r="J776">
        <v>0</v>
      </c>
      <c r="K776">
        <v>0</v>
      </c>
      <c r="L776">
        <v>60.76</v>
      </c>
      <c r="M776">
        <v>9.0800000000000006E-2</v>
      </c>
      <c r="N776">
        <v>101.4243</v>
      </c>
      <c r="O776" t="s">
        <v>404</v>
      </c>
      <c r="Q776">
        <f t="shared" si="29"/>
        <v>66.63</v>
      </c>
      <c r="R776">
        <f>I776-(K776*Standards!$I$15)</f>
        <v>5.0000000000000001E-4</v>
      </c>
      <c r="S776">
        <f t="shared" si="30"/>
        <v>6.0975000000000001E-2</v>
      </c>
      <c r="T776" t="s">
        <v>405</v>
      </c>
    </row>
    <row r="777" spans="1:31">
      <c r="A777">
        <v>71</v>
      </c>
      <c r="B777">
        <v>0</v>
      </c>
      <c r="C777">
        <v>6.8900000000000003E-2</v>
      </c>
      <c r="D777">
        <v>34.53</v>
      </c>
      <c r="E777">
        <v>0.1487</v>
      </c>
      <c r="F777">
        <v>0</v>
      </c>
      <c r="G777">
        <v>0.43680000000000002</v>
      </c>
      <c r="H777">
        <v>6.04</v>
      </c>
      <c r="I777">
        <v>0</v>
      </c>
      <c r="J777">
        <v>0</v>
      </c>
      <c r="K777">
        <v>9.64E-2</v>
      </c>
      <c r="L777">
        <v>60.56</v>
      </c>
      <c r="M777">
        <v>9.4399999999999998E-2</v>
      </c>
      <c r="N777">
        <v>101.9752</v>
      </c>
      <c r="O777" t="s">
        <v>404</v>
      </c>
      <c r="Q777">
        <f t="shared" ref="Q777:Q808" si="31">H777+L777</f>
        <v>66.600000000000009</v>
      </c>
      <c r="R777">
        <f>I777-(K777*Standards!$I$15)</f>
        <v>-2.1328500000000002E-4</v>
      </c>
      <c r="S777">
        <f t="shared" ref="S777:S808" si="32">C777-(I777*0.05)</f>
        <v>6.8900000000000003E-2</v>
      </c>
      <c r="T777" t="s">
        <v>405</v>
      </c>
    </row>
    <row r="778" spans="1:31">
      <c r="A778">
        <v>51</v>
      </c>
      <c r="B778">
        <v>0</v>
      </c>
      <c r="C778">
        <v>6.9400000000000003E-2</v>
      </c>
      <c r="D778">
        <v>34.14</v>
      </c>
      <c r="E778">
        <v>0.1439</v>
      </c>
      <c r="F778">
        <v>0</v>
      </c>
      <c r="G778">
        <v>0.44080000000000003</v>
      </c>
      <c r="H778">
        <v>5.93</v>
      </c>
      <c r="I778">
        <v>0</v>
      </c>
      <c r="J778">
        <v>0</v>
      </c>
      <c r="K778">
        <v>0</v>
      </c>
      <c r="L778">
        <v>60.45</v>
      </c>
      <c r="M778">
        <v>9.0399999999999994E-2</v>
      </c>
      <c r="N778">
        <v>101.2645</v>
      </c>
      <c r="O778" t="s">
        <v>404</v>
      </c>
      <c r="Q778">
        <f t="shared" si="31"/>
        <v>66.38</v>
      </c>
      <c r="R778">
        <f>I778-(K778*Standards!$I$15)</f>
        <v>0</v>
      </c>
      <c r="S778">
        <f t="shared" si="32"/>
        <v>6.9400000000000003E-2</v>
      </c>
      <c r="T778" t="s">
        <v>405</v>
      </c>
    </row>
    <row r="779" spans="1:31">
      <c r="A779">
        <v>67</v>
      </c>
      <c r="B779">
        <v>0</v>
      </c>
      <c r="C779">
        <v>7.2099999999999997E-2</v>
      </c>
      <c r="D779">
        <v>34.049999999999997</v>
      </c>
      <c r="E779">
        <v>0.14610000000000001</v>
      </c>
      <c r="F779">
        <v>0</v>
      </c>
      <c r="G779">
        <v>0.45600000000000002</v>
      </c>
      <c r="H779">
        <v>5.95</v>
      </c>
      <c r="I779">
        <v>1.1999999999999999E-3</v>
      </c>
      <c r="J779">
        <v>0</v>
      </c>
      <c r="K779">
        <v>1.1999999999999999E-3</v>
      </c>
      <c r="L779">
        <v>60.39</v>
      </c>
      <c r="M779">
        <v>9.2200000000000004E-2</v>
      </c>
      <c r="N779">
        <v>101.1588</v>
      </c>
      <c r="O779" t="s">
        <v>404</v>
      </c>
      <c r="Q779">
        <f t="shared" si="31"/>
        <v>66.34</v>
      </c>
      <c r="R779">
        <f>I779-(K779*Standards!$I$15)</f>
        <v>1.1973449999999998E-3</v>
      </c>
      <c r="S779">
        <f t="shared" si="32"/>
        <v>7.2039999999999993E-2</v>
      </c>
      <c r="T779" t="s">
        <v>405</v>
      </c>
    </row>
    <row r="780" spans="1:31">
      <c r="A780">
        <v>52</v>
      </c>
      <c r="B780">
        <v>0</v>
      </c>
      <c r="C780">
        <v>5.7799999999999997E-2</v>
      </c>
      <c r="D780">
        <v>34.21</v>
      </c>
      <c r="E780">
        <v>0.15670000000000001</v>
      </c>
      <c r="F780">
        <v>0</v>
      </c>
      <c r="G780">
        <v>0.44190000000000002</v>
      </c>
      <c r="H780">
        <v>5.92</v>
      </c>
      <c r="I780">
        <v>0</v>
      </c>
      <c r="J780">
        <v>0</v>
      </c>
      <c r="K780">
        <v>0</v>
      </c>
      <c r="L780">
        <v>60.35</v>
      </c>
      <c r="M780">
        <v>0.10589999999999999</v>
      </c>
      <c r="N780">
        <v>101.2422</v>
      </c>
      <c r="O780" t="s">
        <v>404</v>
      </c>
      <c r="Q780">
        <f t="shared" si="31"/>
        <v>66.27</v>
      </c>
      <c r="R780">
        <f>I780-(K780*Standards!$I$15)</f>
        <v>0</v>
      </c>
      <c r="S780">
        <f t="shared" si="32"/>
        <v>5.7799999999999997E-2</v>
      </c>
      <c r="T780" t="s">
        <v>405</v>
      </c>
    </row>
    <row r="781" spans="1:31">
      <c r="A781">
        <v>57</v>
      </c>
      <c r="B781">
        <v>0</v>
      </c>
      <c r="C781">
        <v>5.7700000000000001E-2</v>
      </c>
      <c r="D781">
        <v>33.869999999999997</v>
      </c>
      <c r="E781">
        <v>0.1789</v>
      </c>
      <c r="F781">
        <v>2.3699999999999999E-2</v>
      </c>
      <c r="G781">
        <v>0.4592</v>
      </c>
      <c r="H781">
        <v>5.8</v>
      </c>
      <c r="I781">
        <v>0</v>
      </c>
      <c r="J781">
        <v>1.0999999999999999E-2</v>
      </c>
      <c r="K781">
        <v>0</v>
      </c>
      <c r="L781">
        <v>60.33</v>
      </c>
      <c r="M781">
        <v>0.1145</v>
      </c>
      <c r="N781">
        <v>100.845</v>
      </c>
      <c r="O781" t="s">
        <v>404</v>
      </c>
      <c r="Q781">
        <f t="shared" si="31"/>
        <v>66.13</v>
      </c>
      <c r="R781">
        <f>I781-(K781*Standards!$I$15)</f>
        <v>0</v>
      </c>
      <c r="S781">
        <f t="shared" si="32"/>
        <v>5.7700000000000001E-2</v>
      </c>
      <c r="T781" t="s">
        <v>405</v>
      </c>
    </row>
    <row r="782" spans="1:31">
      <c r="A782">
        <v>54</v>
      </c>
      <c r="B782">
        <v>0</v>
      </c>
      <c r="C782">
        <v>6.8400000000000002E-2</v>
      </c>
      <c r="D782">
        <v>33.979999999999997</v>
      </c>
      <c r="E782">
        <v>0.17199999999999999</v>
      </c>
      <c r="F782">
        <v>0</v>
      </c>
      <c r="G782">
        <v>0.45850000000000002</v>
      </c>
      <c r="H782">
        <v>5.92</v>
      </c>
      <c r="I782">
        <v>0</v>
      </c>
      <c r="J782">
        <v>0</v>
      </c>
      <c r="K782">
        <v>0</v>
      </c>
      <c r="L782">
        <v>60.24</v>
      </c>
      <c r="M782">
        <v>9.9699999999999997E-2</v>
      </c>
      <c r="N782">
        <v>100.9385</v>
      </c>
      <c r="O782" t="s">
        <v>404</v>
      </c>
      <c r="Q782">
        <f t="shared" si="31"/>
        <v>66.16</v>
      </c>
      <c r="R782">
        <f>I782-(K782*Standards!$I$15)</f>
        <v>0</v>
      </c>
      <c r="S782">
        <f t="shared" si="32"/>
        <v>6.8400000000000002E-2</v>
      </c>
      <c r="T782" t="s">
        <v>405</v>
      </c>
    </row>
    <row r="783" spans="1:31">
      <c r="A783">
        <v>53</v>
      </c>
      <c r="B783">
        <v>0</v>
      </c>
      <c r="C783">
        <v>6.8500000000000005E-2</v>
      </c>
      <c r="D783">
        <v>34.17</v>
      </c>
      <c r="E783">
        <v>0.15559999999999999</v>
      </c>
      <c r="F783">
        <v>0</v>
      </c>
      <c r="G783">
        <v>0.45889999999999997</v>
      </c>
      <c r="H783">
        <v>6.02</v>
      </c>
      <c r="I783">
        <v>0</v>
      </c>
      <c r="J783">
        <v>0</v>
      </c>
      <c r="K783">
        <v>0</v>
      </c>
      <c r="L783">
        <v>60.19</v>
      </c>
      <c r="M783">
        <v>9.3700000000000006E-2</v>
      </c>
      <c r="N783">
        <v>101.1566</v>
      </c>
      <c r="O783" t="s">
        <v>404</v>
      </c>
      <c r="Q783">
        <f t="shared" si="31"/>
        <v>66.209999999999994</v>
      </c>
      <c r="R783">
        <f>I783-(K783*Standards!$I$15)</f>
        <v>0</v>
      </c>
      <c r="S783">
        <f t="shared" si="32"/>
        <v>6.8500000000000005E-2</v>
      </c>
      <c r="T783" t="s">
        <v>405</v>
      </c>
    </row>
    <row r="784" spans="1:31">
      <c r="A784">
        <v>70</v>
      </c>
      <c r="B784">
        <v>0</v>
      </c>
      <c r="C784">
        <v>8.14E-2</v>
      </c>
      <c r="D784">
        <v>34.06</v>
      </c>
      <c r="E784">
        <v>0.155</v>
      </c>
      <c r="F784">
        <v>1.4E-3</v>
      </c>
      <c r="G784">
        <v>0.45019999999999999</v>
      </c>
      <c r="H784">
        <v>6.18</v>
      </c>
      <c r="I784">
        <v>0</v>
      </c>
      <c r="J784">
        <v>0</v>
      </c>
      <c r="K784">
        <v>0.1016</v>
      </c>
      <c r="L784">
        <v>60.13</v>
      </c>
      <c r="M784">
        <v>9.7699999999999995E-2</v>
      </c>
      <c r="N784">
        <v>101.2573</v>
      </c>
      <c r="O784" t="s">
        <v>404</v>
      </c>
      <c r="Q784">
        <f t="shared" si="31"/>
        <v>66.31</v>
      </c>
      <c r="R784">
        <f>I784-(K784*Standards!$I$15)</f>
        <v>-2.2478999999999999E-4</v>
      </c>
      <c r="S784">
        <f t="shared" si="32"/>
        <v>8.14E-2</v>
      </c>
      <c r="T784" t="s">
        <v>405</v>
      </c>
    </row>
    <row r="785" spans="1:31">
      <c r="A785">
        <v>75</v>
      </c>
      <c r="B785">
        <v>0</v>
      </c>
      <c r="C785">
        <v>6.6799999999999998E-2</v>
      </c>
      <c r="D785">
        <v>33.93</v>
      </c>
      <c r="E785">
        <v>0.1575</v>
      </c>
      <c r="F785">
        <v>1.0500000000000001E-2</v>
      </c>
      <c r="G785">
        <v>0.44419999999999998</v>
      </c>
      <c r="H785">
        <v>6.28</v>
      </c>
      <c r="I785">
        <v>0</v>
      </c>
      <c r="J785">
        <v>0</v>
      </c>
      <c r="K785">
        <v>8.8400000000000006E-2</v>
      </c>
      <c r="L785">
        <v>60.13</v>
      </c>
      <c r="M785">
        <v>9.5100000000000004E-2</v>
      </c>
      <c r="N785">
        <v>101.2025</v>
      </c>
      <c r="O785" t="s">
        <v>404</v>
      </c>
      <c r="Q785">
        <f t="shared" si="31"/>
        <v>66.41</v>
      </c>
      <c r="R785">
        <f>I785-(K785*Standards!$I$15)</f>
        <v>-1.9558500000000002E-4</v>
      </c>
      <c r="S785">
        <f t="shared" si="32"/>
        <v>6.6799999999999998E-2</v>
      </c>
      <c r="T785" t="s">
        <v>405</v>
      </c>
    </row>
    <row r="786" spans="1:31">
      <c r="A786">
        <v>60</v>
      </c>
      <c r="B786">
        <v>0</v>
      </c>
      <c r="C786">
        <v>6.3600000000000004E-2</v>
      </c>
      <c r="D786">
        <v>34.21</v>
      </c>
      <c r="E786">
        <v>0.1759</v>
      </c>
      <c r="F786">
        <v>0</v>
      </c>
      <c r="G786">
        <v>0.46379999999999999</v>
      </c>
      <c r="H786">
        <v>5.65</v>
      </c>
      <c r="I786">
        <v>0</v>
      </c>
      <c r="J786">
        <v>0</v>
      </c>
      <c r="K786">
        <v>0</v>
      </c>
      <c r="L786">
        <v>60.08</v>
      </c>
      <c r="M786">
        <v>0.1002</v>
      </c>
      <c r="N786">
        <v>100.74339999999999</v>
      </c>
      <c r="O786" t="s">
        <v>404</v>
      </c>
      <c r="Q786">
        <f t="shared" si="31"/>
        <v>65.73</v>
      </c>
      <c r="R786">
        <f>I786-(K786*Standards!$I$15)</f>
        <v>0</v>
      </c>
      <c r="S786">
        <f t="shared" si="32"/>
        <v>6.3600000000000004E-2</v>
      </c>
      <c r="T786" t="s">
        <v>405</v>
      </c>
    </row>
    <row r="787" spans="1:31">
      <c r="A787">
        <v>58</v>
      </c>
      <c r="B787">
        <v>0</v>
      </c>
      <c r="C787">
        <v>5.4100000000000002E-2</v>
      </c>
      <c r="D787">
        <v>34.1</v>
      </c>
      <c r="E787">
        <v>0.15609999999999999</v>
      </c>
      <c r="F787">
        <v>0</v>
      </c>
      <c r="G787">
        <v>0.43840000000000001</v>
      </c>
      <c r="H787">
        <v>5.68</v>
      </c>
      <c r="I787">
        <v>0</v>
      </c>
      <c r="J787">
        <v>0</v>
      </c>
      <c r="K787">
        <v>0</v>
      </c>
      <c r="L787">
        <v>60.01</v>
      </c>
      <c r="M787">
        <v>8.9399999999999993E-2</v>
      </c>
      <c r="N787">
        <v>100.5279</v>
      </c>
      <c r="O787" t="s">
        <v>404</v>
      </c>
      <c r="Q787">
        <f t="shared" si="31"/>
        <v>65.69</v>
      </c>
      <c r="R787">
        <f>I787-(K787*Standards!$I$15)</f>
        <v>0</v>
      </c>
      <c r="S787">
        <f t="shared" si="32"/>
        <v>5.4100000000000002E-2</v>
      </c>
      <c r="T787" t="s">
        <v>405</v>
      </c>
    </row>
    <row r="788" spans="1:31">
      <c r="A788">
        <v>59</v>
      </c>
      <c r="B788">
        <v>0</v>
      </c>
      <c r="C788">
        <v>6.1899999999999997E-2</v>
      </c>
      <c r="D788">
        <v>34.090000000000003</v>
      </c>
      <c r="E788">
        <v>0.15090000000000001</v>
      </c>
      <c r="F788">
        <v>0</v>
      </c>
      <c r="G788">
        <v>0.4405</v>
      </c>
      <c r="H788">
        <v>5.78</v>
      </c>
      <c r="I788">
        <v>0</v>
      </c>
      <c r="J788">
        <v>0</v>
      </c>
      <c r="K788">
        <v>0</v>
      </c>
      <c r="L788">
        <v>59.74</v>
      </c>
      <c r="M788">
        <v>9.7900000000000001E-2</v>
      </c>
      <c r="N788">
        <v>100.3612</v>
      </c>
      <c r="O788" t="s">
        <v>404</v>
      </c>
      <c r="Q788">
        <f t="shared" si="31"/>
        <v>65.52</v>
      </c>
      <c r="R788">
        <f>I788-(K788*Standards!$I$15)</f>
        <v>0</v>
      </c>
      <c r="S788">
        <f t="shared" si="32"/>
        <v>6.1899999999999997E-2</v>
      </c>
      <c r="T788" t="s">
        <v>405</v>
      </c>
    </row>
    <row r="789" spans="1:31">
      <c r="A789">
        <v>56</v>
      </c>
      <c r="B789">
        <v>0</v>
      </c>
      <c r="C789">
        <v>5.9400000000000001E-2</v>
      </c>
      <c r="D789">
        <v>34.159999999999997</v>
      </c>
      <c r="E789">
        <v>0.15279999999999999</v>
      </c>
      <c r="F789">
        <v>0</v>
      </c>
      <c r="G789">
        <v>0.43369999999999997</v>
      </c>
      <c r="H789">
        <v>6.25</v>
      </c>
      <c r="I789">
        <v>0</v>
      </c>
      <c r="J789">
        <v>0.30909999999999999</v>
      </c>
      <c r="K789">
        <v>0</v>
      </c>
      <c r="L789">
        <v>59.62</v>
      </c>
      <c r="M789">
        <v>0.1012</v>
      </c>
      <c r="N789">
        <v>101.0861</v>
      </c>
      <c r="O789" t="s">
        <v>404</v>
      </c>
      <c r="Q789">
        <f t="shared" si="31"/>
        <v>65.87</v>
      </c>
      <c r="R789">
        <f>I789-(K789*Standards!$I$15)</f>
        <v>0</v>
      </c>
      <c r="S789">
        <f t="shared" si="32"/>
        <v>5.9400000000000001E-2</v>
      </c>
      <c r="T789" t="s">
        <v>405</v>
      </c>
    </row>
    <row r="790" spans="1:31">
      <c r="A790">
        <v>72</v>
      </c>
      <c r="B790">
        <v>0</v>
      </c>
      <c r="C790">
        <v>4.8399999999999999E-2</v>
      </c>
      <c r="D790">
        <v>34.21</v>
      </c>
      <c r="E790">
        <v>0.14249999999999999</v>
      </c>
      <c r="F790">
        <v>0</v>
      </c>
      <c r="G790">
        <v>0.40760000000000002</v>
      </c>
      <c r="H790">
        <v>7.88</v>
      </c>
      <c r="I790">
        <v>0</v>
      </c>
      <c r="J790">
        <v>1.28</v>
      </c>
      <c r="K790">
        <v>0.1041</v>
      </c>
      <c r="L790">
        <v>56.02</v>
      </c>
      <c r="M790">
        <v>0.1022</v>
      </c>
      <c r="N790">
        <v>100.1948</v>
      </c>
      <c r="O790" t="s">
        <v>404</v>
      </c>
      <c r="Q790">
        <f t="shared" si="31"/>
        <v>63.900000000000006</v>
      </c>
      <c r="R790">
        <f>I790-(K790*Standards!$I$15)</f>
        <v>-2.3032125E-4</v>
      </c>
      <c r="S790">
        <f t="shared" si="32"/>
        <v>4.8399999999999999E-2</v>
      </c>
      <c r="T790" t="s">
        <v>405</v>
      </c>
    </row>
    <row r="791" spans="1:31">
      <c r="A791">
        <v>62</v>
      </c>
      <c r="B791">
        <v>3.8999999999999998E-3</v>
      </c>
      <c r="C791">
        <v>0.1368</v>
      </c>
      <c r="D791">
        <v>33.299999999999997</v>
      </c>
      <c r="E791">
        <v>0.28620000000000001</v>
      </c>
      <c r="F791">
        <v>0</v>
      </c>
      <c r="G791">
        <v>0.70340000000000003</v>
      </c>
      <c r="H791">
        <v>0.13450000000000001</v>
      </c>
      <c r="I791">
        <v>3.7000000000000002E-3</v>
      </c>
      <c r="J791">
        <v>0</v>
      </c>
      <c r="K791">
        <v>8.1299999999999997E-2</v>
      </c>
      <c r="L791">
        <v>67.5</v>
      </c>
      <c r="M791">
        <v>7.4300000000000005E-2</v>
      </c>
      <c r="N791">
        <v>102.224</v>
      </c>
      <c r="O791" t="s">
        <v>406</v>
      </c>
      <c r="Q791">
        <f t="shared" si="31"/>
        <v>67.634500000000003</v>
      </c>
      <c r="R791">
        <f>I791-(K791*Standards!$I$15)</f>
        <v>3.52012375E-3</v>
      </c>
      <c r="S791">
        <f t="shared" si="32"/>
        <v>0.13661500000000001</v>
      </c>
      <c r="T791" t="s">
        <v>302</v>
      </c>
      <c r="U791">
        <f>COUNT(R791:R807,R819:R825)</f>
        <v>24</v>
      </c>
      <c r="V791">
        <f>MAX(H791:H807,H819:H825)</f>
        <v>1.59</v>
      </c>
      <c r="W791">
        <f>AVERAGE(H791:H807,H819:H825)</f>
        <v>0.47340833333333338</v>
      </c>
      <c r="X791">
        <f>MAX(J791:J807,J819:J825)</f>
        <v>2.74</v>
      </c>
      <c r="Y791">
        <f>AVERAGE(J791:J807,J819:J825)</f>
        <v>0.53755416666666656</v>
      </c>
      <c r="Z791">
        <f>10000*MAX(R791:R807,R819:R825)</f>
        <v>42</v>
      </c>
      <c r="AA791">
        <f>10000*AVERAGE(R791:R807,R819:R825)</f>
        <v>6.3041687499999979</v>
      </c>
      <c r="AB791">
        <f>10000*MAX(G791:G807,G819:G825)</f>
        <v>17400</v>
      </c>
      <c r="AC791">
        <f>10000*AVERAGE(G791:G807,G819:G825)</f>
        <v>5427.833333333333</v>
      </c>
      <c r="AD791">
        <f>10000*MAX(S791:S807,S819:S825)</f>
        <v>1366.15</v>
      </c>
      <c r="AE791">
        <f>10000*AVERAGE(S791:S807,S819:S825)</f>
        <v>783.60833333333335</v>
      </c>
    </row>
    <row r="792" spans="1:31">
      <c r="A792">
        <v>23</v>
      </c>
      <c r="B792">
        <v>0</v>
      </c>
      <c r="C792">
        <v>5.8900000000000001E-2</v>
      </c>
      <c r="D792">
        <v>34.130000000000003</v>
      </c>
      <c r="E792">
        <v>0.1216</v>
      </c>
      <c r="F792">
        <v>0</v>
      </c>
      <c r="G792">
        <v>0.32840000000000003</v>
      </c>
      <c r="H792">
        <v>0.11990000000000001</v>
      </c>
      <c r="I792">
        <v>1.8E-3</v>
      </c>
      <c r="J792">
        <v>0</v>
      </c>
      <c r="K792">
        <v>0</v>
      </c>
      <c r="L792">
        <v>68.36</v>
      </c>
      <c r="M792">
        <v>6.4100000000000004E-2</v>
      </c>
      <c r="N792">
        <v>103.18470000000001</v>
      </c>
      <c r="O792" t="s">
        <v>407</v>
      </c>
      <c r="Q792">
        <f t="shared" si="31"/>
        <v>68.479900000000001</v>
      </c>
      <c r="R792">
        <f>I792-(K792*Standards!$I$15)</f>
        <v>1.8E-3</v>
      </c>
      <c r="S792">
        <f t="shared" si="32"/>
        <v>5.8810000000000001E-2</v>
      </c>
      <c r="T792" t="s">
        <v>302</v>
      </c>
    </row>
    <row r="793" spans="1:31">
      <c r="A793">
        <v>74</v>
      </c>
      <c r="B793">
        <v>0</v>
      </c>
      <c r="C793">
        <v>0.1066</v>
      </c>
      <c r="D793">
        <v>33.82</v>
      </c>
      <c r="E793">
        <v>0.1011</v>
      </c>
      <c r="F793">
        <v>0</v>
      </c>
      <c r="G793">
        <v>0.29320000000000002</v>
      </c>
      <c r="H793">
        <v>0.18529999999999999</v>
      </c>
      <c r="I793">
        <v>0</v>
      </c>
      <c r="J793">
        <v>1.7299999999999999E-2</v>
      </c>
      <c r="K793">
        <v>8.5000000000000006E-3</v>
      </c>
      <c r="L793">
        <v>68.16</v>
      </c>
      <c r="M793">
        <v>8.3099999999999993E-2</v>
      </c>
      <c r="N793">
        <v>102.77500000000001</v>
      </c>
      <c r="O793" t="s">
        <v>407</v>
      </c>
      <c r="Q793">
        <f t="shared" si="31"/>
        <v>68.345299999999995</v>
      </c>
      <c r="R793">
        <f>I793-(K793*Standards!$I$15)</f>
        <v>-1.8806250000000003E-5</v>
      </c>
      <c r="S793">
        <f t="shared" si="32"/>
        <v>0.1066</v>
      </c>
      <c r="T793" t="s">
        <v>302</v>
      </c>
    </row>
    <row r="794" spans="1:31">
      <c r="A794">
        <v>20</v>
      </c>
      <c r="B794">
        <v>0</v>
      </c>
      <c r="C794">
        <v>8.9399999999999993E-2</v>
      </c>
      <c r="D794">
        <v>33.92</v>
      </c>
      <c r="E794">
        <v>0.1124</v>
      </c>
      <c r="F794">
        <v>1.1599999999999999E-2</v>
      </c>
      <c r="G794">
        <v>0.31269999999999998</v>
      </c>
      <c r="H794">
        <v>9.9599999999999994E-2</v>
      </c>
      <c r="I794">
        <v>4.1999999999999997E-3</v>
      </c>
      <c r="J794">
        <v>2.3900000000000001E-2</v>
      </c>
      <c r="K794">
        <v>0</v>
      </c>
      <c r="L794">
        <v>68.09</v>
      </c>
      <c r="M794">
        <v>0.1129</v>
      </c>
      <c r="N794">
        <v>102.7766</v>
      </c>
      <c r="O794" t="s">
        <v>407</v>
      </c>
      <c r="Q794">
        <f t="shared" si="31"/>
        <v>68.189599999999999</v>
      </c>
      <c r="R794">
        <f>I794-(K794*Standards!$I$15)</f>
        <v>4.1999999999999997E-3</v>
      </c>
      <c r="S794">
        <f t="shared" si="32"/>
        <v>8.9189999999999992E-2</v>
      </c>
      <c r="T794" t="s">
        <v>302</v>
      </c>
    </row>
    <row r="795" spans="1:31">
      <c r="A795">
        <v>76</v>
      </c>
      <c r="B795">
        <v>0</v>
      </c>
      <c r="C795">
        <v>9.4799999999999995E-2</v>
      </c>
      <c r="D795">
        <v>33.85</v>
      </c>
      <c r="E795">
        <v>7.9000000000000001E-2</v>
      </c>
      <c r="F795">
        <v>0</v>
      </c>
      <c r="G795">
        <v>0.26250000000000001</v>
      </c>
      <c r="H795">
        <v>0.127</v>
      </c>
      <c r="I795">
        <v>2.3999999999999998E-3</v>
      </c>
      <c r="J795">
        <v>0</v>
      </c>
      <c r="K795">
        <v>7.9000000000000008E-3</v>
      </c>
      <c r="L795">
        <v>67.97</v>
      </c>
      <c r="M795">
        <v>9.0300000000000005E-2</v>
      </c>
      <c r="N795">
        <v>102.4838</v>
      </c>
      <c r="O795" t="s">
        <v>407</v>
      </c>
      <c r="Q795">
        <f t="shared" si="31"/>
        <v>68.096999999999994</v>
      </c>
      <c r="R795">
        <f>I795-(K795*Standards!$I$15)</f>
        <v>2.3825212499999997E-3</v>
      </c>
      <c r="S795">
        <f t="shared" si="32"/>
        <v>9.468E-2</v>
      </c>
      <c r="T795" t="s">
        <v>302</v>
      </c>
    </row>
    <row r="796" spans="1:31">
      <c r="A796">
        <v>56</v>
      </c>
      <c r="B796">
        <v>0</v>
      </c>
      <c r="C796">
        <v>5.5899999999999998E-2</v>
      </c>
      <c r="D796">
        <v>33.71</v>
      </c>
      <c r="E796">
        <v>0.2301</v>
      </c>
      <c r="F796">
        <v>0</v>
      </c>
      <c r="G796">
        <v>0.69489999999999996</v>
      </c>
      <c r="H796">
        <v>0.11210000000000001</v>
      </c>
      <c r="I796">
        <v>2E-3</v>
      </c>
      <c r="J796">
        <v>0</v>
      </c>
      <c r="K796">
        <v>7.0699999999999999E-2</v>
      </c>
      <c r="L796">
        <v>67.930000000000007</v>
      </c>
      <c r="M796">
        <v>7.9899999999999999E-2</v>
      </c>
      <c r="N796">
        <v>102.88549999999999</v>
      </c>
      <c r="O796" t="s">
        <v>407</v>
      </c>
      <c r="Q796">
        <f t="shared" si="31"/>
        <v>68.042100000000005</v>
      </c>
      <c r="R796">
        <f>I796-(K796*Standards!$I$15)</f>
        <v>1.8435762500000001E-3</v>
      </c>
      <c r="S796">
        <f t="shared" si="32"/>
        <v>5.5799999999999995E-2</v>
      </c>
      <c r="T796" t="s">
        <v>302</v>
      </c>
    </row>
    <row r="797" spans="1:31">
      <c r="A797">
        <v>64</v>
      </c>
      <c r="B797">
        <v>0</v>
      </c>
      <c r="C797">
        <v>7.4700000000000003E-2</v>
      </c>
      <c r="D797">
        <v>33.94</v>
      </c>
      <c r="E797">
        <v>0.114</v>
      </c>
      <c r="F797">
        <v>0</v>
      </c>
      <c r="G797">
        <v>0.3206</v>
      </c>
      <c r="H797">
        <v>0.1822</v>
      </c>
      <c r="I797">
        <v>0</v>
      </c>
      <c r="J797">
        <v>0</v>
      </c>
      <c r="K797">
        <v>2.7400000000000001E-2</v>
      </c>
      <c r="L797">
        <v>67.900000000000006</v>
      </c>
      <c r="M797">
        <v>9.0399999999999994E-2</v>
      </c>
      <c r="N797">
        <v>102.64919999999999</v>
      </c>
      <c r="O797" t="s">
        <v>407</v>
      </c>
      <c r="Q797">
        <f t="shared" si="31"/>
        <v>68.0822</v>
      </c>
      <c r="R797">
        <f>I797-(K797*Standards!$I$15)</f>
        <v>-6.0622500000000004E-5</v>
      </c>
      <c r="S797">
        <f t="shared" si="32"/>
        <v>7.4700000000000003E-2</v>
      </c>
      <c r="T797" t="s">
        <v>302</v>
      </c>
    </row>
    <row r="798" spans="1:31">
      <c r="A798">
        <v>21</v>
      </c>
      <c r="B798">
        <v>0</v>
      </c>
      <c r="C798">
        <v>7.0300000000000001E-2</v>
      </c>
      <c r="D798">
        <v>33.89</v>
      </c>
      <c r="E798">
        <v>0.15579999999999999</v>
      </c>
      <c r="F798">
        <v>0</v>
      </c>
      <c r="G798">
        <v>0.4425</v>
      </c>
      <c r="H798">
        <v>0.223</v>
      </c>
      <c r="I798">
        <v>0</v>
      </c>
      <c r="J798">
        <v>0</v>
      </c>
      <c r="K798">
        <v>0</v>
      </c>
      <c r="L798">
        <v>67.88</v>
      </c>
      <c r="M798">
        <v>0.107</v>
      </c>
      <c r="N798">
        <v>102.7685</v>
      </c>
      <c r="O798" t="s">
        <v>407</v>
      </c>
      <c r="Q798">
        <f t="shared" si="31"/>
        <v>68.102999999999994</v>
      </c>
      <c r="R798">
        <f>I798-(K798*Standards!$I$15)</f>
        <v>0</v>
      </c>
      <c r="S798">
        <f t="shared" si="32"/>
        <v>7.0300000000000001E-2</v>
      </c>
      <c r="T798" t="s">
        <v>302</v>
      </c>
    </row>
    <row r="799" spans="1:31">
      <c r="A799">
        <v>25</v>
      </c>
      <c r="B799">
        <v>0</v>
      </c>
      <c r="C799">
        <v>6.4600000000000005E-2</v>
      </c>
      <c r="D799">
        <v>34.17</v>
      </c>
      <c r="E799">
        <v>0.111</v>
      </c>
      <c r="F799">
        <v>0</v>
      </c>
      <c r="G799">
        <v>0.3261</v>
      </c>
      <c r="H799">
        <v>0.18010000000000001</v>
      </c>
      <c r="I799">
        <v>0</v>
      </c>
      <c r="J799">
        <v>0</v>
      </c>
      <c r="K799">
        <v>0</v>
      </c>
      <c r="L799">
        <v>67.78</v>
      </c>
      <c r="M799">
        <v>8.4500000000000006E-2</v>
      </c>
      <c r="N799">
        <v>102.7162</v>
      </c>
      <c r="O799" t="s">
        <v>407</v>
      </c>
      <c r="Q799">
        <f t="shared" si="31"/>
        <v>67.960099999999997</v>
      </c>
      <c r="R799">
        <f>I799-(K799*Standards!$I$15)</f>
        <v>0</v>
      </c>
      <c r="S799">
        <f t="shared" si="32"/>
        <v>6.4600000000000005E-2</v>
      </c>
      <c r="T799" t="s">
        <v>302</v>
      </c>
    </row>
    <row r="800" spans="1:31">
      <c r="A800">
        <v>55</v>
      </c>
      <c r="B800">
        <v>0</v>
      </c>
      <c r="C800">
        <v>8.4699999999999998E-2</v>
      </c>
      <c r="D800">
        <v>34.03</v>
      </c>
      <c r="E800">
        <v>0.20549999999999999</v>
      </c>
      <c r="F800">
        <v>0</v>
      </c>
      <c r="G800">
        <v>0.65990000000000004</v>
      </c>
      <c r="H800">
        <v>0.1192</v>
      </c>
      <c r="I800">
        <v>4.0000000000000002E-4</v>
      </c>
      <c r="J800">
        <v>1E-4</v>
      </c>
      <c r="K800">
        <v>7.1999999999999995E-2</v>
      </c>
      <c r="L800">
        <v>67.78</v>
      </c>
      <c r="M800">
        <v>0.13139999999999999</v>
      </c>
      <c r="N800">
        <v>103.0831</v>
      </c>
      <c r="O800" t="s">
        <v>407</v>
      </c>
      <c r="Q800">
        <f t="shared" si="31"/>
        <v>67.899200000000008</v>
      </c>
      <c r="R800">
        <f>I800-(K800*Standards!$I$15)</f>
        <v>2.4070000000000002E-4</v>
      </c>
      <c r="S800">
        <f t="shared" si="32"/>
        <v>8.4679999999999991E-2</v>
      </c>
      <c r="T800" t="s">
        <v>302</v>
      </c>
    </row>
    <row r="801" spans="1:20">
      <c r="A801">
        <v>63</v>
      </c>
      <c r="B801">
        <v>0</v>
      </c>
      <c r="C801">
        <v>8.0299999999999996E-2</v>
      </c>
      <c r="D801">
        <v>33.93</v>
      </c>
      <c r="E801">
        <v>0.1221</v>
      </c>
      <c r="F801">
        <v>1.6E-2</v>
      </c>
      <c r="G801">
        <v>0.34399999999999997</v>
      </c>
      <c r="H801">
        <v>0.2752</v>
      </c>
      <c r="I801">
        <v>0</v>
      </c>
      <c r="J801">
        <v>3.9800000000000002E-2</v>
      </c>
      <c r="K801">
        <v>4.0399999999999998E-2</v>
      </c>
      <c r="L801">
        <v>67.739999999999995</v>
      </c>
      <c r="M801">
        <v>7.5499999999999998E-2</v>
      </c>
      <c r="N801">
        <v>102.6632</v>
      </c>
      <c r="O801" t="s">
        <v>407</v>
      </c>
      <c r="Q801">
        <f t="shared" si="31"/>
        <v>68.015199999999993</v>
      </c>
      <c r="R801">
        <f>I801-(K801*Standards!$I$15)</f>
        <v>-8.9384999999999999E-5</v>
      </c>
      <c r="S801">
        <f t="shared" si="32"/>
        <v>8.0299999999999996E-2</v>
      </c>
      <c r="T801" t="s">
        <v>302</v>
      </c>
    </row>
    <row r="802" spans="1:20">
      <c r="A802">
        <v>75</v>
      </c>
      <c r="B802">
        <v>0</v>
      </c>
      <c r="C802">
        <v>7.0000000000000007E-2</v>
      </c>
      <c r="D802">
        <v>33.49</v>
      </c>
      <c r="E802">
        <v>0.2457</v>
      </c>
      <c r="F802">
        <v>0</v>
      </c>
      <c r="G802">
        <v>0.71819999999999995</v>
      </c>
      <c r="H802">
        <v>0.23749999999999999</v>
      </c>
      <c r="I802">
        <v>0</v>
      </c>
      <c r="J802">
        <v>0</v>
      </c>
      <c r="K802">
        <v>7.9500000000000001E-2</v>
      </c>
      <c r="L802">
        <v>67.739999999999995</v>
      </c>
      <c r="M802">
        <v>8.7999999999999995E-2</v>
      </c>
      <c r="N802">
        <v>102.6688</v>
      </c>
      <c r="O802" t="s">
        <v>407</v>
      </c>
      <c r="Q802">
        <f t="shared" si="31"/>
        <v>67.977499999999992</v>
      </c>
      <c r="R802">
        <f>I802-(K802*Standards!$I$15)</f>
        <v>-1.7589375E-4</v>
      </c>
      <c r="S802">
        <f t="shared" si="32"/>
        <v>7.0000000000000007E-2</v>
      </c>
      <c r="T802" t="s">
        <v>302</v>
      </c>
    </row>
    <row r="803" spans="1:20">
      <c r="A803">
        <v>22</v>
      </c>
      <c r="B803">
        <v>0</v>
      </c>
      <c r="C803">
        <v>7.3599999999999999E-2</v>
      </c>
      <c r="D803">
        <v>33.96</v>
      </c>
      <c r="E803">
        <v>0.11509999999999999</v>
      </c>
      <c r="F803">
        <v>0</v>
      </c>
      <c r="G803">
        <v>0.34820000000000001</v>
      </c>
      <c r="H803">
        <v>0.17860000000000001</v>
      </c>
      <c r="I803">
        <v>2.0999999999999999E-3</v>
      </c>
      <c r="J803">
        <v>0</v>
      </c>
      <c r="K803">
        <v>1E-3</v>
      </c>
      <c r="L803">
        <v>67.66</v>
      </c>
      <c r="M803">
        <v>9.4500000000000001E-2</v>
      </c>
      <c r="N803">
        <v>102.4331</v>
      </c>
      <c r="O803" t="s">
        <v>407</v>
      </c>
      <c r="Q803">
        <f t="shared" si="31"/>
        <v>67.8386</v>
      </c>
      <c r="R803">
        <f>I803-(K803*Standards!$I$15)</f>
        <v>2.0977875E-3</v>
      </c>
      <c r="S803">
        <f t="shared" si="32"/>
        <v>7.3495000000000005E-2</v>
      </c>
      <c r="T803" t="s">
        <v>302</v>
      </c>
    </row>
    <row r="804" spans="1:20">
      <c r="A804">
        <v>53</v>
      </c>
      <c r="B804">
        <v>0</v>
      </c>
      <c r="C804">
        <v>8.2900000000000001E-2</v>
      </c>
      <c r="D804">
        <v>34.08</v>
      </c>
      <c r="E804">
        <v>0.1406</v>
      </c>
      <c r="F804">
        <v>0</v>
      </c>
      <c r="G804">
        <v>0.41880000000000001</v>
      </c>
      <c r="H804">
        <v>0.3911</v>
      </c>
      <c r="I804">
        <v>0</v>
      </c>
      <c r="J804">
        <v>0</v>
      </c>
      <c r="K804">
        <v>4.1700000000000001E-2</v>
      </c>
      <c r="L804">
        <v>67.53</v>
      </c>
      <c r="M804">
        <v>7.0300000000000001E-2</v>
      </c>
      <c r="N804">
        <v>102.75530000000001</v>
      </c>
      <c r="O804" t="s">
        <v>407</v>
      </c>
      <c r="Q804">
        <f t="shared" si="31"/>
        <v>67.921099999999996</v>
      </c>
      <c r="R804">
        <f>I804-(K804*Standards!$I$15)</f>
        <v>-9.2261250000000007E-5</v>
      </c>
      <c r="S804">
        <f t="shared" si="32"/>
        <v>8.2900000000000001E-2</v>
      </c>
      <c r="T804" t="s">
        <v>302</v>
      </c>
    </row>
    <row r="805" spans="1:20">
      <c r="A805">
        <v>24</v>
      </c>
      <c r="B805">
        <v>0</v>
      </c>
      <c r="C805">
        <v>7.1199999999999999E-2</v>
      </c>
      <c r="D805">
        <v>33.93</v>
      </c>
      <c r="E805">
        <v>0.25619999999999998</v>
      </c>
      <c r="F805">
        <v>0</v>
      </c>
      <c r="G805">
        <v>0.76500000000000001</v>
      </c>
      <c r="H805">
        <v>0.21340000000000001</v>
      </c>
      <c r="I805">
        <v>2.0000000000000001E-4</v>
      </c>
      <c r="J805">
        <v>0</v>
      </c>
      <c r="K805">
        <v>0</v>
      </c>
      <c r="L805">
        <v>67.489999999999995</v>
      </c>
      <c r="M805">
        <v>9.4100000000000003E-2</v>
      </c>
      <c r="N805">
        <v>102.82</v>
      </c>
      <c r="O805" t="s">
        <v>407</v>
      </c>
      <c r="Q805">
        <f t="shared" si="31"/>
        <v>67.703399999999988</v>
      </c>
      <c r="R805">
        <f>I805-(K805*Standards!$I$15)</f>
        <v>2.0000000000000001E-4</v>
      </c>
      <c r="S805">
        <f t="shared" si="32"/>
        <v>7.1190000000000003E-2</v>
      </c>
      <c r="T805" t="s">
        <v>302</v>
      </c>
    </row>
    <row r="806" spans="1:20">
      <c r="A806">
        <v>52</v>
      </c>
      <c r="B806">
        <v>0</v>
      </c>
      <c r="C806">
        <v>0.1104</v>
      </c>
      <c r="D806">
        <v>33.97</v>
      </c>
      <c r="E806">
        <v>0.12820000000000001</v>
      </c>
      <c r="F806">
        <v>0.2084</v>
      </c>
      <c r="G806">
        <v>0.30459999999999998</v>
      </c>
      <c r="H806">
        <v>0.32190000000000002</v>
      </c>
      <c r="I806">
        <v>0</v>
      </c>
      <c r="J806">
        <v>0.28749999999999998</v>
      </c>
      <c r="K806">
        <v>2.7300000000000001E-2</v>
      </c>
      <c r="L806">
        <v>67.27</v>
      </c>
      <c r="M806">
        <v>0.1113</v>
      </c>
      <c r="N806">
        <v>102.73950000000001</v>
      </c>
      <c r="O806" t="s">
        <v>407</v>
      </c>
      <c r="Q806">
        <f t="shared" si="31"/>
        <v>67.591899999999995</v>
      </c>
      <c r="R806">
        <f>I806-(K806*Standards!$I$15)</f>
        <v>-6.0401250000000004E-5</v>
      </c>
      <c r="S806">
        <f t="shared" si="32"/>
        <v>0.1104</v>
      </c>
      <c r="T806" t="s">
        <v>302</v>
      </c>
    </row>
    <row r="807" spans="1:20">
      <c r="A807">
        <v>54</v>
      </c>
      <c r="B807">
        <v>0</v>
      </c>
      <c r="C807">
        <v>8.3500000000000005E-2</v>
      </c>
      <c r="D807">
        <v>33.880000000000003</v>
      </c>
      <c r="E807">
        <v>0.27850000000000003</v>
      </c>
      <c r="F807">
        <v>0</v>
      </c>
      <c r="G807">
        <v>0.86929999999999996</v>
      </c>
      <c r="H807">
        <v>0.2974</v>
      </c>
      <c r="I807">
        <v>0</v>
      </c>
      <c r="J807">
        <v>0</v>
      </c>
      <c r="K807">
        <v>0.1067</v>
      </c>
      <c r="L807">
        <v>67.12</v>
      </c>
      <c r="M807">
        <v>9.2600000000000002E-2</v>
      </c>
      <c r="N807">
        <v>102.72799999999999</v>
      </c>
      <c r="O807" t="s">
        <v>407</v>
      </c>
      <c r="Q807">
        <f t="shared" si="31"/>
        <v>67.417400000000001</v>
      </c>
      <c r="R807">
        <f>I807-(K807*Standards!$I$15)</f>
        <v>-2.3607375000000001E-4</v>
      </c>
      <c r="S807">
        <f t="shared" si="32"/>
        <v>8.3500000000000005E-2</v>
      </c>
      <c r="T807" t="s">
        <v>292</v>
      </c>
    </row>
    <row r="808" spans="1:20">
      <c r="A808">
        <v>67</v>
      </c>
      <c r="B808">
        <v>0</v>
      </c>
      <c r="C808">
        <v>4.1500000000000002E-2</v>
      </c>
      <c r="D808">
        <v>33.82</v>
      </c>
      <c r="E808">
        <v>0.18049999999999999</v>
      </c>
      <c r="F808">
        <v>0</v>
      </c>
      <c r="G808">
        <v>0.43669999999999998</v>
      </c>
      <c r="H808">
        <v>3.72</v>
      </c>
      <c r="I808">
        <v>0</v>
      </c>
      <c r="J808">
        <v>2.1999999999999999E-2</v>
      </c>
      <c r="K808">
        <v>0</v>
      </c>
      <c r="L808">
        <v>63.04</v>
      </c>
      <c r="M808">
        <v>0.1087</v>
      </c>
      <c r="N808">
        <v>101.3693</v>
      </c>
      <c r="O808" t="s">
        <v>408</v>
      </c>
      <c r="Q808">
        <f t="shared" si="31"/>
        <v>66.760000000000005</v>
      </c>
      <c r="R808">
        <f>I808-(K808*Standards!$I$15)</f>
        <v>0</v>
      </c>
      <c r="S808">
        <f t="shared" si="32"/>
        <v>4.1500000000000002E-2</v>
      </c>
      <c r="T808" t="s">
        <v>292</v>
      </c>
    </row>
    <row r="809" spans="1:20">
      <c r="A809">
        <v>83</v>
      </c>
      <c r="B809">
        <v>0</v>
      </c>
      <c r="C809">
        <v>3.8199999999999998E-2</v>
      </c>
      <c r="D809">
        <v>33.700000000000003</v>
      </c>
      <c r="E809">
        <v>0.2301</v>
      </c>
      <c r="F809">
        <v>0</v>
      </c>
      <c r="G809">
        <v>0.52159999999999995</v>
      </c>
      <c r="H809">
        <v>2.86</v>
      </c>
      <c r="I809">
        <v>7.7499999999999999E-2</v>
      </c>
      <c r="J809">
        <v>1.04</v>
      </c>
      <c r="K809">
        <v>0</v>
      </c>
      <c r="L809">
        <v>61.66</v>
      </c>
      <c r="M809">
        <v>0.1275</v>
      </c>
      <c r="N809">
        <v>100.2548</v>
      </c>
      <c r="O809" t="s">
        <v>408</v>
      </c>
      <c r="Q809">
        <f t="shared" ref="Q809:Q840" si="33">H809+L809</f>
        <v>64.52</v>
      </c>
      <c r="R809">
        <f>I809-(K809*Standards!$I$15)</f>
        <v>7.7499999999999999E-2</v>
      </c>
      <c r="S809">
        <f t="shared" ref="S809:S828" si="34">C809-(I809*0.05)</f>
        <v>3.4324999999999994E-2</v>
      </c>
      <c r="T809" t="s">
        <v>292</v>
      </c>
    </row>
    <row r="810" spans="1:20">
      <c r="A810">
        <v>65</v>
      </c>
      <c r="B810">
        <v>5.4999999999999997E-3</v>
      </c>
      <c r="C810">
        <v>4.4299999999999999E-2</v>
      </c>
      <c r="D810">
        <v>33.76</v>
      </c>
      <c r="E810">
        <v>0.1474</v>
      </c>
      <c r="F810">
        <v>5.7200000000000001E-2</v>
      </c>
      <c r="G810">
        <v>0.31659999999999999</v>
      </c>
      <c r="H810">
        <v>3.21</v>
      </c>
      <c r="I810">
        <v>0</v>
      </c>
      <c r="J810">
        <v>4.9099999999999998E-2</v>
      </c>
      <c r="K810">
        <v>0</v>
      </c>
      <c r="L810">
        <v>63.58</v>
      </c>
      <c r="M810">
        <v>8.4000000000000005E-2</v>
      </c>
      <c r="N810">
        <v>101.25409999999999</v>
      </c>
      <c r="O810" t="s">
        <v>409</v>
      </c>
      <c r="Q810">
        <f t="shared" si="33"/>
        <v>66.789999999999992</v>
      </c>
      <c r="R810">
        <f>I810-(K810*Standards!$I$15)</f>
        <v>0</v>
      </c>
      <c r="S810">
        <f t="shared" si="34"/>
        <v>4.4299999999999999E-2</v>
      </c>
      <c r="T810" t="s">
        <v>292</v>
      </c>
    </row>
    <row r="811" spans="1:20">
      <c r="A811">
        <v>64</v>
      </c>
      <c r="B811">
        <v>1.06E-2</v>
      </c>
      <c r="C811">
        <v>5.1299999999999998E-2</v>
      </c>
      <c r="D811">
        <v>33.72</v>
      </c>
      <c r="E811">
        <v>0.40550000000000003</v>
      </c>
      <c r="F811">
        <v>0</v>
      </c>
      <c r="G811">
        <v>0.93440000000000001</v>
      </c>
      <c r="H811">
        <v>2.77</v>
      </c>
      <c r="I811">
        <v>0</v>
      </c>
      <c r="J811">
        <v>3.5299999999999998E-2</v>
      </c>
      <c r="K811">
        <v>0</v>
      </c>
      <c r="L811">
        <v>63.26</v>
      </c>
      <c r="M811">
        <v>0.10390000000000001</v>
      </c>
      <c r="N811">
        <v>101.29089999999999</v>
      </c>
      <c r="O811" t="s">
        <v>409</v>
      </c>
      <c r="Q811">
        <f t="shared" si="33"/>
        <v>66.03</v>
      </c>
      <c r="R811">
        <f>I811-(K811*Standards!$I$15)</f>
        <v>0</v>
      </c>
      <c r="S811">
        <f t="shared" si="34"/>
        <v>5.1299999999999998E-2</v>
      </c>
      <c r="T811" t="s">
        <v>292</v>
      </c>
    </row>
    <row r="812" spans="1:20">
      <c r="A812">
        <v>60</v>
      </c>
      <c r="B812">
        <v>0</v>
      </c>
      <c r="C812">
        <v>3.8899999999999997E-2</v>
      </c>
      <c r="D812">
        <v>33.4</v>
      </c>
      <c r="E812">
        <v>0.1321</v>
      </c>
      <c r="F812">
        <v>6.8900000000000003E-2</v>
      </c>
      <c r="G812">
        <v>0.2626</v>
      </c>
      <c r="H812">
        <v>1.71</v>
      </c>
      <c r="I812">
        <v>1.4200000000000001E-2</v>
      </c>
      <c r="J812">
        <v>1</v>
      </c>
      <c r="K812">
        <v>0.43440000000000001</v>
      </c>
      <c r="L812">
        <v>63.12</v>
      </c>
      <c r="M812">
        <v>0.1462</v>
      </c>
      <c r="N812">
        <v>100.3272</v>
      </c>
      <c r="O812" t="s">
        <v>308</v>
      </c>
      <c r="Q812">
        <f t="shared" si="33"/>
        <v>64.83</v>
      </c>
      <c r="R812">
        <f>I812-(K812*Standards!$I$15)</f>
        <v>1.3238890000000001E-2</v>
      </c>
      <c r="S812">
        <f t="shared" si="34"/>
        <v>3.8189999999999995E-2</v>
      </c>
      <c r="T812" t="s">
        <v>292</v>
      </c>
    </row>
    <row r="813" spans="1:20">
      <c r="A813">
        <v>85</v>
      </c>
      <c r="B813">
        <v>0</v>
      </c>
      <c r="C813">
        <v>3.9899999999999998E-2</v>
      </c>
      <c r="D813">
        <v>33.630000000000003</v>
      </c>
      <c r="E813">
        <v>0.15479999999999999</v>
      </c>
      <c r="F813">
        <v>0</v>
      </c>
      <c r="G813">
        <v>0.34010000000000001</v>
      </c>
      <c r="H813">
        <v>1.96</v>
      </c>
      <c r="I813">
        <v>9.7500000000000003E-2</v>
      </c>
      <c r="J813">
        <v>1.49</v>
      </c>
      <c r="K813">
        <v>0</v>
      </c>
      <c r="L813">
        <v>61.34</v>
      </c>
      <c r="M813">
        <v>0.23400000000000001</v>
      </c>
      <c r="N813">
        <v>99.2864</v>
      </c>
      <c r="O813" t="s">
        <v>410</v>
      </c>
      <c r="Q813">
        <f t="shared" si="33"/>
        <v>63.300000000000004</v>
      </c>
      <c r="R813">
        <f>I813-(K813*Standards!$I$15)</f>
        <v>9.7500000000000003E-2</v>
      </c>
      <c r="S813">
        <f t="shared" si="34"/>
        <v>3.5025000000000001E-2</v>
      </c>
      <c r="T813" t="s">
        <v>292</v>
      </c>
    </row>
    <row r="814" spans="1:20">
      <c r="A814">
        <v>86</v>
      </c>
      <c r="B814">
        <v>0</v>
      </c>
      <c r="C814">
        <v>4.1700000000000001E-2</v>
      </c>
      <c r="D814">
        <v>33.619999999999997</v>
      </c>
      <c r="E814">
        <v>0.23930000000000001</v>
      </c>
      <c r="F814">
        <v>0</v>
      </c>
      <c r="G814">
        <v>0.48709999999999998</v>
      </c>
      <c r="H814">
        <v>2.19</v>
      </c>
      <c r="I814">
        <v>4.7300000000000002E-2</v>
      </c>
      <c r="J814">
        <v>1.4</v>
      </c>
      <c r="K814">
        <v>0</v>
      </c>
      <c r="L814">
        <v>60.97</v>
      </c>
      <c r="M814">
        <v>0.19389999999999999</v>
      </c>
      <c r="N814">
        <v>99.189300000000003</v>
      </c>
      <c r="O814" t="s">
        <v>410</v>
      </c>
      <c r="Q814">
        <f t="shared" si="33"/>
        <v>63.16</v>
      </c>
      <c r="R814">
        <f>I814-(K814*Standards!$I$15)</f>
        <v>4.7300000000000002E-2</v>
      </c>
      <c r="S814">
        <f t="shared" si="34"/>
        <v>3.9335000000000002E-2</v>
      </c>
      <c r="T814" t="s">
        <v>292</v>
      </c>
    </row>
    <row r="815" spans="1:20">
      <c r="A815">
        <v>53</v>
      </c>
      <c r="B815">
        <v>0</v>
      </c>
      <c r="C815">
        <v>3.49E-2</v>
      </c>
      <c r="D815">
        <v>33.770000000000003</v>
      </c>
      <c r="E815">
        <v>8.3900000000000002E-2</v>
      </c>
      <c r="F815">
        <v>0</v>
      </c>
      <c r="G815">
        <v>0.1782</v>
      </c>
      <c r="H815">
        <v>1.54</v>
      </c>
      <c r="I815">
        <v>0</v>
      </c>
      <c r="J815">
        <v>0.38890000000000002</v>
      </c>
      <c r="K815">
        <v>0.15559999999999999</v>
      </c>
      <c r="L815">
        <v>65.45</v>
      </c>
      <c r="M815">
        <v>9.5399999999999999E-2</v>
      </c>
      <c r="N815">
        <v>101.6968</v>
      </c>
      <c r="O815" t="s">
        <v>411</v>
      </c>
      <c r="Q815">
        <f t="shared" si="33"/>
        <v>66.990000000000009</v>
      </c>
      <c r="R815">
        <f>I815-(K815*Standards!$I$15)</f>
        <v>-3.4426499999999996E-4</v>
      </c>
      <c r="S815">
        <f t="shared" si="34"/>
        <v>3.49E-2</v>
      </c>
      <c r="T815" t="s">
        <v>292</v>
      </c>
    </row>
    <row r="816" spans="1:20">
      <c r="A816">
        <v>52</v>
      </c>
      <c r="B816">
        <v>0</v>
      </c>
      <c r="C816">
        <v>1.2E-2</v>
      </c>
      <c r="D816">
        <v>33.71</v>
      </c>
      <c r="E816">
        <v>7.3499999999999996E-2</v>
      </c>
      <c r="F816">
        <v>0</v>
      </c>
      <c r="G816">
        <v>0.17860000000000001</v>
      </c>
      <c r="H816">
        <v>1.54</v>
      </c>
      <c r="I816">
        <v>0</v>
      </c>
      <c r="J816">
        <v>0.30309999999999998</v>
      </c>
      <c r="K816">
        <v>0.18529999999999999</v>
      </c>
      <c r="L816">
        <v>65.349999999999994</v>
      </c>
      <c r="M816">
        <v>0.1105</v>
      </c>
      <c r="N816">
        <v>101.4629</v>
      </c>
      <c r="O816" t="s">
        <v>411</v>
      </c>
      <c r="Q816">
        <f t="shared" si="33"/>
        <v>66.89</v>
      </c>
      <c r="R816">
        <f>I816-(K816*Standards!$I$15)</f>
        <v>-4.0997624999999997E-4</v>
      </c>
      <c r="S816">
        <f t="shared" si="34"/>
        <v>1.2E-2</v>
      </c>
      <c r="T816" t="s">
        <v>292</v>
      </c>
    </row>
    <row r="817" spans="1:31">
      <c r="A817">
        <v>55</v>
      </c>
      <c r="B817">
        <v>0</v>
      </c>
      <c r="C817">
        <v>3.4099999999999998E-2</v>
      </c>
      <c r="D817">
        <v>34.04</v>
      </c>
      <c r="E817">
        <v>0.1852</v>
      </c>
      <c r="F817">
        <v>0.26119999999999999</v>
      </c>
      <c r="G817">
        <v>0.35120000000000001</v>
      </c>
      <c r="H817">
        <v>2.92</v>
      </c>
      <c r="I817">
        <v>0</v>
      </c>
      <c r="J817">
        <v>0.57199999999999995</v>
      </c>
      <c r="K817">
        <v>4.1000000000000003E-3</v>
      </c>
      <c r="L817">
        <v>62.49</v>
      </c>
      <c r="M817">
        <v>0.16309999999999999</v>
      </c>
      <c r="N817">
        <v>101.0209</v>
      </c>
      <c r="O817" t="s">
        <v>411</v>
      </c>
      <c r="Q817">
        <f t="shared" si="33"/>
        <v>65.41</v>
      </c>
      <c r="R817">
        <f>I817-(K817*Standards!$I$15)</f>
        <v>-9.0712500000000006E-6</v>
      </c>
      <c r="S817">
        <f t="shared" si="34"/>
        <v>3.4099999999999998E-2</v>
      </c>
      <c r="T817" t="s">
        <v>292</v>
      </c>
    </row>
    <row r="818" spans="1:31">
      <c r="A818">
        <v>54</v>
      </c>
      <c r="B818">
        <v>0</v>
      </c>
      <c r="C818">
        <v>3.49E-2</v>
      </c>
      <c r="D818">
        <v>33.520000000000003</v>
      </c>
      <c r="E818">
        <v>7.3200000000000001E-2</v>
      </c>
      <c r="F818">
        <v>0</v>
      </c>
      <c r="G818">
        <v>0.16009999999999999</v>
      </c>
      <c r="H818">
        <v>1.51</v>
      </c>
      <c r="I818">
        <v>1.0800000000000001E-2</v>
      </c>
      <c r="J818">
        <v>0.66700000000000004</v>
      </c>
      <c r="K818">
        <v>0.38669999999999999</v>
      </c>
      <c r="L818">
        <v>64.930000000000007</v>
      </c>
      <c r="M818">
        <v>0.1226</v>
      </c>
      <c r="N818">
        <v>101.4152</v>
      </c>
      <c r="O818" t="s">
        <v>412</v>
      </c>
      <c r="Q818">
        <f t="shared" si="33"/>
        <v>66.440000000000012</v>
      </c>
      <c r="R818">
        <f>I818-(K818*Standards!$I$15)</f>
        <v>9.9444262500000009E-3</v>
      </c>
      <c r="S818">
        <f t="shared" si="34"/>
        <v>3.4360000000000002E-2</v>
      </c>
      <c r="T818" t="s">
        <v>292</v>
      </c>
    </row>
    <row r="819" spans="1:31">
      <c r="A819">
        <v>138</v>
      </c>
      <c r="B819">
        <v>0</v>
      </c>
      <c r="C819">
        <v>6.4399999999999999E-2</v>
      </c>
      <c r="D819">
        <v>32.93</v>
      </c>
      <c r="E819">
        <v>1.76</v>
      </c>
      <c r="F819">
        <v>1.35</v>
      </c>
      <c r="G819">
        <v>1.67</v>
      </c>
      <c r="H819">
        <v>1.26</v>
      </c>
      <c r="I819">
        <v>0</v>
      </c>
      <c r="J819">
        <v>1.38</v>
      </c>
      <c r="K819">
        <v>1.6799999999999999E-2</v>
      </c>
      <c r="L819">
        <v>61.21</v>
      </c>
      <c r="M819">
        <v>0.3871</v>
      </c>
      <c r="N819">
        <v>102.0282</v>
      </c>
      <c r="O819" t="s">
        <v>413</v>
      </c>
      <c r="Q819">
        <f t="shared" si="33"/>
        <v>62.47</v>
      </c>
      <c r="R819">
        <f>I819-(K819*Standards!$I$15)</f>
        <v>-3.7169999999999998E-5</v>
      </c>
      <c r="S819">
        <f t="shared" si="34"/>
        <v>6.4399999999999999E-2</v>
      </c>
      <c r="T819" t="s">
        <v>302</v>
      </c>
    </row>
    <row r="820" spans="1:31">
      <c r="A820">
        <v>141</v>
      </c>
      <c r="B820">
        <v>4.9200000000000001E-2</v>
      </c>
      <c r="C820">
        <v>4.8099999999999997E-2</v>
      </c>
      <c r="D820">
        <v>32.700000000000003</v>
      </c>
      <c r="E820">
        <v>1.86</v>
      </c>
      <c r="F820">
        <v>3.14</v>
      </c>
      <c r="G820">
        <v>0.2077</v>
      </c>
      <c r="H820">
        <v>0.68500000000000005</v>
      </c>
      <c r="I820">
        <v>0</v>
      </c>
      <c r="J820">
        <v>2.09</v>
      </c>
      <c r="K820">
        <v>6.8900000000000003E-2</v>
      </c>
      <c r="L820">
        <v>59.06</v>
      </c>
      <c r="M820">
        <v>0.65129999999999999</v>
      </c>
      <c r="N820">
        <v>100.56019999999999</v>
      </c>
      <c r="O820" t="s">
        <v>413</v>
      </c>
      <c r="Q820">
        <f t="shared" si="33"/>
        <v>59.745000000000005</v>
      </c>
      <c r="R820">
        <f>I820-(K820*Standards!$I$15)</f>
        <v>-1.5244125000000002E-4</v>
      </c>
      <c r="S820">
        <f t="shared" si="34"/>
        <v>4.8099999999999997E-2</v>
      </c>
      <c r="T820" t="s">
        <v>302</v>
      </c>
    </row>
    <row r="821" spans="1:31">
      <c r="A821">
        <v>137</v>
      </c>
      <c r="B821">
        <v>4.0599999999999997E-2</v>
      </c>
      <c r="C821">
        <v>0.10920000000000001</v>
      </c>
      <c r="D821">
        <v>32.119999999999997</v>
      </c>
      <c r="E821">
        <v>2.1</v>
      </c>
      <c r="F821">
        <v>2.98</v>
      </c>
      <c r="G821">
        <v>0.46250000000000002</v>
      </c>
      <c r="H821">
        <v>1.56</v>
      </c>
      <c r="I821">
        <v>0</v>
      </c>
      <c r="J821">
        <v>2.74</v>
      </c>
      <c r="K821">
        <v>0</v>
      </c>
      <c r="L821">
        <v>58.66</v>
      </c>
      <c r="M821">
        <v>0.69169999999999998</v>
      </c>
      <c r="N821">
        <v>101.464</v>
      </c>
      <c r="O821" t="s">
        <v>413</v>
      </c>
      <c r="Q821">
        <f t="shared" si="33"/>
        <v>60.22</v>
      </c>
      <c r="R821">
        <f>I821-(K821*Standards!$I$15)</f>
        <v>0</v>
      </c>
      <c r="S821">
        <f t="shared" si="34"/>
        <v>0.10920000000000001</v>
      </c>
      <c r="T821" t="s">
        <v>302</v>
      </c>
    </row>
    <row r="822" spans="1:31">
      <c r="A822">
        <v>139</v>
      </c>
      <c r="B822">
        <v>3.7400000000000003E-2</v>
      </c>
      <c r="C822">
        <v>5.6599999999999998E-2</v>
      </c>
      <c r="D822">
        <v>32.15</v>
      </c>
      <c r="E822">
        <v>2</v>
      </c>
      <c r="F822">
        <v>3.17</v>
      </c>
      <c r="G822">
        <v>0.22850000000000001</v>
      </c>
      <c r="H822">
        <v>1.32</v>
      </c>
      <c r="I822">
        <v>0</v>
      </c>
      <c r="J822">
        <v>2.5499999999999998</v>
      </c>
      <c r="K822">
        <v>7.7299999999999994E-2</v>
      </c>
      <c r="L822">
        <v>58.48</v>
      </c>
      <c r="M822">
        <v>0.64980000000000004</v>
      </c>
      <c r="N822">
        <v>100.7196</v>
      </c>
      <c r="O822" t="s">
        <v>413</v>
      </c>
      <c r="Q822">
        <f t="shared" si="33"/>
        <v>59.8</v>
      </c>
      <c r="R822">
        <f>I822-(K822*Standards!$I$15)</f>
        <v>-1.7102624999999999E-4</v>
      </c>
      <c r="S822">
        <f t="shared" si="34"/>
        <v>5.6599999999999998E-2</v>
      </c>
      <c r="T822" t="s">
        <v>302</v>
      </c>
    </row>
    <row r="823" spans="1:31">
      <c r="A823">
        <v>140</v>
      </c>
      <c r="B823">
        <v>3.44E-2</v>
      </c>
      <c r="C823">
        <v>0.1047</v>
      </c>
      <c r="D823">
        <v>32.21</v>
      </c>
      <c r="E823">
        <v>2.06</v>
      </c>
      <c r="F823">
        <v>2.5</v>
      </c>
      <c r="G823">
        <v>1.74</v>
      </c>
      <c r="H823">
        <v>0.44879999999999998</v>
      </c>
      <c r="I823">
        <v>0</v>
      </c>
      <c r="J823">
        <v>1.94</v>
      </c>
      <c r="K823">
        <v>2.7400000000000001E-2</v>
      </c>
      <c r="L823">
        <v>58.37</v>
      </c>
      <c r="M823">
        <v>0.57499999999999996</v>
      </c>
      <c r="N823">
        <v>100.0102</v>
      </c>
      <c r="O823" t="s">
        <v>413</v>
      </c>
      <c r="Q823">
        <f t="shared" si="33"/>
        <v>58.818799999999996</v>
      </c>
      <c r="R823">
        <f>I823-(K823*Standards!$I$15)</f>
        <v>-6.0622500000000004E-5</v>
      </c>
      <c r="S823">
        <f t="shared" si="34"/>
        <v>0.1047</v>
      </c>
      <c r="T823" t="s">
        <v>302</v>
      </c>
    </row>
    <row r="824" spans="1:31">
      <c r="A824">
        <v>133</v>
      </c>
      <c r="B824">
        <v>0.16259999999999999</v>
      </c>
      <c r="C824">
        <v>4.0399999999999998E-2</v>
      </c>
      <c r="D824">
        <v>32.950000000000003</v>
      </c>
      <c r="E824">
        <v>0.64539999999999997</v>
      </c>
      <c r="F824">
        <v>0.63360000000000005</v>
      </c>
      <c r="G824">
        <v>0.31209999999999999</v>
      </c>
      <c r="H824">
        <v>1.1000000000000001</v>
      </c>
      <c r="I824">
        <v>0</v>
      </c>
      <c r="J824">
        <v>0.9103</v>
      </c>
      <c r="K824">
        <v>0</v>
      </c>
      <c r="L824">
        <v>62.94</v>
      </c>
      <c r="M824">
        <v>0.43809999999999999</v>
      </c>
      <c r="N824">
        <v>100.1324</v>
      </c>
      <c r="O824" t="s">
        <v>414</v>
      </c>
      <c r="Q824">
        <f t="shared" si="33"/>
        <v>64.039999999999992</v>
      </c>
      <c r="R824">
        <f>I824-(K824*Standards!$I$15)</f>
        <v>0</v>
      </c>
      <c r="S824">
        <f t="shared" si="34"/>
        <v>4.0399999999999998E-2</v>
      </c>
      <c r="T824" t="s">
        <v>302</v>
      </c>
    </row>
    <row r="825" spans="1:31">
      <c r="A825">
        <v>134</v>
      </c>
      <c r="B825">
        <v>0.15379999999999999</v>
      </c>
      <c r="C825">
        <v>4.9500000000000002E-2</v>
      </c>
      <c r="D825">
        <v>33.130000000000003</v>
      </c>
      <c r="E825">
        <v>0.57110000000000005</v>
      </c>
      <c r="F825">
        <v>0.53590000000000004</v>
      </c>
      <c r="G825">
        <v>0.29370000000000002</v>
      </c>
      <c r="H825">
        <v>1.59</v>
      </c>
      <c r="I825">
        <v>0</v>
      </c>
      <c r="J825">
        <v>0.9224</v>
      </c>
      <c r="K825">
        <v>0</v>
      </c>
      <c r="L825">
        <v>62.9</v>
      </c>
      <c r="M825">
        <v>0.34429999999999999</v>
      </c>
      <c r="N825">
        <v>100.4907</v>
      </c>
      <c r="O825" t="s">
        <v>414</v>
      </c>
      <c r="Q825">
        <f t="shared" si="33"/>
        <v>64.489999999999995</v>
      </c>
      <c r="R825">
        <f>I825-(K825*Standards!$I$15)</f>
        <v>0</v>
      </c>
      <c r="S825">
        <f t="shared" si="34"/>
        <v>4.9500000000000002E-2</v>
      </c>
      <c r="T825" t="s">
        <v>302</v>
      </c>
    </row>
    <row r="826" spans="1:31">
      <c r="A826">
        <v>1</v>
      </c>
      <c r="B826">
        <v>0</v>
      </c>
      <c r="C826">
        <v>9.5100000000000004E-2</v>
      </c>
      <c r="D826">
        <v>34.18</v>
      </c>
      <c r="E826">
        <v>2.1399999999999999E-2</v>
      </c>
      <c r="F826">
        <v>0</v>
      </c>
      <c r="G826">
        <v>3.1800000000000002E-2</v>
      </c>
      <c r="H826">
        <v>2.79</v>
      </c>
      <c r="I826">
        <v>1.2999999999999999E-3</v>
      </c>
      <c r="J826">
        <v>7.6E-3</v>
      </c>
      <c r="K826">
        <v>0</v>
      </c>
      <c r="L826">
        <v>65.62</v>
      </c>
      <c r="M826">
        <v>0.13719999999999999</v>
      </c>
      <c r="N826">
        <v>102.8844</v>
      </c>
      <c r="O826" t="s">
        <v>415</v>
      </c>
      <c r="Q826">
        <f t="shared" si="33"/>
        <v>68.410000000000011</v>
      </c>
      <c r="R826">
        <f>I826-(K826*Standards!$I$15)</f>
        <v>1.2999999999999999E-3</v>
      </c>
      <c r="S826">
        <f t="shared" si="34"/>
        <v>9.5035000000000008E-2</v>
      </c>
      <c r="T826" t="s">
        <v>416</v>
      </c>
      <c r="U826">
        <f>COUNT(R826:R828)</f>
        <v>3</v>
      </c>
      <c r="V826">
        <f>MAX(H826:H828)</f>
        <v>4.18</v>
      </c>
      <c r="W826">
        <f>AVERAGE(H826:H828)</f>
        <v>3.6</v>
      </c>
      <c r="X826">
        <f>MAX(J826:J828)</f>
        <v>0.1449</v>
      </c>
      <c r="Y826">
        <f>AVERAGE(J826:J828)</f>
        <v>5.5500000000000001E-2</v>
      </c>
      <c r="Z826">
        <f>10000*MAX(R826:R828)</f>
        <v>37</v>
      </c>
      <c r="AA826">
        <f>10000*AVERAGE(R826:R828)</f>
        <v>19.839945833333335</v>
      </c>
      <c r="AB826">
        <f>10000*MAX(G826:G828)</f>
        <v>1727</v>
      </c>
      <c r="AC826">
        <f>10000*AVERAGE(G826:G828)</f>
        <v>922.33333333333337</v>
      </c>
      <c r="AD826">
        <f>10000*MAX(S826:S828)</f>
        <v>950.35000000000014</v>
      </c>
      <c r="AE826">
        <f>10000*AVERAGE(S826:S828)</f>
        <v>748.98333333333335</v>
      </c>
    </row>
    <row r="827" spans="1:31">
      <c r="A827">
        <v>2</v>
      </c>
      <c r="B827">
        <v>0</v>
      </c>
      <c r="C827">
        <v>7.4200000000000002E-2</v>
      </c>
      <c r="D827">
        <v>34.01</v>
      </c>
      <c r="E827">
        <v>1.44E-2</v>
      </c>
      <c r="F827">
        <v>0</v>
      </c>
      <c r="G827">
        <v>7.22E-2</v>
      </c>
      <c r="H827">
        <v>3.83</v>
      </c>
      <c r="I827">
        <v>1.1000000000000001E-3</v>
      </c>
      <c r="J827">
        <v>0.1449</v>
      </c>
      <c r="K827">
        <v>6.6900000000000001E-2</v>
      </c>
      <c r="L827">
        <v>64.31</v>
      </c>
      <c r="M827">
        <v>0.1658</v>
      </c>
      <c r="N827">
        <v>102.68940000000001</v>
      </c>
      <c r="O827" t="s">
        <v>415</v>
      </c>
      <c r="Q827">
        <f t="shared" si="33"/>
        <v>68.14</v>
      </c>
      <c r="R827">
        <f>I827-(K827*Standards!$I$15)</f>
        <v>9.5198375000000003E-4</v>
      </c>
      <c r="S827">
        <f t="shared" si="34"/>
        <v>7.4145000000000003E-2</v>
      </c>
      <c r="T827" t="s">
        <v>416</v>
      </c>
    </row>
    <row r="828" spans="1:31">
      <c r="A828">
        <v>11</v>
      </c>
      <c r="B828">
        <v>0</v>
      </c>
      <c r="C828">
        <v>5.57E-2</v>
      </c>
      <c r="D828">
        <v>34.06</v>
      </c>
      <c r="E828">
        <v>5.28E-2</v>
      </c>
      <c r="F828">
        <v>0</v>
      </c>
      <c r="G828">
        <v>0.17269999999999999</v>
      </c>
      <c r="H828">
        <v>4.18</v>
      </c>
      <c r="I828">
        <v>3.7000000000000002E-3</v>
      </c>
      <c r="J828">
        <v>1.4E-2</v>
      </c>
      <c r="K828">
        <v>0</v>
      </c>
      <c r="L828">
        <v>64</v>
      </c>
      <c r="M828">
        <v>0.1852</v>
      </c>
      <c r="N828">
        <v>102.724</v>
      </c>
      <c r="O828" t="s">
        <v>415</v>
      </c>
      <c r="Q828">
        <f t="shared" si="33"/>
        <v>68.180000000000007</v>
      </c>
      <c r="R828">
        <f>I828-(K828*Standards!$I$15)</f>
        <v>3.7000000000000002E-3</v>
      </c>
      <c r="S828">
        <f t="shared" si="34"/>
        <v>5.5515000000000002E-2</v>
      </c>
      <c r="T828" t="s">
        <v>416</v>
      </c>
    </row>
    <row r="829" spans="1:31">
      <c r="A829" s="27">
        <v>2</v>
      </c>
      <c r="B829" s="27">
        <v>0</v>
      </c>
      <c r="C829" s="27">
        <v>9.2299999999999993E-2</v>
      </c>
      <c r="D829" s="27">
        <v>34.869999999999997</v>
      </c>
      <c r="E829" s="27">
        <v>4.3499999999999997E-2</v>
      </c>
      <c r="F829" s="27">
        <v>0</v>
      </c>
      <c r="G829" s="27">
        <v>0.1273</v>
      </c>
      <c r="H829" s="27">
        <v>4.2699999999999996</v>
      </c>
      <c r="I829" s="27">
        <v>3.3999999999999998E-3</v>
      </c>
      <c r="J829" s="27">
        <v>0</v>
      </c>
      <c r="K829" s="27">
        <v>0</v>
      </c>
      <c r="L829" s="27">
        <v>64.400000000000006</v>
      </c>
      <c r="M829" s="27">
        <v>9.5600000000000004E-2</v>
      </c>
      <c r="N829" s="27">
        <v>103.902</v>
      </c>
      <c r="O829" s="27" t="s">
        <v>417</v>
      </c>
      <c r="Q829">
        <f t="shared" si="33"/>
        <v>68.67</v>
      </c>
      <c r="R829">
        <f>I829-(K829*Standards!$I$15)</f>
        <v>3.3999999999999998E-3</v>
      </c>
      <c r="S829">
        <f t="shared" ref="S829:S892" si="35">C829-(I829*0.05)</f>
        <v>9.212999999999999E-2</v>
      </c>
      <c r="T829" t="s">
        <v>119</v>
      </c>
      <c r="U829">
        <f>COUNT(L829:L891)</f>
        <v>63</v>
      </c>
      <c r="V829">
        <f>MAX(H829:H891)</f>
        <v>4.38</v>
      </c>
      <c r="W829">
        <f>AVERAGE(H829:H891)</f>
        <v>3.5077777777777781</v>
      </c>
      <c r="X829">
        <f>MAX(J829:J891)</f>
        <v>0.96819999999999995</v>
      </c>
      <c r="Y829">
        <f>AVERAGE(J829:J891)</f>
        <v>9.318095238095235E-2</v>
      </c>
      <c r="Z829">
        <f>MAX(R829:R891)</f>
        <v>1.0699999999999999E-2</v>
      </c>
      <c r="AA829">
        <f>AVERAGE(R829:R891)</f>
        <v>2.1760710714285713E-3</v>
      </c>
      <c r="AB829">
        <f>MAX(G829:G891)</f>
        <v>0.21529999999999999</v>
      </c>
      <c r="AC829">
        <f>AVERAGE(G829:G891)</f>
        <v>8.6911111111111078E-2</v>
      </c>
      <c r="AD829">
        <f>MAX(S829:S891)</f>
        <v>0.10457</v>
      </c>
      <c r="AE829">
        <f>AVERAGE(S829:S891)</f>
        <v>8.801817460317457E-2</v>
      </c>
    </row>
    <row r="830" spans="1:31">
      <c r="A830" s="27">
        <v>3</v>
      </c>
      <c r="B830" s="27">
        <v>0</v>
      </c>
      <c r="C830" s="27">
        <v>9.1899999999999996E-2</v>
      </c>
      <c r="D830" s="27">
        <v>35.14</v>
      </c>
      <c r="E830" s="27">
        <v>5.6000000000000001E-2</v>
      </c>
      <c r="F830" s="27">
        <v>0</v>
      </c>
      <c r="G830" s="27">
        <v>0.13500000000000001</v>
      </c>
      <c r="H830" s="27">
        <v>4.38</v>
      </c>
      <c r="I830" s="27">
        <v>3.3999999999999998E-3</v>
      </c>
      <c r="J830" s="27">
        <v>0</v>
      </c>
      <c r="K830" s="27">
        <v>0</v>
      </c>
      <c r="L830" s="27">
        <v>64.319999999999993</v>
      </c>
      <c r="M830" s="27">
        <v>7.4200000000000002E-2</v>
      </c>
      <c r="N830" s="27">
        <v>104.2004</v>
      </c>
      <c r="O830" s="27" t="s">
        <v>417</v>
      </c>
      <c r="Q830">
        <f t="shared" si="33"/>
        <v>68.699999999999989</v>
      </c>
      <c r="R830">
        <f>I830-(K830*Standards!$I$15)</f>
        <v>3.3999999999999998E-3</v>
      </c>
      <c r="S830">
        <f t="shared" si="35"/>
        <v>9.1729999999999992E-2</v>
      </c>
      <c r="T830" t="s">
        <v>119</v>
      </c>
    </row>
    <row r="831" spans="1:31">
      <c r="A831" s="27">
        <v>4</v>
      </c>
      <c r="B831" s="27">
        <v>0</v>
      </c>
      <c r="C831" s="27">
        <v>8.4699999999999998E-2</v>
      </c>
      <c r="D831" s="27">
        <v>35.090000000000003</v>
      </c>
      <c r="E831" s="27">
        <v>3.2899999999999999E-2</v>
      </c>
      <c r="F831" s="27">
        <v>0</v>
      </c>
      <c r="G831" s="27">
        <v>0.12180000000000001</v>
      </c>
      <c r="H831" s="27">
        <v>4.1399999999999997</v>
      </c>
      <c r="I831" s="27">
        <v>0</v>
      </c>
      <c r="J831" s="27">
        <v>0</v>
      </c>
      <c r="K831" s="27">
        <v>0</v>
      </c>
      <c r="L831" s="27">
        <v>65.03</v>
      </c>
      <c r="M831" s="27">
        <v>8.9200000000000002E-2</v>
      </c>
      <c r="N831" s="27">
        <v>104.5886</v>
      </c>
      <c r="O831" s="27" t="s">
        <v>417</v>
      </c>
      <c r="Q831">
        <f t="shared" si="33"/>
        <v>69.17</v>
      </c>
      <c r="R831">
        <f>I831-(K831*Standards!$I$15)</f>
        <v>0</v>
      </c>
      <c r="S831">
        <f t="shared" si="35"/>
        <v>8.4699999999999998E-2</v>
      </c>
      <c r="T831" t="s">
        <v>119</v>
      </c>
    </row>
    <row r="832" spans="1:31">
      <c r="A832" s="27">
        <v>5</v>
      </c>
      <c r="B832" s="27">
        <v>0</v>
      </c>
      <c r="C832" s="27">
        <v>9.2899999999999996E-2</v>
      </c>
      <c r="D832" s="27">
        <v>35.090000000000003</v>
      </c>
      <c r="E832" s="27">
        <v>2.8500000000000001E-2</v>
      </c>
      <c r="F832" s="27">
        <v>0</v>
      </c>
      <c r="G832" s="27">
        <v>0.1255</v>
      </c>
      <c r="H832" s="27">
        <v>4.2300000000000004</v>
      </c>
      <c r="I832" s="27">
        <v>7.9000000000000008E-3</v>
      </c>
      <c r="J832" s="27">
        <v>0</v>
      </c>
      <c r="K832" s="27">
        <v>0</v>
      </c>
      <c r="L832" s="27">
        <v>64.86</v>
      </c>
      <c r="M832" s="27">
        <v>9.6699999999999994E-2</v>
      </c>
      <c r="N832" s="27">
        <v>104.5314</v>
      </c>
      <c r="O832" s="27" t="s">
        <v>417</v>
      </c>
      <c r="Q832">
        <f t="shared" si="33"/>
        <v>69.09</v>
      </c>
      <c r="R832">
        <f>I832-(K832*Standards!$I$15)</f>
        <v>7.9000000000000008E-3</v>
      </c>
      <c r="S832">
        <f t="shared" si="35"/>
        <v>9.250499999999999E-2</v>
      </c>
      <c r="T832" t="s">
        <v>119</v>
      </c>
    </row>
    <row r="833" spans="1:20">
      <c r="A833" s="27">
        <v>6</v>
      </c>
      <c r="B833" s="27">
        <v>0</v>
      </c>
      <c r="C833" s="27">
        <v>8.9899999999999994E-2</v>
      </c>
      <c r="D833" s="27">
        <v>35.26</v>
      </c>
      <c r="E833" s="27">
        <v>2.7099999999999999E-2</v>
      </c>
      <c r="F833" s="27">
        <v>0</v>
      </c>
      <c r="G833" s="27">
        <v>0.11550000000000001</v>
      </c>
      <c r="H833" s="27">
        <v>4.17</v>
      </c>
      <c r="I833" s="27">
        <v>4.7999999999999996E-3</v>
      </c>
      <c r="J833" s="27">
        <v>3.1699999999999999E-2</v>
      </c>
      <c r="K833" s="27">
        <v>0</v>
      </c>
      <c r="L833" s="27">
        <v>64.75</v>
      </c>
      <c r="M833" s="27">
        <v>8.0399999999999999E-2</v>
      </c>
      <c r="N833" s="27">
        <v>104.52930000000001</v>
      </c>
      <c r="O833" s="27" t="s">
        <v>417</v>
      </c>
      <c r="Q833">
        <f t="shared" si="33"/>
        <v>68.92</v>
      </c>
      <c r="R833">
        <f>I833-(K833*Standards!$I$15)</f>
        <v>4.7999999999999996E-3</v>
      </c>
      <c r="S833">
        <f t="shared" si="35"/>
        <v>8.965999999999999E-2</v>
      </c>
      <c r="T833" t="s">
        <v>119</v>
      </c>
    </row>
    <row r="834" spans="1:20">
      <c r="A834" s="27">
        <v>7</v>
      </c>
      <c r="B834" s="27">
        <v>0</v>
      </c>
      <c r="C834" s="27">
        <v>8.4699999999999998E-2</v>
      </c>
      <c r="D834" s="27">
        <v>35.270000000000003</v>
      </c>
      <c r="E834" s="27">
        <v>4.9399999999999999E-2</v>
      </c>
      <c r="F834" s="27">
        <v>0</v>
      </c>
      <c r="G834" s="27">
        <v>0.1285</v>
      </c>
      <c r="H834" s="27">
        <v>4.34</v>
      </c>
      <c r="I834" s="27">
        <v>2.8999999999999998E-3</v>
      </c>
      <c r="J834" s="27">
        <v>0</v>
      </c>
      <c r="K834" s="27">
        <v>0</v>
      </c>
      <c r="L834" s="27">
        <v>65.2</v>
      </c>
      <c r="M834" s="27">
        <v>0.1081</v>
      </c>
      <c r="N834" s="27">
        <v>105.1835</v>
      </c>
      <c r="O834" s="27" t="s">
        <v>417</v>
      </c>
      <c r="Q834">
        <f t="shared" si="33"/>
        <v>69.540000000000006</v>
      </c>
      <c r="R834">
        <f>I834-(K834*Standards!$I$15)</f>
        <v>2.8999999999999998E-3</v>
      </c>
      <c r="S834">
        <f t="shared" si="35"/>
        <v>8.4554999999999991E-2</v>
      </c>
      <c r="T834" t="s">
        <v>119</v>
      </c>
    </row>
    <row r="835" spans="1:20">
      <c r="A835" s="27">
        <v>8</v>
      </c>
      <c r="B835" s="27">
        <v>0</v>
      </c>
      <c r="C835" s="27">
        <v>0.10009999999999999</v>
      </c>
      <c r="D835" s="27">
        <v>35.35</v>
      </c>
      <c r="E835" s="27">
        <v>3.7600000000000001E-2</v>
      </c>
      <c r="F835" s="27">
        <v>0</v>
      </c>
      <c r="G835" s="27">
        <v>0.13850000000000001</v>
      </c>
      <c r="H835" s="27">
        <v>4.1900000000000004</v>
      </c>
      <c r="I835" s="27">
        <v>4.1000000000000003E-3</v>
      </c>
      <c r="J835" s="27">
        <v>0</v>
      </c>
      <c r="K835" s="27">
        <v>0</v>
      </c>
      <c r="L835" s="27">
        <v>65.38</v>
      </c>
      <c r="M835" s="27">
        <v>0.10589999999999999</v>
      </c>
      <c r="N835" s="27">
        <v>105.3062</v>
      </c>
      <c r="O835" s="27" t="s">
        <v>417</v>
      </c>
      <c r="Q835">
        <f t="shared" si="33"/>
        <v>69.569999999999993</v>
      </c>
      <c r="R835">
        <f>I835-(K835*Standards!$I$15)</f>
        <v>4.1000000000000003E-3</v>
      </c>
      <c r="S835">
        <f t="shared" si="35"/>
        <v>9.9894999999999998E-2</v>
      </c>
      <c r="T835" t="s">
        <v>119</v>
      </c>
    </row>
    <row r="836" spans="1:20">
      <c r="A836" s="27">
        <v>9</v>
      </c>
      <c r="B836" s="27">
        <v>0</v>
      </c>
      <c r="C836" s="27">
        <v>0.1027</v>
      </c>
      <c r="D836" s="27">
        <v>35.19</v>
      </c>
      <c r="E836" s="27">
        <v>4.5499999999999999E-2</v>
      </c>
      <c r="F836" s="27">
        <v>0</v>
      </c>
      <c r="G836" s="27">
        <v>0.13300000000000001</v>
      </c>
      <c r="H836" s="27">
        <v>4.18</v>
      </c>
      <c r="I836" s="27">
        <v>0</v>
      </c>
      <c r="J836" s="27">
        <v>0</v>
      </c>
      <c r="K836" s="27">
        <v>0</v>
      </c>
      <c r="L836" s="27">
        <v>65.459999999999994</v>
      </c>
      <c r="M836" s="27">
        <v>8.5599999999999996E-2</v>
      </c>
      <c r="N836" s="27">
        <v>105.19670000000001</v>
      </c>
      <c r="O836" s="27" t="s">
        <v>417</v>
      </c>
      <c r="Q836">
        <f t="shared" si="33"/>
        <v>69.639999999999986</v>
      </c>
      <c r="R836">
        <f>I836-(K836*Standards!$I$15)</f>
        <v>0</v>
      </c>
      <c r="S836">
        <f t="shared" si="35"/>
        <v>0.1027</v>
      </c>
      <c r="T836" t="s">
        <v>119</v>
      </c>
    </row>
    <row r="837" spans="1:20">
      <c r="A837" s="27">
        <v>10</v>
      </c>
      <c r="B837" s="27">
        <v>0</v>
      </c>
      <c r="C837" s="27">
        <v>8.1299999999999997E-2</v>
      </c>
      <c r="D837" s="27">
        <v>35.049999999999997</v>
      </c>
      <c r="E837" s="27">
        <v>5.8400000000000001E-2</v>
      </c>
      <c r="F837" s="27">
        <v>0</v>
      </c>
      <c r="G837" s="27">
        <v>0.1525</v>
      </c>
      <c r="H837" s="27">
        <v>4.03</v>
      </c>
      <c r="I837" s="27">
        <v>6.9999999999999999E-4</v>
      </c>
      <c r="J837" s="27">
        <v>0</v>
      </c>
      <c r="K837" s="27">
        <v>0</v>
      </c>
      <c r="L837" s="27">
        <v>65.22</v>
      </c>
      <c r="M837" s="27">
        <v>9.5799999999999996E-2</v>
      </c>
      <c r="N837" s="27">
        <v>104.68859999999999</v>
      </c>
      <c r="O837" s="27" t="s">
        <v>417</v>
      </c>
      <c r="Q837">
        <f t="shared" si="33"/>
        <v>69.25</v>
      </c>
      <c r="R837">
        <f>I837-(K837*Standards!$I$15)</f>
        <v>6.9999999999999999E-4</v>
      </c>
      <c r="S837">
        <f t="shared" si="35"/>
        <v>8.1265000000000004E-2</v>
      </c>
      <c r="T837" t="s">
        <v>119</v>
      </c>
    </row>
    <row r="838" spans="1:20">
      <c r="A838" s="27">
        <v>11</v>
      </c>
      <c r="B838" s="27">
        <v>0</v>
      </c>
      <c r="C838" s="27">
        <v>0.1018</v>
      </c>
      <c r="D838" s="27">
        <v>35.22</v>
      </c>
      <c r="E838" s="27">
        <v>5.62E-2</v>
      </c>
      <c r="F838" s="27">
        <v>0</v>
      </c>
      <c r="G838" s="27">
        <v>0.14149999999999999</v>
      </c>
      <c r="H838" s="27">
        <v>4.0999999999999996</v>
      </c>
      <c r="I838" s="27">
        <v>6.4000000000000003E-3</v>
      </c>
      <c r="J838" s="27">
        <v>0</v>
      </c>
      <c r="K838" s="27">
        <v>0</v>
      </c>
      <c r="L838" s="27">
        <v>65.31</v>
      </c>
      <c r="M838" s="27">
        <v>8.8099999999999998E-2</v>
      </c>
      <c r="N838" s="27">
        <v>105.0239</v>
      </c>
      <c r="O838" s="27" t="s">
        <v>417</v>
      </c>
      <c r="Q838">
        <f t="shared" si="33"/>
        <v>69.41</v>
      </c>
      <c r="R838">
        <f>I838-(K838*Standards!$I$15)</f>
        <v>6.4000000000000003E-3</v>
      </c>
      <c r="S838">
        <f t="shared" si="35"/>
        <v>0.10148</v>
      </c>
      <c r="T838" t="s">
        <v>119</v>
      </c>
    </row>
    <row r="839" spans="1:20">
      <c r="A839" s="27">
        <v>12</v>
      </c>
      <c r="B839" s="27">
        <v>0</v>
      </c>
      <c r="C839" s="27">
        <v>9.0800000000000006E-2</v>
      </c>
      <c r="D839" s="27">
        <v>35.340000000000003</v>
      </c>
      <c r="E839" s="27">
        <v>4.82E-2</v>
      </c>
      <c r="F839" s="27">
        <v>0</v>
      </c>
      <c r="G839" s="27">
        <v>0.16850000000000001</v>
      </c>
      <c r="H839" s="27">
        <v>3.5</v>
      </c>
      <c r="I839" s="27">
        <v>4.0000000000000001E-3</v>
      </c>
      <c r="J839" s="27">
        <v>1.0999999999999999E-2</v>
      </c>
      <c r="K839" s="27">
        <v>0</v>
      </c>
      <c r="L839" s="27">
        <v>65.38</v>
      </c>
      <c r="M839" s="27">
        <v>0.1019</v>
      </c>
      <c r="N839" s="27">
        <v>104.6443</v>
      </c>
      <c r="O839" s="27" t="s">
        <v>417</v>
      </c>
      <c r="Q839">
        <f t="shared" si="33"/>
        <v>68.88</v>
      </c>
      <c r="R839">
        <f>I839-(K839*Standards!$I$15)</f>
        <v>4.0000000000000001E-3</v>
      </c>
      <c r="S839">
        <f t="shared" si="35"/>
        <v>9.06E-2</v>
      </c>
      <c r="T839" t="s">
        <v>119</v>
      </c>
    </row>
    <row r="840" spans="1:20">
      <c r="A840" s="27">
        <v>13</v>
      </c>
      <c r="B840" s="27">
        <v>0</v>
      </c>
      <c r="C840" s="27">
        <v>0.10340000000000001</v>
      </c>
      <c r="D840" s="27">
        <v>35.46</v>
      </c>
      <c r="E840" s="27">
        <v>7.2400000000000006E-2</v>
      </c>
      <c r="F840" s="27">
        <v>0</v>
      </c>
      <c r="G840" s="27">
        <v>0.21529999999999999</v>
      </c>
      <c r="H840" s="27">
        <v>2.27</v>
      </c>
      <c r="I840" s="27">
        <v>1.0699999999999999E-2</v>
      </c>
      <c r="J840" s="27">
        <v>5.4000000000000003E-3</v>
      </c>
      <c r="K840" s="27">
        <v>0</v>
      </c>
      <c r="L840" s="27">
        <v>66.739999999999995</v>
      </c>
      <c r="M840" s="27">
        <v>0.12939999999999999</v>
      </c>
      <c r="N840" s="27">
        <v>105.0065</v>
      </c>
      <c r="O840" s="27" t="s">
        <v>417</v>
      </c>
      <c r="Q840">
        <f t="shared" si="33"/>
        <v>69.009999999999991</v>
      </c>
      <c r="R840">
        <f>I840-(K840*Standards!$I$15)</f>
        <v>1.0699999999999999E-2</v>
      </c>
      <c r="S840">
        <f t="shared" si="35"/>
        <v>0.10286500000000001</v>
      </c>
      <c r="T840" t="s">
        <v>119</v>
      </c>
    </row>
    <row r="841" spans="1:20">
      <c r="A841" s="27">
        <v>14</v>
      </c>
      <c r="B841" s="27">
        <v>2.5999999999999999E-3</v>
      </c>
      <c r="C841" s="27">
        <v>9.1999999999999998E-2</v>
      </c>
      <c r="D841" s="27">
        <v>35.35</v>
      </c>
      <c r="E841" s="27">
        <v>4.8300000000000003E-2</v>
      </c>
      <c r="F841" s="27">
        <v>0</v>
      </c>
      <c r="G841" s="27">
        <v>0.13619999999999999</v>
      </c>
      <c r="H841" s="27">
        <v>4.12</v>
      </c>
      <c r="I841" s="27">
        <v>5.0000000000000001E-4</v>
      </c>
      <c r="J841" s="27">
        <v>0</v>
      </c>
      <c r="K841" s="27">
        <v>0</v>
      </c>
      <c r="L841" s="27">
        <v>65.23</v>
      </c>
      <c r="M841" s="27">
        <v>0.1091</v>
      </c>
      <c r="N841" s="27">
        <v>105.0886</v>
      </c>
      <c r="O841" s="27" t="s">
        <v>417</v>
      </c>
      <c r="Q841">
        <f t="shared" ref="Q841:Q869" si="36">H841+L841</f>
        <v>69.350000000000009</v>
      </c>
      <c r="R841">
        <f>I841-(K841*Standards!$I$15)</f>
        <v>5.0000000000000001E-4</v>
      </c>
      <c r="S841">
        <f t="shared" si="35"/>
        <v>9.1975000000000001E-2</v>
      </c>
      <c r="T841" t="s">
        <v>119</v>
      </c>
    </row>
    <row r="842" spans="1:20">
      <c r="A842" s="27">
        <v>15</v>
      </c>
      <c r="B842" s="27">
        <v>0</v>
      </c>
      <c r="C842" s="27">
        <v>9.4200000000000006E-2</v>
      </c>
      <c r="D842" s="27">
        <v>35.54</v>
      </c>
      <c r="E842" s="27">
        <v>3.8399999999999997E-2</v>
      </c>
      <c r="F842" s="27">
        <v>0</v>
      </c>
      <c r="G842" s="27">
        <v>0.13850000000000001</v>
      </c>
      <c r="H842" s="27">
        <v>4.09</v>
      </c>
      <c r="I842" s="27">
        <v>8.6E-3</v>
      </c>
      <c r="J842" s="27">
        <v>2E-3</v>
      </c>
      <c r="K842" s="27">
        <v>0</v>
      </c>
      <c r="L842" s="27">
        <v>65.459999999999994</v>
      </c>
      <c r="M842" s="27">
        <v>0.1298</v>
      </c>
      <c r="N842" s="27">
        <v>105.5014</v>
      </c>
      <c r="O842" s="27" t="s">
        <v>417</v>
      </c>
      <c r="Q842">
        <f t="shared" si="36"/>
        <v>69.55</v>
      </c>
      <c r="R842">
        <f>I842-(K842*Standards!$I$15)</f>
        <v>8.6E-3</v>
      </c>
      <c r="S842">
        <f t="shared" si="35"/>
        <v>9.3770000000000006E-2</v>
      </c>
      <c r="T842" t="s">
        <v>119</v>
      </c>
    </row>
    <row r="843" spans="1:20">
      <c r="A843" s="27">
        <v>16</v>
      </c>
      <c r="B843" s="27">
        <v>0</v>
      </c>
      <c r="C843" s="27">
        <v>6.6600000000000006E-2</v>
      </c>
      <c r="D843" s="27">
        <v>35.200000000000003</v>
      </c>
      <c r="E843" s="27">
        <v>4.5100000000000001E-2</v>
      </c>
      <c r="F843" s="27">
        <v>0</v>
      </c>
      <c r="G843" s="27">
        <v>0.13769999999999999</v>
      </c>
      <c r="H843" s="27">
        <v>4</v>
      </c>
      <c r="I843" s="27">
        <v>1.6000000000000001E-3</v>
      </c>
      <c r="J843" s="27">
        <v>0</v>
      </c>
      <c r="K843" s="27">
        <v>0</v>
      </c>
      <c r="L843" s="27">
        <v>65.099999999999994</v>
      </c>
      <c r="M843" s="27">
        <v>0.115</v>
      </c>
      <c r="N843" s="27">
        <v>104.66589999999999</v>
      </c>
      <c r="O843" s="27" t="s">
        <v>417</v>
      </c>
      <c r="Q843">
        <f t="shared" si="36"/>
        <v>69.099999999999994</v>
      </c>
      <c r="R843">
        <f>I843-(K843*Standards!$I$15)</f>
        <v>1.6000000000000001E-3</v>
      </c>
      <c r="S843">
        <f t="shared" si="35"/>
        <v>6.652000000000001E-2</v>
      </c>
      <c r="T843" t="s">
        <v>119</v>
      </c>
    </row>
    <row r="844" spans="1:20">
      <c r="A844" s="27">
        <v>17</v>
      </c>
      <c r="B844" s="27">
        <v>0</v>
      </c>
      <c r="C844" s="27">
        <v>9.6199999999999994E-2</v>
      </c>
      <c r="D844" s="27">
        <v>35.119999999999997</v>
      </c>
      <c r="E844" s="27">
        <v>4.6199999999999998E-2</v>
      </c>
      <c r="F844" s="27">
        <v>0</v>
      </c>
      <c r="G844" s="27">
        <v>0.14099999999999999</v>
      </c>
      <c r="H844" s="27">
        <v>4.21</v>
      </c>
      <c r="I844" s="27">
        <v>8.9999999999999993E-3</v>
      </c>
      <c r="J844" s="27">
        <v>0.74360000000000004</v>
      </c>
      <c r="K844" s="27">
        <v>0</v>
      </c>
      <c r="L844" s="27">
        <v>64.17</v>
      </c>
      <c r="M844" s="27">
        <v>0.1154</v>
      </c>
      <c r="N844" s="27">
        <v>104.65130000000001</v>
      </c>
      <c r="O844" s="27" t="s">
        <v>417</v>
      </c>
      <c r="Q844">
        <f t="shared" si="36"/>
        <v>68.38</v>
      </c>
      <c r="R844">
        <f>I844-(K844*Standards!$I$15)</f>
        <v>8.9999999999999993E-3</v>
      </c>
      <c r="S844">
        <f t="shared" si="35"/>
        <v>9.5749999999999988E-2</v>
      </c>
      <c r="T844" t="s">
        <v>119</v>
      </c>
    </row>
    <row r="845" spans="1:20">
      <c r="A845" s="27">
        <v>18</v>
      </c>
      <c r="B845" s="27">
        <v>0</v>
      </c>
      <c r="C845" s="27">
        <v>0.105</v>
      </c>
      <c r="D845" s="27">
        <v>35.28</v>
      </c>
      <c r="E845" s="27">
        <v>4.7899999999999998E-2</v>
      </c>
      <c r="F845" s="27">
        <v>0</v>
      </c>
      <c r="G845" s="27">
        <v>0.1416</v>
      </c>
      <c r="H845" s="27">
        <v>4.01</v>
      </c>
      <c r="I845" s="27">
        <v>8.6E-3</v>
      </c>
      <c r="J845" s="27">
        <v>0</v>
      </c>
      <c r="K845" s="27">
        <v>0</v>
      </c>
      <c r="L845" s="27">
        <v>65.2</v>
      </c>
      <c r="M845" s="27">
        <v>9.5500000000000002E-2</v>
      </c>
      <c r="N845" s="27">
        <v>104.88849999999999</v>
      </c>
      <c r="O845" s="27" t="s">
        <v>417</v>
      </c>
      <c r="Q845">
        <f t="shared" si="36"/>
        <v>69.210000000000008</v>
      </c>
      <c r="R845">
        <f>I845-(K845*Standards!$I$15)</f>
        <v>8.6E-3</v>
      </c>
      <c r="S845">
        <f t="shared" si="35"/>
        <v>0.10457</v>
      </c>
      <c r="T845" t="s">
        <v>119</v>
      </c>
    </row>
    <row r="846" spans="1:20">
      <c r="A846" s="27">
        <v>19</v>
      </c>
      <c r="B846" s="27">
        <v>0</v>
      </c>
      <c r="C846" s="27">
        <v>8.5699999999999998E-2</v>
      </c>
      <c r="D846" s="27">
        <v>35.53</v>
      </c>
      <c r="E846" s="27">
        <v>4.4600000000000001E-2</v>
      </c>
      <c r="F846" s="27">
        <v>0</v>
      </c>
      <c r="G846" s="27">
        <v>0.12720000000000001</v>
      </c>
      <c r="H846" s="27">
        <v>4.2300000000000004</v>
      </c>
      <c r="I846" s="27">
        <v>0</v>
      </c>
      <c r="J846" s="27">
        <v>0</v>
      </c>
      <c r="K846" s="27">
        <v>0</v>
      </c>
      <c r="L846" s="27">
        <v>65.42</v>
      </c>
      <c r="M846" s="27">
        <v>7.2599999999999998E-2</v>
      </c>
      <c r="N846" s="27">
        <v>105.51</v>
      </c>
      <c r="O846" s="27" t="s">
        <v>417</v>
      </c>
      <c r="Q846">
        <f t="shared" si="36"/>
        <v>69.650000000000006</v>
      </c>
      <c r="R846">
        <f>I846-(K846*Standards!$I$15)</f>
        <v>0</v>
      </c>
      <c r="S846">
        <f t="shared" si="35"/>
        <v>8.5699999999999998E-2</v>
      </c>
      <c r="T846" t="s">
        <v>119</v>
      </c>
    </row>
    <row r="847" spans="1:20">
      <c r="A847" s="27">
        <v>20</v>
      </c>
      <c r="B847" s="27">
        <v>0</v>
      </c>
      <c r="C847" s="27">
        <v>7.6999999999999999E-2</v>
      </c>
      <c r="D847" s="27">
        <v>35.46</v>
      </c>
      <c r="E847" s="27">
        <v>5.3100000000000001E-2</v>
      </c>
      <c r="F847" s="27">
        <v>0</v>
      </c>
      <c r="G847" s="27">
        <v>0.13270000000000001</v>
      </c>
      <c r="H847" s="27">
        <v>4.26</v>
      </c>
      <c r="I847" s="27">
        <v>3.5999999999999999E-3</v>
      </c>
      <c r="J847" s="27">
        <v>0</v>
      </c>
      <c r="K847" s="27">
        <v>0</v>
      </c>
      <c r="L847" s="27">
        <v>64.42</v>
      </c>
      <c r="M847" s="27">
        <v>0.1077</v>
      </c>
      <c r="N847" s="27">
        <v>104.514</v>
      </c>
      <c r="O847" s="27" t="s">
        <v>417</v>
      </c>
      <c r="Q847">
        <f t="shared" si="36"/>
        <v>68.680000000000007</v>
      </c>
      <c r="R847">
        <f>I847-(K847*Standards!$I$15)</f>
        <v>3.5999999999999999E-3</v>
      </c>
      <c r="S847">
        <f t="shared" si="35"/>
        <v>7.6819999999999999E-2</v>
      </c>
      <c r="T847" t="s">
        <v>119</v>
      </c>
    </row>
    <row r="848" spans="1:20">
      <c r="A848" s="27">
        <v>21</v>
      </c>
      <c r="B848" s="27">
        <v>0</v>
      </c>
      <c r="C848" s="27">
        <v>8.4900000000000003E-2</v>
      </c>
      <c r="D848" s="27">
        <v>35.450000000000003</v>
      </c>
      <c r="E848" s="27">
        <v>5.6000000000000001E-2</v>
      </c>
      <c r="F848" s="27">
        <v>2.8999999999999998E-3</v>
      </c>
      <c r="G848" s="27">
        <v>0.1232</v>
      </c>
      <c r="H848" s="27">
        <v>4.21</v>
      </c>
      <c r="I848" s="27">
        <v>6.0000000000000001E-3</v>
      </c>
      <c r="J848" s="27">
        <v>0.1094</v>
      </c>
      <c r="K848" s="27">
        <v>3.3999999999999998E-3</v>
      </c>
      <c r="L848" s="27">
        <v>64.8</v>
      </c>
      <c r="M848" s="27">
        <v>0.1009</v>
      </c>
      <c r="N848" s="27">
        <v>104.9466</v>
      </c>
      <c r="O848" s="27" t="s">
        <v>417</v>
      </c>
      <c r="Q848">
        <f t="shared" si="36"/>
        <v>69.009999999999991</v>
      </c>
      <c r="R848">
        <f>I848-(K848*Standards!$I$15)</f>
        <v>5.9924775000000001E-3</v>
      </c>
      <c r="S848">
        <f t="shared" si="35"/>
        <v>8.4600000000000009E-2</v>
      </c>
      <c r="T848" t="s">
        <v>119</v>
      </c>
    </row>
    <row r="849" spans="1:20">
      <c r="A849" s="27">
        <v>22</v>
      </c>
      <c r="B849" s="27">
        <v>2.5999999999999999E-3</v>
      </c>
      <c r="C849" s="27">
        <v>0.1017</v>
      </c>
      <c r="D849" s="27">
        <v>35.270000000000003</v>
      </c>
      <c r="E849" s="27">
        <v>5.3199999999999997E-2</v>
      </c>
      <c r="F849" s="27">
        <v>5.8999999999999999E-3</v>
      </c>
      <c r="G849" s="27">
        <v>0.1231</v>
      </c>
      <c r="H849" s="27">
        <v>4.22</v>
      </c>
      <c r="I849" s="27">
        <v>1.1999999999999999E-3</v>
      </c>
      <c r="J849" s="27">
        <v>0</v>
      </c>
      <c r="K849" s="27">
        <v>0</v>
      </c>
      <c r="L849" s="27">
        <v>65.25</v>
      </c>
      <c r="M849" s="27">
        <v>0.13089999999999999</v>
      </c>
      <c r="N849" s="27">
        <v>105.15860000000001</v>
      </c>
      <c r="O849" s="27" t="s">
        <v>417</v>
      </c>
      <c r="Q849">
        <f t="shared" si="36"/>
        <v>69.47</v>
      </c>
      <c r="R849">
        <f>I849-(K849*Standards!$I$15)</f>
        <v>1.1999999999999999E-3</v>
      </c>
      <c r="S849">
        <f t="shared" si="35"/>
        <v>0.10163999999999999</v>
      </c>
      <c r="T849" t="s">
        <v>119</v>
      </c>
    </row>
    <row r="850" spans="1:20">
      <c r="A850" s="27">
        <v>23</v>
      </c>
      <c r="B850" s="27">
        <v>0</v>
      </c>
      <c r="C850" s="27">
        <v>8.7800000000000003E-2</v>
      </c>
      <c r="D850" s="27">
        <v>35.42</v>
      </c>
      <c r="E850" s="27">
        <v>4.3499999999999997E-2</v>
      </c>
      <c r="F850" s="27">
        <v>8.6999999999999994E-3</v>
      </c>
      <c r="G850" s="27">
        <v>0.10730000000000001</v>
      </c>
      <c r="H850" s="27">
        <v>3.49</v>
      </c>
      <c r="I850" s="27">
        <v>6.4000000000000003E-3</v>
      </c>
      <c r="J850" s="27">
        <v>0.41699999999999998</v>
      </c>
      <c r="K850" s="27">
        <v>0</v>
      </c>
      <c r="L850" s="27">
        <v>65.33</v>
      </c>
      <c r="M850" s="27">
        <v>0.10780000000000001</v>
      </c>
      <c r="N850" s="27">
        <v>105.0185</v>
      </c>
      <c r="O850" s="27" t="s">
        <v>417</v>
      </c>
      <c r="Q850">
        <f t="shared" si="36"/>
        <v>68.819999999999993</v>
      </c>
      <c r="R850">
        <f>I850-(K850*Standards!$I$15)</f>
        <v>6.4000000000000003E-3</v>
      </c>
      <c r="S850">
        <f t="shared" si="35"/>
        <v>8.7480000000000002E-2</v>
      </c>
      <c r="T850" t="s">
        <v>119</v>
      </c>
    </row>
    <row r="851" spans="1:20">
      <c r="A851" s="27">
        <v>24</v>
      </c>
      <c r="B851" s="27">
        <v>0</v>
      </c>
      <c r="C851" s="27">
        <v>9.6299999999999997E-2</v>
      </c>
      <c r="D851" s="27">
        <v>35.43</v>
      </c>
      <c r="E851" s="27">
        <v>3.7499999999999999E-2</v>
      </c>
      <c r="F851" s="27">
        <v>0</v>
      </c>
      <c r="G851" s="27">
        <v>0.1202</v>
      </c>
      <c r="H851" s="27">
        <v>4.12</v>
      </c>
      <c r="I851" s="27">
        <v>4.7000000000000002E-3</v>
      </c>
      <c r="J851" s="27">
        <v>0</v>
      </c>
      <c r="K851" s="27">
        <v>0</v>
      </c>
      <c r="L851" s="27">
        <v>65.39</v>
      </c>
      <c r="M851" s="27">
        <v>0.12429999999999999</v>
      </c>
      <c r="N851" s="27">
        <v>105.3229</v>
      </c>
      <c r="O851" s="27" t="s">
        <v>417</v>
      </c>
      <c r="Q851">
        <f t="shared" si="36"/>
        <v>69.510000000000005</v>
      </c>
      <c r="R851">
        <f>I851-(K851*Standards!$I$15)</f>
        <v>4.7000000000000002E-3</v>
      </c>
      <c r="S851">
        <f t="shared" si="35"/>
        <v>9.6064999999999998E-2</v>
      </c>
      <c r="T851" t="s">
        <v>119</v>
      </c>
    </row>
    <row r="852" spans="1:20">
      <c r="A852" s="27">
        <v>25</v>
      </c>
      <c r="B852" s="27">
        <v>0</v>
      </c>
      <c r="C852" s="27">
        <v>0.10440000000000001</v>
      </c>
      <c r="D852" s="27">
        <v>35.21</v>
      </c>
      <c r="E852" s="27">
        <v>6.3299999999999995E-2</v>
      </c>
      <c r="F852" s="27">
        <v>0</v>
      </c>
      <c r="G852" s="27">
        <v>0.1963</v>
      </c>
      <c r="H852" s="27">
        <v>2.12</v>
      </c>
      <c r="I852" s="27">
        <v>0</v>
      </c>
      <c r="J852" s="27">
        <v>8.0000000000000004E-4</v>
      </c>
      <c r="K852" s="27">
        <v>0</v>
      </c>
      <c r="L852" s="27">
        <v>66.02</v>
      </c>
      <c r="M852" s="27">
        <v>0.1487</v>
      </c>
      <c r="N852" s="27">
        <v>103.8634</v>
      </c>
      <c r="O852" s="27" t="s">
        <v>417</v>
      </c>
      <c r="Q852">
        <f t="shared" si="36"/>
        <v>68.14</v>
      </c>
      <c r="R852">
        <f>I852-(K852*Standards!$I$15)</f>
        <v>0</v>
      </c>
      <c r="S852">
        <f t="shared" si="35"/>
        <v>0.10440000000000001</v>
      </c>
      <c r="T852" t="s">
        <v>119</v>
      </c>
    </row>
    <row r="853" spans="1:20">
      <c r="A853" s="27">
        <v>26</v>
      </c>
      <c r="B853" s="27">
        <v>0</v>
      </c>
      <c r="C853" s="27">
        <v>7.1499999999999994E-2</v>
      </c>
      <c r="D853" s="27">
        <v>35.14</v>
      </c>
      <c r="E853" s="27">
        <v>5.74E-2</v>
      </c>
      <c r="F853" s="27">
        <v>0</v>
      </c>
      <c r="G853" s="27">
        <v>0.1784</v>
      </c>
      <c r="H853" s="27">
        <v>2.25</v>
      </c>
      <c r="I853" s="27">
        <v>1.9E-3</v>
      </c>
      <c r="J853" s="27">
        <v>0.2424</v>
      </c>
      <c r="K853" s="27">
        <v>0</v>
      </c>
      <c r="L853" s="27">
        <v>66.64</v>
      </c>
      <c r="M853" s="27">
        <v>0.1132</v>
      </c>
      <c r="N853" s="27">
        <v>104.6947</v>
      </c>
      <c r="O853" s="27" t="s">
        <v>418</v>
      </c>
      <c r="Q853">
        <f t="shared" si="36"/>
        <v>68.89</v>
      </c>
      <c r="R853">
        <f>I853-(K853*Standards!$I$15)</f>
        <v>1.9E-3</v>
      </c>
      <c r="S853">
        <f t="shared" si="35"/>
        <v>7.1404999999999996E-2</v>
      </c>
      <c r="T853" t="s">
        <v>119</v>
      </c>
    </row>
    <row r="854" spans="1:20">
      <c r="A854" s="27">
        <v>28</v>
      </c>
      <c r="B854" s="27">
        <v>0</v>
      </c>
      <c r="C854" s="27">
        <v>9.8199999999999996E-2</v>
      </c>
      <c r="D854" s="27">
        <v>35.270000000000003</v>
      </c>
      <c r="E854" s="27">
        <v>5.5100000000000003E-2</v>
      </c>
      <c r="F854" s="27">
        <v>0</v>
      </c>
      <c r="G854" s="27">
        <v>0.1525</v>
      </c>
      <c r="H854" s="27">
        <v>2.2599999999999998</v>
      </c>
      <c r="I854" s="27">
        <v>0</v>
      </c>
      <c r="J854" s="27">
        <v>2.9899999999999999E-2</v>
      </c>
      <c r="K854" s="27">
        <v>0</v>
      </c>
      <c r="L854" s="27">
        <v>67.040000000000006</v>
      </c>
      <c r="M854" s="27">
        <v>8.4900000000000003E-2</v>
      </c>
      <c r="N854" s="27">
        <v>104.9905</v>
      </c>
      <c r="O854" s="27" t="s">
        <v>418</v>
      </c>
      <c r="Q854">
        <f t="shared" si="36"/>
        <v>69.300000000000011</v>
      </c>
      <c r="R854">
        <f>I854-(K854*Standards!$I$15)</f>
        <v>0</v>
      </c>
      <c r="S854">
        <f t="shared" si="35"/>
        <v>9.8199999999999996E-2</v>
      </c>
      <c r="T854" t="s">
        <v>119</v>
      </c>
    </row>
    <row r="855" spans="1:20">
      <c r="A855" s="27">
        <v>29</v>
      </c>
      <c r="B855" s="27">
        <v>0</v>
      </c>
      <c r="C855" s="27">
        <v>8.2900000000000001E-2</v>
      </c>
      <c r="D855" s="27">
        <v>35.25</v>
      </c>
      <c r="E855" s="27">
        <v>4.8899999999999999E-2</v>
      </c>
      <c r="F855" s="27">
        <v>2E-3</v>
      </c>
      <c r="G855" s="27">
        <v>0.1573</v>
      </c>
      <c r="H855" s="27">
        <v>2.34</v>
      </c>
      <c r="I855" s="27">
        <v>0</v>
      </c>
      <c r="J855" s="27">
        <v>0.96819999999999995</v>
      </c>
      <c r="K855" s="27">
        <v>0</v>
      </c>
      <c r="L855" s="27">
        <v>65.81</v>
      </c>
      <c r="M855" s="27">
        <v>0.1038</v>
      </c>
      <c r="N855" s="27">
        <v>104.76300000000001</v>
      </c>
      <c r="O855" s="27" t="s">
        <v>418</v>
      </c>
      <c r="Q855">
        <f t="shared" si="36"/>
        <v>68.150000000000006</v>
      </c>
      <c r="R855">
        <f>I855-(K855*Standards!$I$15)</f>
        <v>0</v>
      </c>
      <c r="S855">
        <f t="shared" si="35"/>
        <v>8.2900000000000001E-2</v>
      </c>
      <c r="T855" t="s">
        <v>119</v>
      </c>
    </row>
    <row r="856" spans="1:20">
      <c r="A856" s="27">
        <v>30</v>
      </c>
      <c r="B856" s="27">
        <v>0</v>
      </c>
      <c r="C856" s="27">
        <v>0.1018</v>
      </c>
      <c r="D856" s="27">
        <v>35.29</v>
      </c>
      <c r="E856" s="27">
        <v>5.8200000000000002E-2</v>
      </c>
      <c r="F856" s="27">
        <v>0</v>
      </c>
      <c r="G856" s="27">
        <v>0.16139999999999999</v>
      </c>
      <c r="H856" s="27">
        <v>2.1</v>
      </c>
      <c r="I856" s="27">
        <v>1.1999999999999999E-3</v>
      </c>
      <c r="J856" s="27">
        <v>0.41070000000000001</v>
      </c>
      <c r="K856" s="27">
        <v>0</v>
      </c>
      <c r="L856" s="27">
        <v>65.959999999999994</v>
      </c>
      <c r="M856" s="27">
        <v>9.7500000000000003E-2</v>
      </c>
      <c r="N856" s="27">
        <v>104.1807</v>
      </c>
      <c r="O856" s="27" t="s">
        <v>418</v>
      </c>
      <c r="Q856">
        <f t="shared" si="36"/>
        <v>68.059999999999988</v>
      </c>
      <c r="R856">
        <f>I856-(K856*Standards!$I$15)</f>
        <v>1.1999999999999999E-3</v>
      </c>
      <c r="S856">
        <f t="shared" si="35"/>
        <v>0.10174</v>
      </c>
      <c r="T856" t="s">
        <v>119</v>
      </c>
    </row>
    <row r="857" spans="1:20">
      <c r="A857" s="27">
        <v>31</v>
      </c>
      <c r="B857" s="27">
        <v>0</v>
      </c>
      <c r="C857" s="27">
        <v>9.6600000000000005E-2</v>
      </c>
      <c r="D857" s="27">
        <v>35.29</v>
      </c>
      <c r="E857" s="27">
        <v>6.3700000000000007E-2</v>
      </c>
      <c r="F857" s="27">
        <v>0</v>
      </c>
      <c r="G857" s="27">
        <v>0.16339999999999999</v>
      </c>
      <c r="H857" s="27">
        <v>3.11</v>
      </c>
      <c r="I857" s="27">
        <v>0</v>
      </c>
      <c r="J857" s="27">
        <v>0.43580000000000002</v>
      </c>
      <c r="K857" s="27">
        <v>0</v>
      </c>
      <c r="L857" s="27">
        <v>65.41</v>
      </c>
      <c r="M857" s="27">
        <v>9.4700000000000006E-2</v>
      </c>
      <c r="N857" s="27">
        <v>104.66419999999999</v>
      </c>
      <c r="O857" s="27" t="s">
        <v>418</v>
      </c>
      <c r="Q857">
        <f t="shared" si="36"/>
        <v>68.52</v>
      </c>
      <c r="R857">
        <f>I857-(K857*Standards!$I$15)</f>
        <v>0</v>
      </c>
      <c r="S857">
        <f t="shared" si="35"/>
        <v>9.6600000000000005E-2</v>
      </c>
      <c r="T857" t="s">
        <v>119</v>
      </c>
    </row>
    <row r="858" spans="1:20">
      <c r="A858" s="27">
        <v>32</v>
      </c>
      <c r="B858" s="27">
        <v>0</v>
      </c>
      <c r="C858" s="27">
        <v>8.4400000000000003E-2</v>
      </c>
      <c r="D858" s="27">
        <v>35.549999999999997</v>
      </c>
      <c r="E858" s="27">
        <v>5.28E-2</v>
      </c>
      <c r="F858" s="27">
        <v>0</v>
      </c>
      <c r="G858" s="27">
        <v>0.15240000000000001</v>
      </c>
      <c r="H858" s="27">
        <v>3.22</v>
      </c>
      <c r="I858" s="27">
        <v>0</v>
      </c>
      <c r="J858" s="27">
        <v>0.93789999999999996</v>
      </c>
      <c r="K858" s="27">
        <v>0</v>
      </c>
      <c r="L858" s="27">
        <v>64.45</v>
      </c>
      <c r="M858" s="27">
        <v>8.3599999999999994E-2</v>
      </c>
      <c r="N858" s="27">
        <v>104.53100000000001</v>
      </c>
      <c r="O858" s="27" t="s">
        <v>418</v>
      </c>
      <c r="Q858">
        <f t="shared" si="36"/>
        <v>67.67</v>
      </c>
      <c r="R858">
        <f>I858-(K858*Standards!$I$15)</f>
        <v>0</v>
      </c>
      <c r="S858">
        <f t="shared" si="35"/>
        <v>8.4400000000000003E-2</v>
      </c>
      <c r="T858" t="s">
        <v>119</v>
      </c>
    </row>
    <row r="859" spans="1:20">
      <c r="A859" s="27">
        <v>33</v>
      </c>
      <c r="B859" s="27">
        <v>0</v>
      </c>
      <c r="C859" s="27">
        <v>9.4899999999999998E-2</v>
      </c>
      <c r="D859" s="27">
        <v>35.28</v>
      </c>
      <c r="E859" s="27">
        <v>6.3600000000000004E-2</v>
      </c>
      <c r="F859" s="27">
        <v>0</v>
      </c>
      <c r="G859" s="27">
        <v>0.161</v>
      </c>
      <c r="H859" s="27">
        <v>2.14</v>
      </c>
      <c r="I859" s="27">
        <v>0</v>
      </c>
      <c r="J859" s="27">
        <v>0</v>
      </c>
      <c r="K859" s="27">
        <v>0</v>
      </c>
      <c r="L859" s="27">
        <v>66.61</v>
      </c>
      <c r="M859" s="27">
        <v>9.5799999999999996E-2</v>
      </c>
      <c r="N859" s="27">
        <v>104.4452</v>
      </c>
      <c r="O859" s="27" t="s">
        <v>418</v>
      </c>
      <c r="Q859">
        <f t="shared" si="36"/>
        <v>68.75</v>
      </c>
      <c r="R859">
        <f>I859-(K859*Standards!$I$15)</f>
        <v>0</v>
      </c>
      <c r="S859">
        <f t="shared" si="35"/>
        <v>9.4899999999999998E-2</v>
      </c>
      <c r="T859" t="s">
        <v>119</v>
      </c>
    </row>
    <row r="860" spans="1:20">
      <c r="A860" s="27">
        <v>34</v>
      </c>
      <c r="B860" s="27">
        <v>0</v>
      </c>
      <c r="C860" s="27">
        <v>7.6899999999999996E-2</v>
      </c>
      <c r="D860" s="27">
        <v>34.950000000000003</v>
      </c>
      <c r="E860" s="27">
        <v>4.6300000000000001E-2</v>
      </c>
      <c r="F860" s="27">
        <v>3.8999999999999998E-3</v>
      </c>
      <c r="G860" s="27">
        <v>0.15210000000000001</v>
      </c>
      <c r="H860" s="27">
        <v>2.85</v>
      </c>
      <c r="I860" s="27">
        <v>0</v>
      </c>
      <c r="J860" s="27">
        <v>4.1099999999999998E-2</v>
      </c>
      <c r="K860" s="27">
        <v>0</v>
      </c>
      <c r="L860" s="27">
        <v>66.42</v>
      </c>
      <c r="M860" s="27">
        <v>7.5600000000000001E-2</v>
      </c>
      <c r="N860" s="27">
        <v>104.61579999999999</v>
      </c>
      <c r="O860" s="27" t="s">
        <v>418</v>
      </c>
      <c r="Q860">
        <f t="shared" si="36"/>
        <v>69.27</v>
      </c>
      <c r="R860">
        <f>I860-(K860*Standards!$I$15)</f>
        <v>0</v>
      </c>
      <c r="S860">
        <f t="shared" si="35"/>
        <v>7.6899999999999996E-2</v>
      </c>
      <c r="T860" t="s">
        <v>119</v>
      </c>
    </row>
    <row r="861" spans="1:20">
      <c r="A861" s="27">
        <v>35</v>
      </c>
      <c r="B861" s="27">
        <v>0</v>
      </c>
      <c r="C861" s="27">
        <v>7.5499999999999998E-2</v>
      </c>
      <c r="D861" s="27">
        <v>35.11</v>
      </c>
      <c r="E861" s="27">
        <v>5.3100000000000001E-2</v>
      </c>
      <c r="F861" s="27">
        <v>0</v>
      </c>
      <c r="G861" s="27">
        <v>0.15409999999999999</v>
      </c>
      <c r="H861" s="27">
        <v>2.11</v>
      </c>
      <c r="I861" s="27">
        <v>0</v>
      </c>
      <c r="J861" s="27">
        <v>0.19819999999999999</v>
      </c>
      <c r="K861" s="27">
        <v>0</v>
      </c>
      <c r="L861" s="27">
        <v>67.010000000000005</v>
      </c>
      <c r="M861" s="27">
        <v>0.10589999999999999</v>
      </c>
      <c r="N861" s="27">
        <v>104.8168</v>
      </c>
      <c r="O861" s="27" t="s">
        <v>418</v>
      </c>
      <c r="Q861">
        <f t="shared" si="36"/>
        <v>69.12</v>
      </c>
      <c r="R861">
        <f>I861-(K861*Standards!$I$15)</f>
        <v>0</v>
      </c>
      <c r="S861">
        <f t="shared" si="35"/>
        <v>7.5499999999999998E-2</v>
      </c>
      <c r="T861" t="s">
        <v>119</v>
      </c>
    </row>
    <row r="862" spans="1:20">
      <c r="A862" s="27">
        <v>36</v>
      </c>
      <c r="B862" s="27">
        <v>0</v>
      </c>
      <c r="C862" s="27">
        <v>9.8799999999999999E-2</v>
      </c>
      <c r="D862" s="27">
        <v>31.12</v>
      </c>
      <c r="E862" s="27">
        <v>4.0599999999999997E-2</v>
      </c>
      <c r="F862" s="27">
        <v>0</v>
      </c>
      <c r="G862" s="27">
        <v>0.13270000000000001</v>
      </c>
      <c r="H862" s="27">
        <v>2.23</v>
      </c>
      <c r="I862" s="27">
        <v>0</v>
      </c>
      <c r="J862" s="27">
        <v>4.6600000000000003E-2</v>
      </c>
      <c r="K862" s="27">
        <v>0</v>
      </c>
      <c r="L862" s="27">
        <v>60.32</v>
      </c>
      <c r="M862" s="27">
        <v>0.1013</v>
      </c>
      <c r="N862" s="27">
        <v>94.090100000000007</v>
      </c>
      <c r="O862" s="27" t="s">
        <v>418</v>
      </c>
      <c r="Q862">
        <f t="shared" si="36"/>
        <v>62.55</v>
      </c>
      <c r="R862">
        <f>I862-(K862*Standards!$I$15)</f>
        <v>0</v>
      </c>
      <c r="S862">
        <f t="shared" si="35"/>
        <v>9.8799999999999999E-2</v>
      </c>
      <c r="T862" t="s">
        <v>119</v>
      </c>
    </row>
    <row r="863" spans="1:20">
      <c r="A863" s="27">
        <v>37</v>
      </c>
      <c r="B863" s="27">
        <v>0</v>
      </c>
      <c r="C863" s="27">
        <v>8.6499999999999994E-2</v>
      </c>
      <c r="D863" s="27">
        <v>35.14</v>
      </c>
      <c r="E863" s="27">
        <v>0</v>
      </c>
      <c r="F863" s="27">
        <v>0</v>
      </c>
      <c r="G863" s="27">
        <v>9.4999999999999998E-3</v>
      </c>
      <c r="H863" s="27">
        <v>4.12</v>
      </c>
      <c r="I863" s="27">
        <v>5.4999999999999997E-3</v>
      </c>
      <c r="J863" s="27">
        <v>3.5999999999999999E-3</v>
      </c>
      <c r="K863" s="27">
        <v>0</v>
      </c>
      <c r="L863" s="27">
        <v>65.55</v>
      </c>
      <c r="M863" s="27">
        <v>0.11210000000000001</v>
      </c>
      <c r="N863" s="27">
        <v>105.0271</v>
      </c>
      <c r="O863" s="27" t="s">
        <v>419</v>
      </c>
      <c r="Q863">
        <f t="shared" si="36"/>
        <v>69.67</v>
      </c>
      <c r="R863">
        <f>I863-(K863*Standards!$I$15)</f>
        <v>5.4999999999999997E-3</v>
      </c>
      <c r="S863">
        <f t="shared" si="35"/>
        <v>8.6224999999999996E-2</v>
      </c>
      <c r="T863" t="s">
        <v>119</v>
      </c>
    </row>
    <row r="864" spans="1:20">
      <c r="A864" s="27">
        <v>38</v>
      </c>
      <c r="B864" s="27">
        <v>0</v>
      </c>
      <c r="C864" s="27">
        <v>9.7100000000000006E-2</v>
      </c>
      <c r="D864" s="27">
        <v>35.32</v>
      </c>
      <c r="E864" s="27">
        <v>0</v>
      </c>
      <c r="F864" s="27">
        <v>0</v>
      </c>
      <c r="G864" s="27">
        <v>1.7100000000000001E-2</v>
      </c>
      <c r="H864" s="27">
        <v>4.1399999999999997</v>
      </c>
      <c r="I864" s="27">
        <v>0</v>
      </c>
      <c r="J864" s="27">
        <v>0</v>
      </c>
      <c r="K864" s="27">
        <v>0</v>
      </c>
      <c r="L864" s="27">
        <v>65.510000000000005</v>
      </c>
      <c r="M864" s="27">
        <v>8.1299999999999997E-2</v>
      </c>
      <c r="N864" s="27">
        <v>105.16540000000001</v>
      </c>
      <c r="O864" s="27" t="s">
        <v>419</v>
      </c>
      <c r="Q864">
        <f t="shared" si="36"/>
        <v>69.650000000000006</v>
      </c>
      <c r="R864">
        <f>I864-(K864*Standards!$I$15)</f>
        <v>0</v>
      </c>
      <c r="S864">
        <f t="shared" si="35"/>
        <v>9.7100000000000006E-2</v>
      </c>
      <c r="T864" t="s">
        <v>119</v>
      </c>
    </row>
    <row r="865" spans="1:20">
      <c r="A865" s="27">
        <v>39</v>
      </c>
      <c r="B865" s="27">
        <v>0</v>
      </c>
      <c r="C865" s="27">
        <v>9.2100000000000001E-2</v>
      </c>
      <c r="D865" s="27">
        <v>35.33</v>
      </c>
      <c r="E865" s="27">
        <v>0</v>
      </c>
      <c r="F865" s="27">
        <v>0</v>
      </c>
      <c r="G865" s="27">
        <v>1.32E-2</v>
      </c>
      <c r="H865" s="27">
        <v>4.12</v>
      </c>
      <c r="I865" s="27">
        <v>3.7000000000000002E-3</v>
      </c>
      <c r="J865" s="27">
        <v>0</v>
      </c>
      <c r="K865" s="27">
        <v>0</v>
      </c>
      <c r="L865" s="27">
        <v>65.349999999999994</v>
      </c>
      <c r="M865" s="27">
        <v>9.4200000000000006E-2</v>
      </c>
      <c r="N865" s="27">
        <v>105.0031</v>
      </c>
      <c r="O865" s="27" t="s">
        <v>419</v>
      </c>
      <c r="Q865">
        <f t="shared" si="36"/>
        <v>69.47</v>
      </c>
      <c r="R865">
        <f>I865-(K865*Standards!$I$15)</f>
        <v>3.7000000000000002E-3</v>
      </c>
      <c r="S865">
        <f t="shared" si="35"/>
        <v>9.1914999999999997E-2</v>
      </c>
      <c r="T865" t="s">
        <v>119</v>
      </c>
    </row>
    <row r="866" spans="1:20">
      <c r="A866" s="27">
        <v>40</v>
      </c>
      <c r="B866" s="27">
        <v>0</v>
      </c>
      <c r="C866" s="27">
        <v>9.3200000000000005E-2</v>
      </c>
      <c r="D866" s="27">
        <v>35.479999999999997</v>
      </c>
      <c r="E866" s="27">
        <v>5.7999999999999996E-3</v>
      </c>
      <c r="F866" s="27">
        <v>0</v>
      </c>
      <c r="G866" s="27">
        <v>1.8599999999999998E-2</v>
      </c>
      <c r="H866" s="27">
        <v>4.08</v>
      </c>
      <c r="I866" s="27">
        <v>0</v>
      </c>
      <c r="J866" s="27">
        <v>0</v>
      </c>
      <c r="K866" s="27">
        <v>0</v>
      </c>
      <c r="L866" s="27">
        <v>65.12</v>
      </c>
      <c r="M866" s="27">
        <v>0.1053</v>
      </c>
      <c r="N866" s="27">
        <v>104.9028</v>
      </c>
      <c r="O866" s="27" t="s">
        <v>419</v>
      </c>
      <c r="Q866">
        <f t="shared" si="36"/>
        <v>69.2</v>
      </c>
      <c r="R866">
        <f>I866-(K866*Standards!$I$15)</f>
        <v>0</v>
      </c>
      <c r="S866">
        <f t="shared" si="35"/>
        <v>9.3200000000000005E-2</v>
      </c>
      <c r="T866" t="s">
        <v>119</v>
      </c>
    </row>
    <row r="867" spans="1:20">
      <c r="A867" s="27">
        <v>41</v>
      </c>
      <c r="B867" s="27">
        <v>0</v>
      </c>
      <c r="C867" s="27">
        <v>9.2100000000000001E-2</v>
      </c>
      <c r="D867" s="27">
        <v>35.409999999999997</v>
      </c>
      <c r="E867" s="27">
        <v>9.1000000000000004E-3</v>
      </c>
      <c r="F867" s="27">
        <v>0</v>
      </c>
      <c r="G867" s="27">
        <v>1.4200000000000001E-2</v>
      </c>
      <c r="H867" s="27">
        <v>3.95</v>
      </c>
      <c r="I867" s="27">
        <v>8.6E-3</v>
      </c>
      <c r="J867" s="27">
        <v>0</v>
      </c>
      <c r="K867" s="27">
        <v>0</v>
      </c>
      <c r="L867" s="27">
        <v>65.58</v>
      </c>
      <c r="M867" s="27">
        <v>9.5799999999999996E-2</v>
      </c>
      <c r="N867" s="27">
        <v>105.1597</v>
      </c>
      <c r="O867" s="27" t="s">
        <v>419</v>
      </c>
      <c r="Q867">
        <f t="shared" si="36"/>
        <v>69.53</v>
      </c>
      <c r="R867">
        <f>I867-(K867*Standards!$I$15)</f>
        <v>8.6E-3</v>
      </c>
      <c r="S867">
        <f t="shared" si="35"/>
        <v>9.1670000000000001E-2</v>
      </c>
      <c r="T867" t="s">
        <v>119</v>
      </c>
    </row>
    <row r="868" spans="1:20">
      <c r="A868" s="27">
        <v>42</v>
      </c>
      <c r="B868" s="27">
        <v>0</v>
      </c>
      <c r="C868" s="27">
        <v>8.9800000000000005E-2</v>
      </c>
      <c r="D868" s="27">
        <v>35.51</v>
      </c>
      <c r="E868" s="27">
        <v>0</v>
      </c>
      <c r="F868" s="27">
        <v>3.0999999999999999E-3</v>
      </c>
      <c r="G868" s="27">
        <v>9.1000000000000004E-3</v>
      </c>
      <c r="H868" s="27">
        <v>4.0599999999999996</v>
      </c>
      <c r="I868" s="27">
        <v>0</v>
      </c>
      <c r="J868" s="27">
        <v>0</v>
      </c>
      <c r="K868" s="27">
        <v>0</v>
      </c>
      <c r="L868" s="27">
        <v>65.31</v>
      </c>
      <c r="M868" s="27">
        <v>9.7000000000000003E-2</v>
      </c>
      <c r="N868" s="27">
        <v>105.0789</v>
      </c>
      <c r="O868" s="27" t="s">
        <v>419</v>
      </c>
      <c r="Q868">
        <f t="shared" si="36"/>
        <v>69.37</v>
      </c>
      <c r="R868">
        <f>I868-(K868*Standards!$I$15)</f>
        <v>0</v>
      </c>
      <c r="S868">
        <f t="shared" si="35"/>
        <v>8.9800000000000005E-2</v>
      </c>
      <c r="T868" t="s">
        <v>119</v>
      </c>
    </row>
    <row r="869" spans="1:20">
      <c r="A869" s="27">
        <v>43</v>
      </c>
      <c r="B869" s="27">
        <v>0</v>
      </c>
      <c r="C869" s="27">
        <v>8.5199999999999998E-2</v>
      </c>
      <c r="D869" s="27">
        <v>35.61</v>
      </c>
      <c r="E869" s="27">
        <v>3.3999999999999998E-3</v>
      </c>
      <c r="F869" s="27">
        <v>1.1999999999999999E-3</v>
      </c>
      <c r="G869" s="27">
        <v>8.5000000000000006E-3</v>
      </c>
      <c r="H869" s="27">
        <v>4.12</v>
      </c>
      <c r="I869" s="27">
        <v>0</v>
      </c>
      <c r="J869" s="27">
        <v>0</v>
      </c>
      <c r="K869" s="27">
        <v>0</v>
      </c>
      <c r="L869" s="27">
        <v>65.36</v>
      </c>
      <c r="M869" s="27">
        <v>0.1086</v>
      </c>
      <c r="N869" s="27">
        <v>105.2968</v>
      </c>
      <c r="O869" s="27" t="s">
        <v>419</v>
      </c>
      <c r="Q869">
        <f t="shared" si="36"/>
        <v>69.48</v>
      </c>
      <c r="R869">
        <f>I869-(K869*Standards!$I$15)</f>
        <v>0</v>
      </c>
      <c r="S869">
        <f t="shared" si="35"/>
        <v>8.5199999999999998E-2</v>
      </c>
      <c r="T869" t="s">
        <v>119</v>
      </c>
    </row>
    <row r="870" spans="1:20">
      <c r="A870" s="27">
        <v>44</v>
      </c>
      <c r="B870" s="27">
        <v>0</v>
      </c>
      <c r="C870" s="27">
        <v>8.5699999999999998E-2</v>
      </c>
      <c r="D870" s="27">
        <v>35.57</v>
      </c>
      <c r="E870" s="27">
        <v>0</v>
      </c>
      <c r="F870" s="27">
        <v>1.2999999999999999E-3</v>
      </c>
      <c r="G870" s="27">
        <v>8.6999999999999994E-3</v>
      </c>
      <c r="H870" s="27">
        <v>4.04</v>
      </c>
      <c r="I870" s="27">
        <v>2.2000000000000001E-3</v>
      </c>
      <c r="J870" s="27">
        <v>0</v>
      </c>
      <c r="K870" s="27">
        <v>0</v>
      </c>
      <c r="L870" s="27">
        <v>65.680000000000007</v>
      </c>
      <c r="M870" s="27">
        <v>0.1024</v>
      </c>
      <c r="N870" s="27">
        <v>105.4903</v>
      </c>
      <c r="O870" s="27" t="s">
        <v>419</v>
      </c>
      <c r="Q870">
        <f t="shared" ref="Q870:Q900" si="37">H870+L870</f>
        <v>69.720000000000013</v>
      </c>
      <c r="R870">
        <f>I870-(K870*Standards!$I$15)</f>
        <v>2.2000000000000001E-3</v>
      </c>
      <c r="S870">
        <f t="shared" si="35"/>
        <v>8.5589999999999999E-2</v>
      </c>
      <c r="T870" t="s">
        <v>119</v>
      </c>
    </row>
    <row r="871" spans="1:20">
      <c r="A871" s="27">
        <v>45</v>
      </c>
      <c r="B871" s="27">
        <v>0</v>
      </c>
      <c r="C871" s="27">
        <v>8.9399999999999993E-2</v>
      </c>
      <c r="D871" s="27">
        <v>35.42</v>
      </c>
      <c r="E871" s="27">
        <v>0</v>
      </c>
      <c r="F871" s="27">
        <v>0</v>
      </c>
      <c r="G871" s="27">
        <v>1.9900000000000001E-2</v>
      </c>
      <c r="H871" s="27">
        <v>3.79</v>
      </c>
      <c r="I871" s="27">
        <v>0</v>
      </c>
      <c r="J871" s="27">
        <v>0</v>
      </c>
      <c r="K871" s="27">
        <v>0</v>
      </c>
      <c r="L871" s="27">
        <v>65.92</v>
      </c>
      <c r="M871" s="27">
        <v>0.1011</v>
      </c>
      <c r="N871" s="27">
        <v>105.3403</v>
      </c>
      <c r="O871" s="27" t="s">
        <v>419</v>
      </c>
      <c r="Q871">
        <f t="shared" si="37"/>
        <v>69.710000000000008</v>
      </c>
      <c r="R871">
        <f>I871-(K871*Standards!$I$15)</f>
        <v>0</v>
      </c>
      <c r="S871">
        <f t="shared" si="35"/>
        <v>8.9399999999999993E-2</v>
      </c>
      <c r="T871" t="s">
        <v>119</v>
      </c>
    </row>
    <row r="872" spans="1:20">
      <c r="A872" s="27">
        <v>46</v>
      </c>
      <c r="B872" s="27">
        <v>0</v>
      </c>
      <c r="C872" s="27">
        <v>8.8499999999999995E-2</v>
      </c>
      <c r="D872" s="27">
        <v>35.6</v>
      </c>
      <c r="E872" s="27">
        <v>3.0999999999999999E-3</v>
      </c>
      <c r="F872" s="27">
        <v>0</v>
      </c>
      <c r="G872" s="27">
        <v>1.1900000000000001E-2</v>
      </c>
      <c r="H872" s="27">
        <v>3.9</v>
      </c>
      <c r="I872" s="27">
        <v>0</v>
      </c>
      <c r="J872" s="27">
        <v>0</v>
      </c>
      <c r="K872" s="27">
        <v>0</v>
      </c>
      <c r="L872" s="27">
        <v>65.27</v>
      </c>
      <c r="M872" s="27">
        <v>0.1</v>
      </c>
      <c r="N872" s="27">
        <v>104.9734</v>
      </c>
      <c r="O872" s="27" t="s">
        <v>419</v>
      </c>
      <c r="Q872">
        <f t="shared" si="37"/>
        <v>69.17</v>
      </c>
      <c r="R872">
        <f>I872-(K872*Standards!$I$15)</f>
        <v>0</v>
      </c>
      <c r="S872">
        <f t="shared" si="35"/>
        <v>8.8499999999999995E-2</v>
      </c>
      <c r="T872" t="s">
        <v>119</v>
      </c>
    </row>
    <row r="873" spans="1:20">
      <c r="A873" s="27">
        <v>47</v>
      </c>
      <c r="B873" s="27">
        <v>0</v>
      </c>
      <c r="C873" s="27">
        <v>8.5300000000000001E-2</v>
      </c>
      <c r="D873" s="27">
        <v>35.659999999999997</v>
      </c>
      <c r="E873" s="27">
        <v>0</v>
      </c>
      <c r="F873" s="27">
        <v>0</v>
      </c>
      <c r="G873" s="27">
        <v>8.8000000000000005E-3</v>
      </c>
      <c r="H873" s="27">
        <v>3.68</v>
      </c>
      <c r="I873" s="27">
        <v>1.8E-3</v>
      </c>
      <c r="J873" s="27">
        <v>0</v>
      </c>
      <c r="K873" s="27">
        <v>0</v>
      </c>
      <c r="L873" s="27">
        <v>65.819999999999993</v>
      </c>
      <c r="M873" s="27">
        <v>8.2600000000000007E-2</v>
      </c>
      <c r="N873" s="27">
        <v>105.3385</v>
      </c>
      <c r="O873" s="27" t="s">
        <v>419</v>
      </c>
      <c r="Q873">
        <f t="shared" si="37"/>
        <v>69.5</v>
      </c>
      <c r="R873">
        <f>I873-(K873*Standards!$I$15)</f>
        <v>1.8E-3</v>
      </c>
      <c r="S873">
        <f t="shared" si="35"/>
        <v>8.5209999999999994E-2</v>
      </c>
      <c r="T873" t="s">
        <v>119</v>
      </c>
    </row>
    <row r="874" spans="1:20">
      <c r="A874" s="27">
        <v>48</v>
      </c>
      <c r="B874" s="27">
        <v>0</v>
      </c>
      <c r="C874" s="27">
        <v>7.6600000000000001E-2</v>
      </c>
      <c r="D874" s="27">
        <v>35.56</v>
      </c>
      <c r="E874" s="27">
        <v>0</v>
      </c>
      <c r="F874" s="27">
        <v>1.7299999999999999E-2</v>
      </c>
      <c r="G874" s="27">
        <v>1.0699999999999999E-2</v>
      </c>
      <c r="H874" s="27">
        <v>3.93</v>
      </c>
      <c r="I874" s="27">
        <v>4.1999999999999997E-3</v>
      </c>
      <c r="J874" s="27">
        <v>0</v>
      </c>
      <c r="K874" s="27">
        <v>0</v>
      </c>
      <c r="L874" s="27">
        <v>65.48</v>
      </c>
      <c r="M874" s="27">
        <v>0.115</v>
      </c>
      <c r="N874" s="27">
        <v>105.19370000000001</v>
      </c>
      <c r="O874" s="27" t="s">
        <v>419</v>
      </c>
      <c r="Q874">
        <f t="shared" si="37"/>
        <v>69.410000000000011</v>
      </c>
      <c r="R874">
        <f>I874-(K874*Standards!$I$15)</f>
        <v>4.1999999999999997E-3</v>
      </c>
      <c r="S874">
        <f t="shared" si="35"/>
        <v>7.639E-2</v>
      </c>
      <c r="T874" t="s">
        <v>119</v>
      </c>
    </row>
    <row r="875" spans="1:20">
      <c r="A875" s="27">
        <v>49</v>
      </c>
      <c r="B875" s="27">
        <v>0</v>
      </c>
      <c r="C875" s="27">
        <v>0.09</v>
      </c>
      <c r="D875" s="27">
        <v>35.61</v>
      </c>
      <c r="E875" s="27">
        <v>0</v>
      </c>
      <c r="F875" s="27">
        <v>0</v>
      </c>
      <c r="G875" s="27">
        <v>9.1999999999999998E-3</v>
      </c>
      <c r="H875" s="27">
        <v>3.83</v>
      </c>
      <c r="I875" s="27">
        <v>0</v>
      </c>
      <c r="J875" s="27">
        <v>4.1999999999999997E-3</v>
      </c>
      <c r="K875" s="27">
        <v>0</v>
      </c>
      <c r="L875" s="27">
        <v>65.180000000000007</v>
      </c>
      <c r="M875" s="27">
        <v>0.1164</v>
      </c>
      <c r="N875" s="27">
        <v>104.8398</v>
      </c>
      <c r="O875" s="27" t="s">
        <v>419</v>
      </c>
      <c r="Q875">
        <f t="shared" si="37"/>
        <v>69.010000000000005</v>
      </c>
      <c r="R875">
        <f>I875-(K875*Standards!$I$15)</f>
        <v>0</v>
      </c>
      <c r="S875">
        <f t="shared" si="35"/>
        <v>0.09</v>
      </c>
      <c r="T875" t="s">
        <v>119</v>
      </c>
    </row>
    <row r="876" spans="1:20">
      <c r="A876" s="27">
        <v>50</v>
      </c>
      <c r="B876" s="27">
        <v>0</v>
      </c>
      <c r="C876" s="27">
        <v>7.5700000000000003E-2</v>
      </c>
      <c r="D876" s="27">
        <v>35.47</v>
      </c>
      <c r="E876" s="27">
        <v>0</v>
      </c>
      <c r="F876" s="27">
        <v>1.55E-2</v>
      </c>
      <c r="G876" s="27">
        <v>1.0999999999999999E-2</v>
      </c>
      <c r="H876" s="27">
        <v>2.92</v>
      </c>
      <c r="I876" s="27">
        <v>0</v>
      </c>
      <c r="J876" s="27">
        <v>0</v>
      </c>
      <c r="K876" s="27">
        <v>0</v>
      </c>
      <c r="L876" s="27">
        <v>66.7</v>
      </c>
      <c r="M876" s="27">
        <v>9.1600000000000001E-2</v>
      </c>
      <c r="N876" s="27">
        <v>105.2837</v>
      </c>
      <c r="O876" s="27" t="s">
        <v>419</v>
      </c>
      <c r="Q876">
        <f t="shared" si="37"/>
        <v>69.62</v>
      </c>
      <c r="R876">
        <f>I876-(K876*Standards!$I$15)</f>
        <v>0</v>
      </c>
      <c r="S876">
        <f t="shared" si="35"/>
        <v>7.5700000000000003E-2</v>
      </c>
      <c r="T876" t="s">
        <v>119</v>
      </c>
    </row>
    <row r="877" spans="1:20">
      <c r="A877" s="27">
        <v>51</v>
      </c>
      <c r="B877" s="27">
        <v>0</v>
      </c>
      <c r="C877" s="27">
        <v>7.5899999999999995E-2</v>
      </c>
      <c r="D877" s="27">
        <v>35.36</v>
      </c>
      <c r="E877" s="27">
        <v>0</v>
      </c>
      <c r="F877" s="27">
        <v>0</v>
      </c>
      <c r="G877" s="27">
        <v>1.1599999999999999E-2</v>
      </c>
      <c r="H877" s="27">
        <v>2.85</v>
      </c>
      <c r="I877" s="27">
        <v>0</v>
      </c>
      <c r="J877" s="27">
        <v>0</v>
      </c>
      <c r="K877" s="27">
        <v>0</v>
      </c>
      <c r="L877" s="27">
        <v>66.540000000000006</v>
      </c>
      <c r="M877" s="27">
        <v>0.1074</v>
      </c>
      <c r="N877" s="27">
        <v>104.9448</v>
      </c>
      <c r="O877" s="27" t="s">
        <v>419</v>
      </c>
      <c r="Q877">
        <f t="shared" si="37"/>
        <v>69.39</v>
      </c>
      <c r="R877">
        <f>I877-(K877*Standards!$I$15)</f>
        <v>0</v>
      </c>
      <c r="S877">
        <f t="shared" si="35"/>
        <v>7.5899999999999995E-2</v>
      </c>
      <c r="T877" t="s">
        <v>119</v>
      </c>
    </row>
    <row r="878" spans="1:20">
      <c r="A878" s="27">
        <v>52</v>
      </c>
      <c r="B878" s="27">
        <v>0</v>
      </c>
      <c r="C878" s="27">
        <v>6.9800000000000001E-2</v>
      </c>
      <c r="D878" s="27">
        <v>35.31</v>
      </c>
      <c r="E878" s="27">
        <v>7.0000000000000001E-3</v>
      </c>
      <c r="F878" s="27">
        <v>1.6000000000000001E-3</v>
      </c>
      <c r="G878" s="27">
        <v>1.04E-2</v>
      </c>
      <c r="H878" s="27">
        <v>2.81</v>
      </c>
      <c r="I878" s="27">
        <v>0</v>
      </c>
      <c r="J878" s="27">
        <v>0</v>
      </c>
      <c r="K878" s="27">
        <v>0</v>
      </c>
      <c r="L878" s="27">
        <v>66.63</v>
      </c>
      <c r="M878" s="27">
        <v>0.11609999999999999</v>
      </c>
      <c r="N878" s="27">
        <v>104.95480000000001</v>
      </c>
      <c r="O878" s="27" t="s">
        <v>419</v>
      </c>
      <c r="Q878">
        <f t="shared" si="37"/>
        <v>69.44</v>
      </c>
      <c r="R878">
        <f>I878-(K878*Standards!$I$15)</f>
        <v>0</v>
      </c>
      <c r="S878">
        <f t="shared" si="35"/>
        <v>6.9800000000000001E-2</v>
      </c>
      <c r="T878" t="s">
        <v>119</v>
      </c>
    </row>
    <row r="879" spans="1:20">
      <c r="A879" s="27">
        <v>53</v>
      </c>
      <c r="B879" s="27">
        <v>0</v>
      </c>
      <c r="C879" s="27">
        <v>8.8999999999999996E-2</v>
      </c>
      <c r="D879" s="27">
        <v>35.56</v>
      </c>
      <c r="E879" s="27">
        <v>0</v>
      </c>
      <c r="F879" s="27">
        <v>0</v>
      </c>
      <c r="G879" s="27">
        <v>1.0200000000000001E-2</v>
      </c>
      <c r="H879" s="27">
        <v>3.83</v>
      </c>
      <c r="I879" s="27">
        <v>5.0000000000000001E-4</v>
      </c>
      <c r="J879" s="27">
        <v>0</v>
      </c>
      <c r="K879" s="27">
        <v>0</v>
      </c>
      <c r="L879" s="27">
        <v>65.61</v>
      </c>
      <c r="M879" s="27">
        <v>0.11409999999999999</v>
      </c>
      <c r="N879" s="27">
        <v>105.2137</v>
      </c>
      <c r="O879" s="27" t="s">
        <v>419</v>
      </c>
      <c r="Q879">
        <f t="shared" si="37"/>
        <v>69.44</v>
      </c>
      <c r="R879">
        <f>I879-(K879*Standards!$I$15)</f>
        <v>5.0000000000000001E-4</v>
      </c>
      <c r="S879">
        <f t="shared" si="35"/>
        <v>8.8974999999999999E-2</v>
      </c>
      <c r="T879" t="s">
        <v>119</v>
      </c>
    </row>
    <row r="880" spans="1:20">
      <c r="A880" s="27">
        <v>54</v>
      </c>
      <c r="B880" s="27">
        <v>0</v>
      </c>
      <c r="C880" s="27">
        <v>7.2300000000000003E-2</v>
      </c>
      <c r="D880" s="27">
        <v>35.369999999999997</v>
      </c>
      <c r="E880" s="27">
        <v>6.4000000000000003E-3</v>
      </c>
      <c r="F880" s="27">
        <v>0</v>
      </c>
      <c r="G880" s="27">
        <v>2.5399999999999999E-2</v>
      </c>
      <c r="H880" s="27">
        <v>2.41</v>
      </c>
      <c r="I880" s="27">
        <v>0</v>
      </c>
      <c r="J880" s="27">
        <v>2.4E-2</v>
      </c>
      <c r="K880" s="27">
        <v>0</v>
      </c>
      <c r="L880" s="27">
        <v>67.61</v>
      </c>
      <c r="M880" s="27">
        <v>0.10979999999999999</v>
      </c>
      <c r="N880" s="27">
        <v>105.62779999999999</v>
      </c>
      <c r="O880" s="27" t="s">
        <v>420</v>
      </c>
      <c r="Q880">
        <f t="shared" si="37"/>
        <v>70.02</v>
      </c>
      <c r="R880">
        <f>I880-(K880*Standards!$I$15)</f>
        <v>0</v>
      </c>
      <c r="S880">
        <f t="shared" si="35"/>
        <v>7.2300000000000003E-2</v>
      </c>
      <c r="T880" t="s">
        <v>119</v>
      </c>
    </row>
    <row r="881" spans="1:31">
      <c r="A881" s="27">
        <v>55</v>
      </c>
      <c r="B881" s="27">
        <v>0</v>
      </c>
      <c r="C881" s="27">
        <v>8.3699999999999997E-2</v>
      </c>
      <c r="D881" s="27">
        <v>35.85</v>
      </c>
      <c r="E881" s="27">
        <v>1.49E-2</v>
      </c>
      <c r="F881" s="27">
        <v>0</v>
      </c>
      <c r="G881" s="27">
        <v>2.6700000000000002E-2</v>
      </c>
      <c r="H881" s="27">
        <v>3.34</v>
      </c>
      <c r="I881" s="27">
        <v>4.0000000000000001E-3</v>
      </c>
      <c r="J881" s="27">
        <v>3.7400000000000003E-2</v>
      </c>
      <c r="K881" s="27">
        <v>0</v>
      </c>
      <c r="L881" s="27">
        <v>66.39</v>
      </c>
      <c r="M881" s="27">
        <v>0.11940000000000001</v>
      </c>
      <c r="N881" s="27">
        <v>105.866</v>
      </c>
      <c r="O881" s="27" t="s">
        <v>420</v>
      </c>
      <c r="Q881">
        <f t="shared" si="37"/>
        <v>69.73</v>
      </c>
      <c r="R881">
        <f>I881-(K881*Standards!$I$15)</f>
        <v>4.0000000000000001E-3</v>
      </c>
      <c r="S881">
        <f t="shared" si="35"/>
        <v>8.3499999999999991E-2</v>
      </c>
      <c r="T881" t="s">
        <v>119</v>
      </c>
    </row>
    <row r="882" spans="1:31">
      <c r="A882" s="27">
        <v>56</v>
      </c>
      <c r="B882" s="27">
        <v>0</v>
      </c>
      <c r="C882" s="27">
        <v>6.9099999999999995E-2</v>
      </c>
      <c r="D882" s="27">
        <v>35.43</v>
      </c>
      <c r="E882" s="27">
        <v>4.0000000000000002E-4</v>
      </c>
      <c r="F882" s="27">
        <v>0</v>
      </c>
      <c r="G882" s="27">
        <v>1.8700000000000001E-2</v>
      </c>
      <c r="H882" s="27">
        <v>3.54</v>
      </c>
      <c r="I882" s="27">
        <v>0</v>
      </c>
      <c r="J882" s="27">
        <v>0.17399999999999999</v>
      </c>
      <c r="K882" s="27">
        <v>0</v>
      </c>
      <c r="L882" s="27">
        <v>66.150000000000006</v>
      </c>
      <c r="M882" s="27">
        <v>9.8100000000000007E-2</v>
      </c>
      <c r="N882" s="27">
        <v>105.4802</v>
      </c>
      <c r="O882" s="27" t="s">
        <v>420</v>
      </c>
      <c r="Q882">
        <f t="shared" si="37"/>
        <v>69.690000000000012</v>
      </c>
      <c r="R882">
        <f>I882-(K882*Standards!$I$15)</f>
        <v>0</v>
      </c>
      <c r="S882">
        <f t="shared" si="35"/>
        <v>6.9099999999999995E-2</v>
      </c>
      <c r="T882" t="s">
        <v>119</v>
      </c>
    </row>
    <row r="883" spans="1:31">
      <c r="A883" s="27">
        <v>57</v>
      </c>
      <c r="B883" s="27">
        <v>0</v>
      </c>
      <c r="C883" s="27">
        <v>7.1999999999999995E-2</v>
      </c>
      <c r="D883" s="27">
        <v>35.44</v>
      </c>
      <c r="E883" s="27">
        <v>1.03E-2</v>
      </c>
      <c r="F883" s="27">
        <v>0</v>
      </c>
      <c r="G883" s="27">
        <v>2.4E-2</v>
      </c>
      <c r="H883" s="27">
        <v>3.6</v>
      </c>
      <c r="I883" s="27">
        <v>0</v>
      </c>
      <c r="J883" s="27">
        <v>0.12130000000000001</v>
      </c>
      <c r="K883" s="27">
        <v>0</v>
      </c>
      <c r="L883" s="27">
        <v>66.510000000000005</v>
      </c>
      <c r="M883" s="27">
        <v>0.12180000000000001</v>
      </c>
      <c r="N883" s="27">
        <v>105.8993</v>
      </c>
      <c r="O883" s="27" t="s">
        <v>420</v>
      </c>
      <c r="Q883">
        <f t="shared" si="37"/>
        <v>70.11</v>
      </c>
      <c r="R883">
        <f>I883-(K883*Standards!$I$15)</f>
        <v>0</v>
      </c>
      <c r="S883">
        <f t="shared" si="35"/>
        <v>7.1999999999999995E-2</v>
      </c>
      <c r="T883" t="s">
        <v>119</v>
      </c>
    </row>
    <row r="884" spans="1:31">
      <c r="A884" s="27">
        <v>58</v>
      </c>
      <c r="B884" s="27">
        <v>0</v>
      </c>
      <c r="C884" s="27">
        <v>7.6600000000000001E-2</v>
      </c>
      <c r="D884" s="27">
        <v>35.71</v>
      </c>
      <c r="E884" s="27">
        <v>4.0000000000000002E-4</v>
      </c>
      <c r="F884" s="27">
        <v>0</v>
      </c>
      <c r="G884" s="27">
        <v>2.5899999999999999E-2</v>
      </c>
      <c r="H884" s="27">
        <v>2.89</v>
      </c>
      <c r="I884" s="27">
        <v>1.9E-3</v>
      </c>
      <c r="J884" s="27">
        <v>7.7999999999999996E-3</v>
      </c>
      <c r="K884" s="27">
        <v>0</v>
      </c>
      <c r="L884" s="27">
        <v>66.69</v>
      </c>
      <c r="M884" s="27">
        <v>0.1275</v>
      </c>
      <c r="N884" s="27">
        <v>105.5301</v>
      </c>
      <c r="O884" s="27" t="s">
        <v>420</v>
      </c>
      <c r="Q884">
        <f t="shared" si="37"/>
        <v>69.58</v>
      </c>
      <c r="R884">
        <f>I884-(K884*Standards!$I$15)</f>
        <v>1.9E-3</v>
      </c>
      <c r="S884">
        <f t="shared" si="35"/>
        <v>7.6505000000000004E-2</v>
      </c>
      <c r="T884" t="s">
        <v>119</v>
      </c>
    </row>
    <row r="885" spans="1:31">
      <c r="A885" s="27">
        <v>59</v>
      </c>
      <c r="B885" s="27">
        <v>0</v>
      </c>
      <c r="C885" s="27">
        <v>8.9200000000000002E-2</v>
      </c>
      <c r="D885" s="27">
        <v>35.409999999999997</v>
      </c>
      <c r="E885" s="27">
        <v>0</v>
      </c>
      <c r="F885" s="27">
        <v>0</v>
      </c>
      <c r="G885" s="27">
        <v>1.84E-2</v>
      </c>
      <c r="H885" s="27">
        <v>3.18</v>
      </c>
      <c r="I885" s="27">
        <v>0</v>
      </c>
      <c r="J885" s="27">
        <v>0</v>
      </c>
      <c r="K885" s="27">
        <v>0</v>
      </c>
      <c r="L885" s="27">
        <v>67.400000000000006</v>
      </c>
      <c r="M885" s="27">
        <v>0.1011</v>
      </c>
      <c r="N885" s="27">
        <v>106.1986</v>
      </c>
      <c r="O885" s="27" t="s">
        <v>420</v>
      </c>
      <c r="Q885">
        <f t="shared" si="37"/>
        <v>70.580000000000013</v>
      </c>
      <c r="R885">
        <f>I885-(K885*Standards!$I$15)</f>
        <v>0</v>
      </c>
      <c r="S885">
        <f t="shared" si="35"/>
        <v>8.9200000000000002E-2</v>
      </c>
      <c r="T885" t="s">
        <v>119</v>
      </c>
    </row>
    <row r="886" spans="1:31">
      <c r="A886" s="27">
        <v>60</v>
      </c>
      <c r="B886" s="27">
        <v>0</v>
      </c>
      <c r="C886" s="27">
        <v>8.2199999999999995E-2</v>
      </c>
      <c r="D886" s="27">
        <v>35.409999999999997</v>
      </c>
      <c r="E886" s="27">
        <v>2.5000000000000001E-3</v>
      </c>
      <c r="F886" s="27">
        <v>0</v>
      </c>
      <c r="G886" s="27">
        <v>2.98E-2</v>
      </c>
      <c r="H886" s="27">
        <v>2.6</v>
      </c>
      <c r="I886" s="27">
        <v>0</v>
      </c>
      <c r="J886" s="27">
        <v>9.4100000000000003E-2</v>
      </c>
      <c r="K886" s="27">
        <v>0</v>
      </c>
      <c r="L886" s="27">
        <v>67.7</v>
      </c>
      <c r="M886" s="27">
        <v>0.10059999999999999</v>
      </c>
      <c r="N886" s="27">
        <v>106.01909999999999</v>
      </c>
      <c r="O886" s="27" t="s">
        <v>420</v>
      </c>
      <c r="Q886">
        <f t="shared" si="37"/>
        <v>70.3</v>
      </c>
      <c r="R886">
        <f>I886-(K886*Standards!$I$15)</f>
        <v>0</v>
      </c>
      <c r="S886">
        <f t="shared" si="35"/>
        <v>8.2199999999999995E-2</v>
      </c>
      <c r="T886" t="s">
        <v>119</v>
      </c>
    </row>
    <row r="887" spans="1:31">
      <c r="A887" s="27">
        <v>61</v>
      </c>
      <c r="B887" s="27">
        <v>0</v>
      </c>
      <c r="C887" s="27">
        <v>8.4400000000000003E-2</v>
      </c>
      <c r="D887" s="27">
        <v>35.68</v>
      </c>
      <c r="E887" s="27">
        <v>8.9999999999999998E-4</v>
      </c>
      <c r="F887" s="27">
        <v>0</v>
      </c>
      <c r="G887" s="27">
        <v>1.4200000000000001E-2</v>
      </c>
      <c r="H887" s="27">
        <v>2.57</v>
      </c>
      <c r="I887" s="27">
        <v>0</v>
      </c>
      <c r="J887" s="27">
        <v>0</v>
      </c>
      <c r="K887" s="27">
        <v>0</v>
      </c>
      <c r="L887" s="27">
        <v>67.87</v>
      </c>
      <c r="M887" s="27">
        <v>0.1123</v>
      </c>
      <c r="N887" s="27">
        <v>106.3317</v>
      </c>
      <c r="O887" s="27" t="s">
        <v>420</v>
      </c>
      <c r="Q887">
        <f t="shared" si="37"/>
        <v>70.44</v>
      </c>
      <c r="R887">
        <f>I887-(K887*Standards!$I$15)</f>
        <v>0</v>
      </c>
      <c r="S887">
        <f t="shared" si="35"/>
        <v>8.4400000000000003E-2</v>
      </c>
      <c r="T887" t="s">
        <v>119</v>
      </c>
    </row>
    <row r="888" spans="1:31">
      <c r="A888" s="27">
        <v>62</v>
      </c>
      <c r="B888" s="27">
        <v>0</v>
      </c>
      <c r="C888" s="27">
        <v>9.0399999999999994E-2</v>
      </c>
      <c r="D888" s="27">
        <v>35.64</v>
      </c>
      <c r="E888" s="27">
        <v>0</v>
      </c>
      <c r="F888" s="27">
        <v>0</v>
      </c>
      <c r="G888" s="27">
        <v>1.8700000000000001E-2</v>
      </c>
      <c r="H888" s="27">
        <v>2.46</v>
      </c>
      <c r="I888" s="27">
        <v>0</v>
      </c>
      <c r="J888" s="27">
        <v>8.8000000000000005E-3</v>
      </c>
      <c r="K888" s="27">
        <v>0</v>
      </c>
      <c r="L888" s="27">
        <v>67.81</v>
      </c>
      <c r="M888" s="27">
        <v>0.10009999999999999</v>
      </c>
      <c r="N888" s="27">
        <v>106.1279</v>
      </c>
      <c r="O888" s="27" t="s">
        <v>420</v>
      </c>
      <c r="Q888">
        <f t="shared" si="37"/>
        <v>70.27</v>
      </c>
      <c r="R888">
        <f>I888-(K888*Standards!$I$15)</f>
        <v>0</v>
      </c>
      <c r="S888">
        <f t="shared" si="35"/>
        <v>9.0399999999999994E-2</v>
      </c>
      <c r="T888" t="s">
        <v>119</v>
      </c>
    </row>
    <row r="889" spans="1:31">
      <c r="A889" s="27">
        <v>63</v>
      </c>
      <c r="B889" s="27">
        <v>0</v>
      </c>
      <c r="C889" s="27">
        <v>8.6199999999999999E-2</v>
      </c>
      <c r="D889" s="27">
        <v>35.700000000000003</v>
      </c>
      <c r="E889" s="27">
        <v>5.0000000000000001E-4</v>
      </c>
      <c r="F889" s="27">
        <v>0</v>
      </c>
      <c r="G889" s="27">
        <v>2.1499999999999998E-2</v>
      </c>
      <c r="H889" s="27">
        <v>3.28</v>
      </c>
      <c r="I889" s="27">
        <v>0</v>
      </c>
      <c r="J889" s="27">
        <v>0.66769999999999996</v>
      </c>
      <c r="K889" s="27">
        <v>0</v>
      </c>
      <c r="L889" s="27">
        <v>66.099999999999994</v>
      </c>
      <c r="M889" s="27">
        <v>0.123</v>
      </c>
      <c r="N889" s="27">
        <v>105.97880000000001</v>
      </c>
      <c r="O889" s="27" t="s">
        <v>420</v>
      </c>
      <c r="Q889">
        <f t="shared" si="37"/>
        <v>69.38</v>
      </c>
      <c r="R889">
        <f>I889-(K889*Standards!$I$15)</f>
        <v>0</v>
      </c>
      <c r="S889">
        <f t="shared" si="35"/>
        <v>8.6199999999999999E-2</v>
      </c>
      <c r="T889" t="s">
        <v>119</v>
      </c>
    </row>
    <row r="890" spans="1:31">
      <c r="A890" s="27">
        <v>64</v>
      </c>
      <c r="B890" s="27">
        <v>0</v>
      </c>
      <c r="C890" s="27">
        <v>9.2499999999999999E-2</v>
      </c>
      <c r="D890" s="27">
        <v>35.19</v>
      </c>
      <c r="E890" s="27">
        <v>5.1999999999999998E-3</v>
      </c>
      <c r="F890" s="27">
        <v>0</v>
      </c>
      <c r="G890" s="27">
        <v>2.2599999999999999E-2</v>
      </c>
      <c r="H890" s="27">
        <v>3.19</v>
      </c>
      <c r="I890" s="27">
        <v>0</v>
      </c>
      <c r="J890" s="27">
        <v>9.5799999999999996E-2</v>
      </c>
      <c r="K890" s="27">
        <v>0</v>
      </c>
      <c r="L890" s="27">
        <v>66.36</v>
      </c>
      <c r="M890" s="27">
        <v>0.112</v>
      </c>
      <c r="N890" s="27">
        <v>105.068</v>
      </c>
      <c r="O890" s="27" t="s">
        <v>420</v>
      </c>
      <c r="Q890">
        <f t="shared" si="37"/>
        <v>69.55</v>
      </c>
      <c r="R890">
        <f>I890-(K890*Standards!$I$15)</f>
        <v>0</v>
      </c>
      <c r="S890">
        <f t="shared" si="35"/>
        <v>9.2499999999999999E-2</v>
      </c>
      <c r="T890" t="s">
        <v>119</v>
      </c>
    </row>
    <row r="891" spans="1:31">
      <c r="A891" s="27">
        <v>65</v>
      </c>
      <c r="B891" s="27">
        <v>0</v>
      </c>
      <c r="C891" s="27">
        <v>0.1017</v>
      </c>
      <c r="D891" s="27">
        <v>35.14</v>
      </c>
      <c r="E891" s="27">
        <v>2.4E-2</v>
      </c>
      <c r="F891" s="27">
        <v>0</v>
      </c>
      <c r="G891" s="27">
        <v>0.13370000000000001</v>
      </c>
      <c r="H891" s="27">
        <v>4.2699999999999996</v>
      </c>
      <c r="I891" s="27">
        <v>3.0999999999999999E-3</v>
      </c>
      <c r="J891" s="27">
        <v>0</v>
      </c>
      <c r="K891" s="27">
        <v>0</v>
      </c>
      <c r="L891" s="27">
        <v>65.55</v>
      </c>
      <c r="M891" s="27">
        <v>9.1399999999999995E-2</v>
      </c>
      <c r="N891" s="27">
        <v>105.3139</v>
      </c>
      <c r="O891" s="27" t="s">
        <v>421</v>
      </c>
      <c r="Q891">
        <f t="shared" si="37"/>
        <v>69.819999999999993</v>
      </c>
      <c r="R891">
        <f>I891-(K891*Standards!$I$15)</f>
        <v>3.0999999999999999E-3</v>
      </c>
      <c r="S891">
        <f t="shared" si="35"/>
        <v>0.101545</v>
      </c>
      <c r="T891" t="s">
        <v>119</v>
      </c>
    </row>
    <row r="892" spans="1:31">
      <c r="A892" s="27">
        <v>66</v>
      </c>
      <c r="B892" s="27">
        <v>0</v>
      </c>
      <c r="C892" s="27">
        <v>8.9599999999999999E-2</v>
      </c>
      <c r="D892" s="27">
        <v>34.89</v>
      </c>
      <c r="E892" s="27">
        <v>0.29110000000000003</v>
      </c>
      <c r="F892" s="27">
        <v>0</v>
      </c>
      <c r="G892" s="27">
        <v>0.95979999999999999</v>
      </c>
      <c r="H892" s="27">
        <v>8.34</v>
      </c>
      <c r="I892" s="27">
        <v>1E-4</v>
      </c>
      <c r="J892" s="27">
        <v>0</v>
      </c>
      <c r="K892" s="27">
        <v>0</v>
      </c>
      <c r="L892" s="27">
        <v>60.16</v>
      </c>
      <c r="M892" s="27">
        <v>9.5600000000000004E-2</v>
      </c>
      <c r="N892" s="27">
        <v>104.8261</v>
      </c>
      <c r="O892" s="27" t="s">
        <v>422</v>
      </c>
      <c r="Q892">
        <f t="shared" si="37"/>
        <v>68.5</v>
      </c>
      <c r="R892">
        <f>I892-(K892*Standards!$I$15)</f>
        <v>1E-4</v>
      </c>
      <c r="S892">
        <f t="shared" si="35"/>
        <v>8.9594999999999994E-2</v>
      </c>
      <c r="T892" t="s">
        <v>191</v>
      </c>
      <c r="U892">
        <f>COUNT(Q892:Q900)</f>
        <v>9</v>
      </c>
      <c r="V892">
        <f>MAX(H892:H900)</f>
        <v>8.82</v>
      </c>
      <c r="W892">
        <f>AVERAGE(H892:H900)</f>
        <v>7.6900000000000013</v>
      </c>
      <c r="X892">
        <f>MAX(J892:J900)</f>
        <v>0.21579999999999999</v>
      </c>
      <c r="Y892">
        <f>AVERAGE(J892:J900)</f>
        <v>5.8833333333333328E-2</v>
      </c>
      <c r="Z892">
        <f>MAX(R892:R900)</f>
        <v>8.2000000000000007E-3</v>
      </c>
      <c r="AA892">
        <f>AVERAGE(R892:R900)</f>
        <v>1.6333333333333334E-3</v>
      </c>
      <c r="AB892">
        <f>MAX(G892:G900)</f>
        <v>1.07</v>
      </c>
      <c r="AC892">
        <f>AVERAGE(G892:G900)</f>
        <v>0.98042222222222231</v>
      </c>
      <c r="AD892">
        <f>MAX(S892:S900)</f>
        <v>0.1004</v>
      </c>
      <c r="AE892">
        <f>AVERAGE(S892:S900)</f>
        <v>8.6551666666666666E-2</v>
      </c>
    </row>
    <row r="893" spans="1:31">
      <c r="A893" s="27">
        <v>67</v>
      </c>
      <c r="B893" s="27">
        <v>0</v>
      </c>
      <c r="C893" s="27">
        <v>7.4399999999999994E-2</v>
      </c>
      <c r="D893" s="27">
        <v>34.76</v>
      </c>
      <c r="E893" s="27">
        <v>0.33479999999999999</v>
      </c>
      <c r="F893" s="27">
        <v>0</v>
      </c>
      <c r="G893" s="27">
        <v>1.07</v>
      </c>
      <c r="H893" s="27">
        <v>8.43</v>
      </c>
      <c r="I893" s="27">
        <v>2.2000000000000001E-3</v>
      </c>
      <c r="J893" s="27">
        <v>8.4000000000000005E-2</v>
      </c>
      <c r="K893" s="27">
        <v>0</v>
      </c>
      <c r="L893" s="27">
        <v>59.92</v>
      </c>
      <c r="M893" s="27">
        <v>9.2700000000000005E-2</v>
      </c>
      <c r="N893" s="27">
        <v>104.768</v>
      </c>
      <c r="O893" s="27" t="s">
        <v>422</v>
      </c>
      <c r="Q893">
        <f t="shared" si="37"/>
        <v>68.349999999999994</v>
      </c>
      <c r="R893">
        <f>I893-(K893*Standards!$I$15)</f>
        <v>2.2000000000000001E-3</v>
      </c>
      <c r="S893">
        <f t="shared" ref="S893:S900" si="38">C893-(I893*0.05)</f>
        <v>7.4289999999999995E-2</v>
      </c>
      <c r="T893" t="s">
        <v>191</v>
      </c>
    </row>
    <row r="894" spans="1:31">
      <c r="A894" s="27">
        <v>77</v>
      </c>
      <c r="B894" s="27">
        <v>0</v>
      </c>
      <c r="C894" s="27">
        <v>8.6400000000000005E-2</v>
      </c>
      <c r="D894" s="27">
        <v>34.81</v>
      </c>
      <c r="E894" s="27">
        <v>0.31909999999999999</v>
      </c>
      <c r="F894" s="27">
        <v>0</v>
      </c>
      <c r="G894" s="27">
        <v>1.03</v>
      </c>
      <c r="H894" s="27">
        <v>7.95</v>
      </c>
      <c r="I894" s="27">
        <v>0</v>
      </c>
      <c r="J894" s="27">
        <v>0.1051</v>
      </c>
      <c r="K894" s="27">
        <v>0</v>
      </c>
      <c r="L894" s="27">
        <v>60.58</v>
      </c>
      <c r="M894" s="27">
        <v>5.6399999999999999E-2</v>
      </c>
      <c r="N894" s="27">
        <v>104.93689999999999</v>
      </c>
      <c r="O894" s="27" t="s">
        <v>423</v>
      </c>
      <c r="Q894">
        <f t="shared" si="37"/>
        <v>68.53</v>
      </c>
      <c r="R894">
        <f>I894-(K894*Standards!$I$15)</f>
        <v>0</v>
      </c>
      <c r="S894">
        <f t="shared" si="38"/>
        <v>8.6400000000000005E-2</v>
      </c>
      <c r="T894" t="s">
        <v>191</v>
      </c>
    </row>
    <row r="895" spans="1:31">
      <c r="A895" s="27">
        <v>78</v>
      </c>
      <c r="B895" s="27">
        <v>0</v>
      </c>
      <c r="C895" s="27">
        <v>0.1004</v>
      </c>
      <c r="D895" s="27">
        <v>35.28</v>
      </c>
      <c r="E895" s="27">
        <v>0.21410000000000001</v>
      </c>
      <c r="F895" s="27">
        <v>0</v>
      </c>
      <c r="G895" s="27">
        <v>0.68700000000000006</v>
      </c>
      <c r="H895" s="27">
        <v>4.59</v>
      </c>
      <c r="I895" s="27">
        <v>0</v>
      </c>
      <c r="J895" s="27">
        <v>0</v>
      </c>
      <c r="K895" s="27">
        <v>0</v>
      </c>
      <c r="L895" s="27">
        <v>64.290000000000006</v>
      </c>
      <c r="M895" s="27">
        <v>0.10199999999999999</v>
      </c>
      <c r="N895" s="27">
        <v>105.2634</v>
      </c>
      <c r="O895" s="27" t="s">
        <v>423</v>
      </c>
      <c r="Q895">
        <f t="shared" si="37"/>
        <v>68.88000000000001</v>
      </c>
      <c r="R895">
        <f>I895-(K895*Standards!$I$15)</f>
        <v>0</v>
      </c>
      <c r="S895">
        <f t="shared" si="38"/>
        <v>0.1004</v>
      </c>
      <c r="T895" t="s">
        <v>191</v>
      </c>
    </row>
    <row r="896" spans="1:31">
      <c r="A896" s="27">
        <v>80</v>
      </c>
      <c r="B896" s="27">
        <v>0</v>
      </c>
      <c r="C896" s="27">
        <v>8.3799999999999999E-2</v>
      </c>
      <c r="D896" s="27">
        <v>35.090000000000003</v>
      </c>
      <c r="E896" s="27">
        <v>0.30470000000000003</v>
      </c>
      <c r="F896" s="27">
        <v>0</v>
      </c>
      <c r="G896" s="27">
        <v>1.02</v>
      </c>
      <c r="H896" s="27">
        <v>8.5399999999999991</v>
      </c>
      <c r="I896" s="27">
        <v>0</v>
      </c>
      <c r="J896" s="27">
        <v>2.6800000000000001E-2</v>
      </c>
      <c r="K896" s="27">
        <v>0</v>
      </c>
      <c r="L896" s="27">
        <v>59.87</v>
      </c>
      <c r="M896" s="27">
        <v>7.3999999999999996E-2</v>
      </c>
      <c r="N896" s="27">
        <v>105.00920000000001</v>
      </c>
      <c r="O896" s="27" t="s">
        <v>423</v>
      </c>
      <c r="Q896">
        <f t="shared" si="37"/>
        <v>68.41</v>
      </c>
      <c r="R896">
        <f>I896-(K896*Standards!$I$15)</f>
        <v>0</v>
      </c>
      <c r="S896">
        <f t="shared" si="38"/>
        <v>8.3799999999999999E-2</v>
      </c>
      <c r="T896" t="s">
        <v>191</v>
      </c>
    </row>
    <row r="897" spans="1:31">
      <c r="A897" s="27">
        <v>81</v>
      </c>
      <c r="B897" s="27">
        <v>0</v>
      </c>
      <c r="C897" s="27">
        <v>8.4599999999999995E-2</v>
      </c>
      <c r="D897" s="27">
        <v>35.22</v>
      </c>
      <c r="E897" s="27">
        <v>0.30399999999999999</v>
      </c>
      <c r="F897" s="27">
        <v>0</v>
      </c>
      <c r="G897" s="27">
        <v>0.9698</v>
      </c>
      <c r="H897" s="27">
        <v>8.82</v>
      </c>
      <c r="I897" s="27">
        <v>8.2000000000000007E-3</v>
      </c>
      <c r="J897" s="27">
        <v>8.2000000000000007E-3</v>
      </c>
      <c r="K897" s="27">
        <v>0</v>
      </c>
      <c r="L897" s="27">
        <v>59.52</v>
      </c>
      <c r="M897" s="27">
        <v>9.4700000000000006E-2</v>
      </c>
      <c r="N897" s="27">
        <v>105.0294</v>
      </c>
      <c r="O897" s="27" t="s">
        <v>423</v>
      </c>
      <c r="Q897">
        <f t="shared" si="37"/>
        <v>68.34</v>
      </c>
      <c r="R897">
        <f>I897-(K897*Standards!$I$15)</f>
        <v>8.2000000000000007E-3</v>
      </c>
      <c r="S897">
        <f t="shared" si="38"/>
        <v>8.4190000000000001E-2</v>
      </c>
      <c r="T897" t="s">
        <v>191</v>
      </c>
    </row>
    <row r="898" spans="1:31">
      <c r="A898" s="27">
        <v>82</v>
      </c>
      <c r="B898" s="27">
        <v>0</v>
      </c>
      <c r="C898" s="27">
        <v>8.4599999999999995E-2</v>
      </c>
      <c r="D898" s="27">
        <v>35.15</v>
      </c>
      <c r="E898" s="27">
        <v>0.27910000000000001</v>
      </c>
      <c r="F898" s="27">
        <v>0</v>
      </c>
      <c r="G898" s="27">
        <v>0.95720000000000005</v>
      </c>
      <c r="H898" s="27">
        <v>8.41</v>
      </c>
      <c r="I898" s="27">
        <v>4.1999999999999997E-3</v>
      </c>
      <c r="J898" s="27">
        <v>0</v>
      </c>
      <c r="K898" s="27">
        <v>0</v>
      </c>
      <c r="L898" s="27">
        <v>60.24</v>
      </c>
      <c r="M898" s="27">
        <v>0.1011</v>
      </c>
      <c r="N898" s="27">
        <v>105.2261</v>
      </c>
      <c r="O898" s="27" t="s">
        <v>423</v>
      </c>
      <c r="Q898">
        <f t="shared" si="37"/>
        <v>68.650000000000006</v>
      </c>
      <c r="R898">
        <f>I898-(K898*Standards!$I$15)</f>
        <v>4.1999999999999997E-3</v>
      </c>
      <c r="S898">
        <f t="shared" si="38"/>
        <v>8.4389999999999993E-2</v>
      </c>
      <c r="T898" t="s">
        <v>191</v>
      </c>
    </row>
    <row r="899" spans="1:31">
      <c r="A899" s="27">
        <v>83</v>
      </c>
      <c r="B899" s="27">
        <v>0</v>
      </c>
      <c r="C899" s="27">
        <v>9.3399999999999997E-2</v>
      </c>
      <c r="D899" s="27">
        <v>34.979999999999997</v>
      </c>
      <c r="E899" s="27">
        <v>0.32550000000000001</v>
      </c>
      <c r="F899" s="27">
        <v>0</v>
      </c>
      <c r="G899" s="27">
        <v>1.06</v>
      </c>
      <c r="H899" s="27">
        <v>7.06</v>
      </c>
      <c r="I899" s="27">
        <v>0</v>
      </c>
      <c r="J899" s="27">
        <v>0.21579999999999999</v>
      </c>
      <c r="K899" s="27">
        <v>0</v>
      </c>
      <c r="L899" s="27">
        <v>61.32</v>
      </c>
      <c r="M899" s="27">
        <v>8.72E-2</v>
      </c>
      <c r="N899" s="27">
        <v>105.1418</v>
      </c>
      <c r="O899" s="27" t="s">
        <v>423</v>
      </c>
      <c r="Q899">
        <f t="shared" si="37"/>
        <v>68.38</v>
      </c>
      <c r="R899">
        <f>I899-(K899*Standards!$I$15)</f>
        <v>0</v>
      </c>
      <c r="S899">
        <f t="shared" si="38"/>
        <v>9.3399999999999997E-2</v>
      </c>
      <c r="T899" t="s">
        <v>191</v>
      </c>
    </row>
    <row r="900" spans="1:31">
      <c r="A900" s="27">
        <v>84</v>
      </c>
      <c r="B900" s="27">
        <v>0</v>
      </c>
      <c r="C900" s="27">
        <v>8.2500000000000004E-2</v>
      </c>
      <c r="D900" s="27">
        <v>34.78</v>
      </c>
      <c r="E900" s="27">
        <v>0.32019999999999998</v>
      </c>
      <c r="F900" s="27">
        <v>0</v>
      </c>
      <c r="G900" s="27">
        <v>1.07</v>
      </c>
      <c r="H900" s="27">
        <v>7.07</v>
      </c>
      <c r="I900" s="27">
        <v>0</v>
      </c>
      <c r="J900" s="27">
        <v>8.9599999999999999E-2</v>
      </c>
      <c r="K900" s="27">
        <v>0</v>
      </c>
      <c r="L900" s="27">
        <v>60.81</v>
      </c>
      <c r="M900" s="27">
        <v>0.106</v>
      </c>
      <c r="N900" s="27">
        <v>104.3283</v>
      </c>
      <c r="O900" s="27" t="s">
        <v>423</v>
      </c>
      <c r="Q900">
        <f t="shared" si="37"/>
        <v>67.88</v>
      </c>
      <c r="R900">
        <f>I900-(K900*Standards!$I$15)</f>
        <v>0</v>
      </c>
      <c r="S900">
        <f t="shared" si="38"/>
        <v>8.2500000000000004E-2</v>
      </c>
      <c r="T900" t="s">
        <v>191</v>
      </c>
    </row>
    <row r="901" spans="1:31">
      <c r="A901" s="27">
        <v>2</v>
      </c>
      <c r="B901" s="27">
        <v>0</v>
      </c>
      <c r="C901" s="27">
        <v>0.107</v>
      </c>
      <c r="D901" s="27">
        <v>33.6</v>
      </c>
      <c r="E901" s="27">
        <v>4.3799999999999999E-2</v>
      </c>
      <c r="F901" s="27">
        <v>0</v>
      </c>
      <c r="G901" s="27">
        <v>0.22700000000000001</v>
      </c>
      <c r="H901" s="27">
        <v>4.4000000000000004</v>
      </c>
      <c r="I901" s="27">
        <v>2.6700000000000002E-2</v>
      </c>
      <c r="J901" s="27">
        <v>0.87380000000000002</v>
      </c>
      <c r="K901" s="27">
        <v>0</v>
      </c>
      <c r="L901" s="27">
        <v>63.01</v>
      </c>
      <c r="M901" s="27">
        <v>7.0800000000000002E-2</v>
      </c>
      <c r="N901" s="27">
        <v>102.35899999999999</v>
      </c>
      <c r="O901" s="27" t="s">
        <v>424</v>
      </c>
      <c r="Q901">
        <f t="shared" ref="Q901:Q910" si="39">H901+L901</f>
        <v>67.41</v>
      </c>
      <c r="R901">
        <f>I901-(K901*Standards!$I$15)</f>
        <v>2.6700000000000002E-2</v>
      </c>
      <c r="S901">
        <f t="shared" ref="S901:S910" si="40">C901-(I901*0.05)</f>
        <v>0.105665</v>
      </c>
      <c r="T901" t="s">
        <v>121</v>
      </c>
      <c r="U901">
        <f>COUNT(Q901:Q910)</f>
        <v>10</v>
      </c>
      <c r="V901">
        <f>MAX(H901:H910)</f>
        <v>5.29</v>
      </c>
      <c r="W901">
        <f>AVERAGE(H901:H910)</f>
        <v>3.9740000000000002</v>
      </c>
      <c r="X901">
        <f>MAX(J901:J910)</f>
        <v>0.87380000000000002</v>
      </c>
      <c r="Y901">
        <f>AVERAGE(J901:J910)</f>
        <v>0.55064000000000002</v>
      </c>
      <c r="Z901">
        <f>MAX(R901:R910)</f>
        <v>0.13109999999999999</v>
      </c>
      <c r="AA901">
        <f>AVERAGE(R901:R910)</f>
        <v>5.4140000000000001E-2</v>
      </c>
      <c r="AB901">
        <f>MAX(G901:G910)</f>
        <v>0.26279999999999998</v>
      </c>
      <c r="AC901">
        <f>AVERAGE(G901:G910)</f>
        <v>0.24020999999999998</v>
      </c>
      <c r="AD901">
        <f>MAX(S901:S910)</f>
        <v>0.10643</v>
      </c>
      <c r="AE901">
        <f>AVERAGE(S901:S910)</f>
        <v>9.6502999999999992E-2</v>
      </c>
    </row>
    <row r="902" spans="1:31">
      <c r="A902" s="27">
        <v>3</v>
      </c>
      <c r="B902" s="27">
        <v>0</v>
      </c>
      <c r="C902" s="27">
        <v>0.10929999999999999</v>
      </c>
      <c r="D902" s="27">
        <v>33.83</v>
      </c>
      <c r="E902" s="27">
        <v>5.1999999999999998E-2</v>
      </c>
      <c r="F902" s="27">
        <v>0</v>
      </c>
      <c r="G902" s="27">
        <v>0.2324</v>
      </c>
      <c r="H902" s="27">
        <v>3.86</v>
      </c>
      <c r="I902" s="27">
        <v>8.2199999999999995E-2</v>
      </c>
      <c r="J902" s="27">
        <v>0.52500000000000002</v>
      </c>
      <c r="K902" s="27">
        <v>0</v>
      </c>
      <c r="L902" s="27">
        <v>64.150000000000006</v>
      </c>
      <c r="M902" s="27">
        <v>0.1062</v>
      </c>
      <c r="N902" s="27">
        <v>102.947</v>
      </c>
      <c r="O902" s="27" t="s">
        <v>424</v>
      </c>
      <c r="Q902">
        <f t="shared" si="39"/>
        <v>68.010000000000005</v>
      </c>
      <c r="R902">
        <f>I902-(K902*Standards!$I$15)</f>
        <v>8.2199999999999995E-2</v>
      </c>
      <c r="S902">
        <f t="shared" si="40"/>
        <v>0.10518999999999999</v>
      </c>
      <c r="T902" t="s">
        <v>121</v>
      </c>
    </row>
    <row r="903" spans="1:31">
      <c r="A903" s="27">
        <v>4</v>
      </c>
      <c r="B903" s="27">
        <v>0</v>
      </c>
      <c r="C903" s="27">
        <v>0.1047</v>
      </c>
      <c r="D903" s="27">
        <v>34.03</v>
      </c>
      <c r="E903" s="27">
        <v>5.0999999999999997E-2</v>
      </c>
      <c r="F903" s="27">
        <v>0</v>
      </c>
      <c r="G903" s="27">
        <v>0.23649999999999999</v>
      </c>
      <c r="H903" s="27">
        <v>3.12</v>
      </c>
      <c r="I903" s="27">
        <v>3.2099999999999997E-2</v>
      </c>
      <c r="J903" s="27">
        <v>0.4073</v>
      </c>
      <c r="K903" s="27">
        <v>0</v>
      </c>
      <c r="L903" s="27">
        <v>65.760000000000005</v>
      </c>
      <c r="M903" s="27">
        <v>7.8200000000000006E-2</v>
      </c>
      <c r="N903" s="27">
        <v>103.8197</v>
      </c>
      <c r="O903" s="27" t="s">
        <v>424</v>
      </c>
      <c r="Q903">
        <f t="shared" si="39"/>
        <v>68.88000000000001</v>
      </c>
      <c r="R903">
        <f>I903-(K903*Standards!$I$15)</f>
        <v>3.2099999999999997E-2</v>
      </c>
      <c r="S903">
        <f t="shared" si="40"/>
        <v>0.10309500000000001</v>
      </c>
      <c r="T903" t="s">
        <v>121</v>
      </c>
    </row>
    <row r="904" spans="1:31">
      <c r="A904" s="27">
        <v>5</v>
      </c>
      <c r="B904" s="27">
        <v>0</v>
      </c>
      <c r="C904" s="27">
        <v>0.1089</v>
      </c>
      <c r="D904" s="27">
        <v>33.92</v>
      </c>
      <c r="E904" s="27">
        <v>6.6799999999999998E-2</v>
      </c>
      <c r="F904" s="27">
        <v>0</v>
      </c>
      <c r="G904" s="27">
        <v>0.26279999999999998</v>
      </c>
      <c r="H904" s="27">
        <v>3.97</v>
      </c>
      <c r="I904" s="27">
        <v>4.9399999999999999E-2</v>
      </c>
      <c r="J904" s="27">
        <v>0.51919999999999999</v>
      </c>
      <c r="K904" s="27">
        <v>0</v>
      </c>
      <c r="L904" s="27">
        <v>64.78</v>
      </c>
      <c r="M904" s="27">
        <v>6.6900000000000001E-2</v>
      </c>
      <c r="N904" s="27">
        <v>103.7439</v>
      </c>
      <c r="O904" s="27" t="s">
        <v>424</v>
      </c>
      <c r="Q904">
        <f t="shared" si="39"/>
        <v>68.75</v>
      </c>
      <c r="R904">
        <f>I904-(K904*Standards!$I$15)</f>
        <v>4.9399999999999999E-2</v>
      </c>
      <c r="S904">
        <f t="shared" si="40"/>
        <v>0.10643</v>
      </c>
      <c r="T904" t="s">
        <v>121</v>
      </c>
    </row>
    <row r="905" spans="1:31">
      <c r="A905" s="27">
        <v>10</v>
      </c>
      <c r="B905" s="27">
        <v>0</v>
      </c>
      <c r="C905" s="27">
        <v>8.5199999999999998E-2</v>
      </c>
      <c r="D905" s="27">
        <v>33.89</v>
      </c>
      <c r="E905" s="27">
        <v>4.9700000000000001E-2</v>
      </c>
      <c r="F905" s="27">
        <v>0</v>
      </c>
      <c r="G905" s="27">
        <v>0.245</v>
      </c>
      <c r="H905" s="27">
        <v>3.56</v>
      </c>
      <c r="I905" s="27">
        <v>0.13109999999999999</v>
      </c>
      <c r="J905" s="27">
        <v>0.77759999999999996</v>
      </c>
      <c r="K905" s="27">
        <v>0</v>
      </c>
      <c r="L905" s="27">
        <v>64.98</v>
      </c>
      <c r="M905" s="27">
        <v>9.9199999999999997E-2</v>
      </c>
      <c r="N905" s="27">
        <v>103.81780000000001</v>
      </c>
      <c r="O905" s="27" t="s">
        <v>424</v>
      </c>
      <c r="Q905">
        <f t="shared" si="39"/>
        <v>68.540000000000006</v>
      </c>
      <c r="R905">
        <f>I905-(K905*Standards!$I$15)</f>
        <v>0.13109999999999999</v>
      </c>
      <c r="S905">
        <f t="shared" si="40"/>
        <v>7.8644999999999993E-2</v>
      </c>
      <c r="T905" t="s">
        <v>121</v>
      </c>
    </row>
    <row r="906" spans="1:31">
      <c r="A906" s="27">
        <v>13</v>
      </c>
      <c r="B906" s="27">
        <v>0</v>
      </c>
      <c r="C906" s="27">
        <v>9.1700000000000004E-2</v>
      </c>
      <c r="D906" s="27">
        <v>34.020000000000003</v>
      </c>
      <c r="E906" s="27">
        <v>5.6800000000000003E-2</v>
      </c>
      <c r="F906" s="27">
        <v>0</v>
      </c>
      <c r="G906" s="27">
        <v>0.25080000000000002</v>
      </c>
      <c r="H906" s="27">
        <v>2.96</v>
      </c>
      <c r="I906" s="27">
        <v>4.2500000000000003E-2</v>
      </c>
      <c r="J906" s="27">
        <v>0.1681</v>
      </c>
      <c r="K906" s="27">
        <v>0</v>
      </c>
      <c r="L906" s="27">
        <v>65.73</v>
      </c>
      <c r="M906" s="27">
        <v>0.1085</v>
      </c>
      <c r="N906" s="27">
        <v>103.4284</v>
      </c>
      <c r="O906" s="27" t="s">
        <v>424</v>
      </c>
      <c r="Q906">
        <f t="shared" si="39"/>
        <v>68.69</v>
      </c>
      <c r="R906">
        <f>I906-(K906*Standards!$I$15)</f>
        <v>4.2500000000000003E-2</v>
      </c>
      <c r="S906">
        <f t="shared" si="40"/>
        <v>8.9575000000000002E-2</v>
      </c>
      <c r="T906" t="s">
        <v>121</v>
      </c>
    </row>
    <row r="907" spans="1:31">
      <c r="A907" s="27">
        <v>14</v>
      </c>
      <c r="B907" s="27">
        <v>0</v>
      </c>
      <c r="C907" s="27">
        <v>9.74E-2</v>
      </c>
      <c r="D907" s="27">
        <v>33.67</v>
      </c>
      <c r="E907" s="27">
        <v>5.8400000000000001E-2</v>
      </c>
      <c r="F907" s="27">
        <v>0</v>
      </c>
      <c r="G907" s="27">
        <v>0.24529999999999999</v>
      </c>
      <c r="H907" s="27">
        <v>4.5999999999999996</v>
      </c>
      <c r="I907" s="27">
        <v>5.91E-2</v>
      </c>
      <c r="J907" s="27">
        <v>0.5423</v>
      </c>
      <c r="K907" s="27">
        <v>0</v>
      </c>
      <c r="L907" s="27">
        <v>64.05</v>
      </c>
      <c r="M907" s="27">
        <v>0.1234</v>
      </c>
      <c r="N907" s="27">
        <v>103.44589999999999</v>
      </c>
      <c r="O907" s="27" t="s">
        <v>424</v>
      </c>
      <c r="Q907">
        <f t="shared" si="39"/>
        <v>68.649999999999991</v>
      </c>
      <c r="R907">
        <f>I907-(K907*Standards!$I$15)</f>
        <v>5.91E-2</v>
      </c>
      <c r="S907">
        <f t="shared" si="40"/>
        <v>9.4445000000000001E-2</v>
      </c>
      <c r="T907" t="s">
        <v>121</v>
      </c>
    </row>
    <row r="908" spans="1:31">
      <c r="A908" s="27">
        <v>16</v>
      </c>
      <c r="B908" s="27">
        <v>0</v>
      </c>
      <c r="C908" s="27">
        <v>0.1008</v>
      </c>
      <c r="D908" s="27">
        <v>33.950000000000003</v>
      </c>
      <c r="E908" s="27">
        <v>7.7100000000000002E-2</v>
      </c>
      <c r="F908" s="27">
        <v>4.0000000000000002E-4</v>
      </c>
      <c r="G908" s="27">
        <v>0.21970000000000001</v>
      </c>
      <c r="H908" s="27">
        <v>4.8</v>
      </c>
      <c r="I908" s="27">
        <v>5.3800000000000001E-2</v>
      </c>
      <c r="J908" s="27">
        <v>0.86309999999999998</v>
      </c>
      <c r="K908" s="27">
        <v>0</v>
      </c>
      <c r="L908" s="27">
        <v>64.319999999999993</v>
      </c>
      <c r="M908" s="27">
        <v>0.10349999999999999</v>
      </c>
      <c r="N908" s="27">
        <v>104.4883</v>
      </c>
      <c r="O908" s="27" t="s">
        <v>424</v>
      </c>
      <c r="Q908">
        <f t="shared" si="39"/>
        <v>69.11999999999999</v>
      </c>
      <c r="R908">
        <f>I908-(K908*Standards!$I$15)</f>
        <v>5.3800000000000001E-2</v>
      </c>
      <c r="S908">
        <f t="shared" si="40"/>
        <v>9.8110000000000003E-2</v>
      </c>
      <c r="T908" t="s">
        <v>121</v>
      </c>
    </row>
    <row r="909" spans="1:31">
      <c r="A909" s="27">
        <v>17</v>
      </c>
      <c r="B909" s="27">
        <v>0</v>
      </c>
      <c r="C909" s="27">
        <v>9.5799999999999996E-2</v>
      </c>
      <c r="D909" s="27">
        <v>34.03</v>
      </c>
      <c r="E909" s="27">
        <v>6.4899999999999999E-2</v>
      </c>
      <c r="F909" s="27">
        <v>1.37E-2</v>
      </c>
      <c r="G909" s="27">
        <v>0.2379</v>
      </c>
      <c r="H909" s="27">
        <v>3.18</v>
      </c>
      <c r="I909" s="27">
        <v>4.5100000000000001E-2</v>
      </c>
      <c r="J909" s="27">
        <v>0.43159999999999998</v>
      </c>
      <c r="K909" s="27">
        <v>0</v>
      </c>
      <c r="L909" s="27">
        <v>65.78</v>
      </c>
      <c r="M909" s="27">
        <v>0.1143</v>
      </c>
      <c r="N909" s="27">
        <v>103.9932</v>
      </c>
      <c r="O909" s="27" t="s">
        <v>424</v>
      </c>
      <c r="Q909">
        <f t="shared" si="39"/>
        <v>68.960000000000008</v>
      </c>
      <c r="R909">
        <f>I909-(K909*Standards!$I$15)</f>
        <v>4.5100000000000001E-2</v>
      </c>
      <c r="S909">
        <f t="shared" si="40"/>
        <v>9.3544999999999989E-2</v>
      </c>
      <c r="T909" t="s">
        <v>121</v>
      </c>
    </row>
    <row r="910" spans="1:31">
      <c r="A910" s="27">
        <v>18</v>
      </c>
      <c r="B910" s="27">
        <v>0</v>
      </c>
      <c r="C910" s="27">
        <v>9.1300000000000006E-2</v>
      </c>
      <c r="D910" s="27">
        <v>33.729999999999997</v>
      </c>
      <c r="E910" s="27">
        <v>6.3799999999999996E-2</v>
      </c>
      <c r="F910" s="27">
        <v>0</v>
      </c>
      <c r="G910" s="27">
        <v>0.2447</v>
      </c>
      <c r="H910" s="27">
        <v>5.29</v>
      </c>
      <c r="I910" s="27">
        <v>1.9400000000000001E-2</v>
      </c>
      <c r="J910" s="27">
        <v>0.39839999999999998</v>
      </c>
      <c r="K910" s="27">
        <v>0</v>
      </c>
      <c r="L910" s="27">
        <v>62.57</v>
      </c>
      <c r="M910" s="27">
        <v>9.4899999999999998E-2</v>
      </c>
      <c r="N910" s="27">
        <v>102.50239999999999</v>
      </c>
      <c r="O910" s="27" t="s">
        <v>424</v>
      </c>
      <c r="Q910">
        <f t="shared" si="39"/>
        <v>67.86</v>
      </c>
      <c r="R910">
        <f>I910-(K910*Standards!$I$15)</f>
        <v>1.9400000000000001E-2</v>
      </c>
      <c r="S910">
        <f t="shared" si="40"/>
        <v>9.0330000000000008E-2</v>
      </c>
      <c r="T910" t="s">
        <v>121</v>
      </c>
    </row>
    <row r="911" spans="1:31">
      <c r="A911" s="27">
        <v>23</v>
      </c>
      <c r="B911" s="27">
        <v>0</v>
      </c>
      <c r="C911" s="27">
        <v>7.7399999999999997E-2</v>
      </c>
      <c r="D911" s="27">
        <v>33.9</v>
      </c>
      <c r="E911" s="27">
        <v>0.34329999999999999</v>
      </c>
      <c r="F911" s="27">
        <v>0</v>
      </c>
      <c r="G911" s="27">
        <v>1.1599999999999999</v>
      </c>
      <c r="H911" s="27">
        <v>1.46</v>
      </c>
      <c r="I911" s="27">
        <v>1.5E-3</v>
      </c>
      <c r="J911" s="27">
        <v>2.3099999999999999E-2</v>
      </c>
      <c r="K911" s="27">
        <v>0</v>
      </c>
      <c r="L911" s="27">
        <v>68.36</v>
      </c>
      <c r="M911" s="27">
        <v>6.6500000000000004E-2</v>
      </c>
      <c r="N911" s="27">
        <v>105.3917</v>
      </c>
      <c r="O911" s="27" t="s">
        <v>425</v>
      </c>
      <c r="Q911">
        <f t="shared" ref="Q911:Q928" si="41">H911+L911</f>
        <v>69.819999999999993</v>
      </c>
      <c r="R911">
        <f>I911-(K911*Standards!$I$15)</f>
        <v>1.5E-3</v>
      </c>
      <c r="S911">
        <f t="shared" ref="S911:S928" si="42">C911-(I911*0.05)</f>
        <v>7.7324999999999991E-2</v>
      </c>
      <c r="T911" t="s">
        <v>426</v>
      </c>
      <c r="U911">
        <f>COUNT(Q911:Q928)</f>
        <v>18</v>
      </c>
      <c r="V911">
        <f>MAX(H911:H928)</f>
        <v>2.86</v>
      </c>
      <c r="W911">
        <f>AVERAGE(H911:H928)</f>
        <v>1.5422666666666669</v>
      </c>
      <c r="X911">
        <f>MAX(J911:J928)</f>
        <v>2.3099999999999999E-2</v>
      </c>
      <c r="Y911">
        <f>AVERAGE(J911:J928)</f>
        <v>1.4499999999999999E-3</v>
      </c>
      <c r="Z911">
        <f>MAX(R911:R928)</f>
        <v>2.4199999999999999E-2</v>
      </c>
      <c r="AA911">
        <f>AVERAGE(R911:R928)</f>
        <v>8.6222222222222221E-3</v>
      </c>
      <c r="AB911">
        <f>MAX(G911:G928)</f>
        <v>1.39</v>
      </c>
      <c r="AC911">
        <f>AVERAGE(G911:G928)</f>
        <v>1.1555555555555554</v>
      </c>
      <c r="AD911">
        <f>MAX(S911:S928)</f>
        <v>0.10827500000000001</v>
      </c>
      <c r="AE911">
        <f>AVERAGE(S911:S928)</f>
        <v>8.7813333333333313E-2</v>
      </c>
    </row>
    <row r="912" spans="1:31">
      <c r="A912" s="27">
        <v>24</v>
      </c>
      <c r="B912" s="27">
        <v>0</v>
      </c>
      <c r="C912" s="27">
        <v>9.2100000000000001E-2</v>
      </c>
      <c r="D912" s="27">
        <v>34.049999999999997</v>
      </c>
      <c r="E912" s="27">
        <v>0.35099999999999998</v>
      </c>
      <c r="F912" s="27">
        <v>0</v>
      </c>
      <c r="G912" s="27">
        <v>1.1599999999999999</v>
      </c>
      <c r="H912" s="27">
        <v>1.47</v>
      </c>
      <c r="I912" s="27">
        <v>3.3E-3</v>
      </c>
      <c r="J912" s="27">
        <v>0</v>
      </c>
      <c r="K912" s="27">
        <v>0</v>
      </c>
      <c r="L912" s="27">
        <v>68.53</v>
      </c>
      <c r="M912" s="27">
        <v>5.5399999999999998E-2</v>
      </c>
      <c r="N912" s="27">
        <v>105.71169999999999</v>
      </c>
      <c r="O912" s="27" t="s">
        <v>425</v>
      </c>
      <c r="Q912">
        <f t="shared" si="41"/>
        <v>70</v>
      </c>
      <c r="R912">
        <f>I912-(K912*Standards!$I$15)</f>
        <v>3.3E-3</v>
      </c>
      <c r="S912">
        <f t="shared" si="42"/>
        <v>9.1935000000000003E-2</v>
      </c>
      <c r="T912" t="s">
        <v>426</v>
      </c>
    </row>
    <row r="913" spans="1:20">
      <c r="A913" s="27">
        <v>25</v>
      </c>
      <c r="B913" s="27">
        <v>0</v>
      </c>
      <c r="C913" s="27">
        <v>8.4099999999999994E-2</v>
      </c>
      <c r="D913" s="27">
        <v>33.89</v>
      </c>
      <c r="E913" s="27">
        <v>0.36959999999999998</v>
      </c>
      <c r="F913" s="27">
        <v>3.0999999999999999E-3</v>
      </c>
      <c r="G913" s="27">
        <v>1.1499999999999999</v>
      </c>
      <c r="H913" s="27">
        <v>1.3</v>
      </c>
      <c r="I913" s="27">
        <v>4.4000000000000003E-3</v>
      </c>
      <c r="J913" s="27">
        <v>0</v>
      </c>
      <c r="K913" s="27">
        <v>0</v>
      </c>
      <c r="L913" s="27">
        <v>67.92</v>
      </c>
      <c r="M913" s="27">
        <v>7.1199999999999999E-2</v>
      </c>
      <c r="N913" s="27">
        <v>104.7923</v>
      </c>
      <c r="O913" s="27" t="s">
        <v>425</v>
      </c>
      <c r="Q913">
        <f t="shared" si="41"/>
        <v>69.22</v>
      </c>
      <c r="R913">
        <f>I913-(K913*Standards!$I$15)</f>
        <v>4.4000000000000003E-3</v>
      </c>
      <c r="S913">
        <f t="shared" si="42"/>
        <v>8.3879999999999996E-2</v>
      </c>
      <c r="T913" t="s">
        <v>426</v>
      </c>
    </row>
    <row r="914" spans="1:20">
      <c r="A914" s="27">
        <v>26</v>
      </c>
      <c r="B914" s="27">
        <v>0</v>
      </c>
      <c r="C914" s="27">
        <v>7.8200000000000006E-2</v>
      </c>
      <c r="D914" s="27">
        <v>34.19</v>
      </c>
      <c r="E914" s="27">
        <v>0.33710000000000001</v>
      </c>
      <c r="F914" s="27">
        <v>0</v>
      </c>
      <c r="G914" s="27">
        <v>1.1200000000000001</v>
      </c>
      <c r="H914" s="27">
        <v>1.84</v>
      </c>
      <c r="I914" s="27">
        <v>9.4999999999999998E-3</v>
      </c>
      <c r="J914" s="27">
        <v>0</v>
      </c>
      <c r="K914" s="27">
        <v>0</v>
      </c>
      <c r="L914" s="27">
        <v>68.08</v>
      </c>
      <c r="M914" s="27">
        <v>7.0699999999999999E-2</v>
      </c>
      <c r="N914" s="27">
        <v>105.72539999999999</v>
      </c>
      <c r="O914" s="27" t="s">
        <v>425</v>
      </c>
      <c r="Q914">
        <f t="shared" si="41"/>
        <v>69.92</v>
      </c>
      <c r="R914">
        <f>I914-(K914*Standards!$I$15)</f>
        <v>9.4999999999999998E-3</v>
      </c>
      <c r="S914">
        <f t="shared" si="42"/>
        <v>7.7725000000000002E-2</v>
      </c>
      <c r="T914" t="s">
        <v>426</v>
      </c>
    </row>
    <row r="915" spans="1:20">
      <c r="A915" s="27">
        <v>27</v>
      </c>
      <c r="B915" s="27">
        <v>0</v>
      </c>
      <c r="C915" s="27">
        <v>9.8100000000000007E-2</v>
      </c>
      <c r="D915" s="27">
        <v>33.35</v>
      </c>
      <c r="E915" s="27">
        <v>0.31659999999999999</v>
      </c>
      <c r="F915" s="27">
        <v>3.5999999999999999E-3</v>
      </c>
      <c r="G915" s="27">
        <v>1.1100000000000001</v>
      </c>
      <c r="H915" s="27">
        <v>1.77</v>
      </c>
      <c r="I915" s="27">
        <v>2.4199999999999999E-2</v>
      </c>
      <c r="J915" s="27">
        <v>0</v>
      </c>
      <c r="K915" s="27">
        <v>0</v>
      </c>
      <c r="L915" s="27">
        <v>66.849999999999994</v>
      </c>
      <c r="M915" s="27">
        <v>6.1600000000000002E-2</v>
      </c>
      <c r="N915" s="27">
        <v>103.584</v>
      </c>
      <c r="O915" s="27" t="s">
        <v>425</v>
      </c>
      <c r="Q915">
        <f t="shared" si="41"/>
        <v>68.61999999999999</v>
      </c>
      <c r="R915">
        <f>I915-(K915*Standards!$I$15)</f>
        <v>2.4199999999999999E-2</v>
      </c>
      <c r="S915">
        <f t="shared" si="42"/>
        <v>9.6890000000000004E-2</v>
      </c>
      <c r="T915" t="s">
        <v>426</v>
      </c>
    </row>
    <row r="916" spans="1:20">
      <c r="A916" s="27">
        <v>28</v>
      </c>
      <c r="B916" s="27">
        <v>0</v>
      </c>
      <c r="C916" s="27">
        <v>8.8400000000000006E-2</v>
      </c>
      <c r="D916" s="27">
        <v>34.200000000000003</v>
      </c>
      <c r="E916" s="27">
        <v>0.32979999999999998</v>
      </c>
      <c r="F916" s="27">
        <v>0</v>
      </c>
      <c r="G916" s="27">
        <v>1.1299999999999999</v>
      </c>
      <c r="H916" s="27">
        <v>1.76</v>
      </c>
      <c r="I916" s="27">
        <v>1.6000000000000001E-3</v>
      </c>
      <c r="J916" s="27">
        <v>3.0000000000000001E-3</v>
      </c>
      <c r="K916" s="27">
        <v>0</v>
      </c>
      <c r="L916" s="27">
        <v>68.17</v>
      </c>
      <c r="M916" s="27">
        <v>4.6699999999999998E-2</v>
      </c>
      <c r="N916" s="27">
        <v>105.7294</v>
      </c>
      <c r="O916" s="27" t="s">
        <v>425</v>
      </c>
      <c r="Q916">
        <f t="shared" si="41"/>
        <v>69.930000000000007</v>
      </c>
      <c r="R916">
        <f>I916-(K916*Standards!$I$15)</f>
        <v>1.6000000000000001E-3</v>
      </c>
      <c r="S916">
        <f t="shared" si="42"/>
        <v>8.832000000000001E-2</v>
      </c>
      <c r="T916" t="s">
        <v>426</v>
      </c>
    </row>
    <row r="917" spans="1:20">
      <c r="A917" s="27">
        <v>29</v>
      </c>
      <c r="B917" s="27">
        <v>0</v>
      </c>
      <c r="C917" s="27">
        <v>9.6500000000000002E-2</v>
      </c>
      <c r="D917" s="27">
        <v>33.68</v>
      </c>
      <c r="E917" s="27">
        <v>0.32440000000000002</v>
      </c>
      <c r="F917" s="27">
        <v>0</v>
      </c>
      <c r="G917" s="27">
        <v>1.1299999999999999</v>
      </c>
      <c r="H917" s="27">
        <v>1.37</v>
      </c>
      <c r="I917" s="27">
        <v>1E-3</v>
      </c>
      <c r="J917" s="27">
        <v>0</v>
      </c>
      <c r="K917" s="27">
        <v>0</v>
      </c>
      <c r="L917" s="27">
        <v>68.599999999999994</v>
      </c>
      <c r="M917" s="27">
        <v>8.5599999999999996E-2</v>
      </c>
      <c r="N917" s="27">
        <v>105.28749999999999</v>
      </c>
      <c r="O917" s="27" t="s">
        <v>425</v>
      </c>
      <c r="Q917">
        <f t="shared" si="41"/>
        <v>69.97</v>
      </c>
      <c r="R917">
        <f>I917-(K917*Standards!$I$15)</f>
        <v>1E-3</v>
      </c>
      <c r="S917">
        <f t="shared" si="42"/>
        <v>9.6450000000000008E-2</v>
      </c>
      <c r="T917" t="s">
        <v>426</v>
      </c>
    </row>
    <row r="918" spans="1:20">
      <c r="A918" s="27">
        <v>30</v>
      </c>
      <c r="B918" s="27">
        <v>0</v>
      </c>
      <c r="C918" s="27">
        <v>9.9299999999999999E-2</v>
      </c>
      <c r="D918" s="27">
        <v>33.82</v>
      </c>
      <c r="E918" s="27">
        <v>0.3427</v>
      </c>
      <c r="F918" s="27">
        <v>0</v>
      </c>
      <c r="G918" s="27">
        <v>1.1499999999999999</v>
      </c>
      <c r="H918" s="27">
        <v>1.71</v>
      </c>
      <c r="I918" s="27">
        <v>1.1000000000000001E-3</v>
      </c>
      <c r="J918" s="27">
        <v>0</v>
      </c>
      <c r="K918" s="27">
        <v>0</v>
      </c>
      <c r="L918" s="27">
        <v>68.400000000000006</v>
      </c>
      <c r="M918" s="27">
        <v>6.4600000000000005E-2</v>
      </c>
      <c r="N918" s="27">
        <v>105.5877</v>
      </c>
      <c r="O918" s="27" t="s">
        <v>425</v>
      </c>
      <c r="Q918">
        <f t="shared" si="41"/>
        <v>70.11</v>
      </c>
      <c r="R918">
        <f>I918-(K918*Standards!$I$15)</f>
        <v>1.1000000000000001E-3</v>
      </c>
      <c r="S918">
        <f t="shared" si="42"/>
        <v>9.9245E-2</v>
      </c>
      <c r="T918" t="s">
        <v>426</v>
      </c>
    </row>
    <row r="919" spans="1:20">
      <c r="A919" s="27">
        <v>31</v>
      </c>
      <c r="B919" s="27">
        <v>0</v>
      </c>
      <c r="C919" s="27">
        <v>8.1500000000000003E-2</v>
      </c>
      <c r="D919" s="27">
        <v>33.9</v>
      </c>
      <c r="E919" s="27">
        <v>0.33910000000000001</v>
      </c>
      <c r="F919" s="27">
        <v>0</v>
      </c>
      <c r="G919" s="27">
        <v>1.1499999999999999</v>
      </c>
      <c r="H919" s="27">
        <v>1.5</v>
      </c>
      <c r="I919" s="27">
        <v>9.7999999999999997E-3</v>
      </c>
      <c r="J919" s="27">
        <v>0</v>
      </c>
      <c r="K919" s="27">
        <v>0</v>
      </c>
      <c r="L919" s="27">
        <v>68.41</v>
      </c>
      <c r="M919" s="27">
        <v>8.6599999999999996E-2</v>
      </c>
      <c r="N919" s="27">
        <v>105.477</v>
      </c>
      <c r="O919" s="27" t="s">
        <v>425</v>
      </c>
      <c r="Q919">
        <f t="shared" si="41"/>
        <v>69.91</v>
      </c>
      <c r="R919">
        <f>I919-(K919*Standards!$I$15)</f>
        <v>9.7999999999999997E-3</v>
      </c>
      <c r="S919">
        <f t="shared" si="42"/>
        <v>8.1009999999999999E-2</v>
      </c>
      <c r="T919" t="s">
        <v>426</v>
      </c>
    </row>
    <row r="920" spans="1:20">
      <c r="A920" s="27">
        <v>32</v>
      </c>
      <c r="B920" s="27">
        <v>0</v>
      </c>
      <c r="C920" s="27">
        <v>8.5300000000000001E-2</v>
      </c>
      <c r="D920" s="27">
        <v>34.049999999999997</v>
      </c>
      <c r="E920" s="27">
        <v>0.30170000000000002</v>
      </c>
      <c r="F920" s="27">
        <v>1.3299999999999999E-2</v>
      </c>
      <c r="G920" s="27">
        <v>1.01</v>
      </c>
      <c r="H920" s="27">
        <v>2.86</v>
      </c>
      <c r="I920" s="27">
        <v>4.4999999999999997E-3</v>
      </c>
      <c r="J920" s="27">
        <v>0</v>
      </c>
      <c r="K920" s="27">
        <v>0</v>
      </c>
      <c r="L920" s="27">
        <v>66.989999999999995</v>
      </c>
      <c r="M920" s="27">
        <v>0.10780000000000001</v>
      </c>
      <c r="N920" s="27">
        <v>105.4225</v>
      </c>
      <c r="O920" s="27" t="s">
        <v>425</v>
      </c>
      <c r="Q920">
        <f t="shared" si="41"/>
        <v>69.849999999999994</v>
      </c>
      <c r="R920">
        <f>I920-(K920*Standards!$I$15)</f>
        <v>4.4999999999999997E-3</v>
      </c>
      <c r="S920">
        <f t="shared" si="42"/>
        <v>8.5074999999999998E-2</v>
      </c>
      <c r="T920" t="s">
        <v>426</v>
      </c>
    </row>
    <row r="921" spans="1:20">
      <c r="A921" s="27">
        <v>33</v>
      </c>
      <c r="B921" s="27">
        <v>0</v>
      </c>
      <c r="C921" s="27">
        <v>8.4599999999999995E-2</v>
      </c>
      <c r="D921" s="27">
        <v>33.78</v>
      </c>
      <c r="E921" s="27">
        <v>0.35139999999999999</v>
      </c>
      <c r="F921" s="27">
        <v>0</v>
      </c>
      <c r="G921" s="27">
        <v>1.19</v>
      </c>
      <c r="H921" s="27">
        <v>1.35</v>
      </c>
      <c r="I921" s="27">
        <v>8.3000000000000001E-3</v>
      </c>
      <c r="J921" s="27">
        <v>0</v>
      </c>
      <c r="K921" s="27">
        <v>0</v>
      </c>
      <c r="L921" s="27">
        <v>68.7</v>
      </c>
      <c r="M921" s="27">
        <v>9.2100000000000001E-2</v>
      </c>
      <c r="N921" s="27">
        <v>105.55629999999999</v>
      </c>
      <c r="O921" s="27" t="s">
        <v>425</v>
      </c>
      <c r="Q921">
        <f t="shared" si="41"/>
        <v>70.05</v>
      </c>
      <c r="R921">
        <f>I921-(K921*Standards!$I$15)</f>
        <v>8.3000000000000001E-3</v>
      </c>
      <c r="S921">
        <f t="shared" si="42"/>
        <v>8.4184999999999996E-2</v>
      </c>
      <c r="T921" t="s">
        <v>426</v>
      </c>
    </row>
    <row r="922" spans="1:20">
      <c r="A922" s="27">
        <v>34</v>
      </c>
      <c r="B922" s="27">
        <v>0</v>
      </c>
      <c r="C922" s="27">
        <v>6.4500000000000002E-2</v>
      </c>
      <c r="D922" s="27">
        <v>33.97</v>
      </c>
      <c r="E922" s="27">
        <v>0.31819999999999998</v>
      </c>
      <c r="F922" s="27">
        <v>0</v>
      </c>
      <c r="G922" s="27">
        <v>1.1200000000000001</v>
      </c>
      <c r="H922" s="27">
        <v>1.1000000000000001</v>
      </c>
      <c r="I922" s="27">
        <v>4.0000000000000002E-4</v>
      </c>
      <c r="J922" s="27">
        <v>0</v>
      </c>
      <c r="K922" s="27">
        <v>0</v>
      </c>
      <c r="L922" s="27">
        <v>68.92</v>
      </c>
      <c r="M922" s="27">
        <v>0.1042</v>
      </c>
      <c r="N922" s="27">
        <v>105.5972</v>
      </c>
      <c r="O922" s="27" t="s">
        <v>425</v>
      </c>
      <c r="Q922">
        <f t="shared" si="41"/>
        <v>70.02</v>
      </c>
      <c r="R922">
        <f>I922-(K922*Standards!$I$15)</f>
        <v>4.0000000000000002E-4</v>
      </c>
      <c r="S922">
        <f t="shared" si="42"/>
        <v>6.4479999999999996E-2</v>
      </c>
      <c r="T922" t="s">
        <v>426</v>
      </c>
    </row>
    <row r="923" spans="1:20">
      <c r="A923" s="27">
        <v>35</v>
      </c>
      <c r="B923" s="27">
        <v>0</v>
      </c>
      <c r="C923" s="27">
        <v>9.0899999999999995E-2</v>
      </c>
      <c r="D923" s="27">
        <v>34.020000000000003</v>
      </c>
      <c r="E923" s="27">
        <v>0.36699999999999999</v>
      </c>
      <c r="F923" s="27">
        <v>0</v>
      </c>
      <c r="G923" s="27">
        <v>1.19</v>
      </c>
      <c r="H923" s="27">
        <v>1.59</v>
      </c>
      <c r="I923" s="27">
        <v>1.5100000000000001E-2</v>
      </c>
      <c r="J923" s="27">
        <v>0</v>
      </c>
      <c r="K923" s="27">
        <v>0</v>
      </c>
      <c r="L923" s="27">
        <v>68.05</v>
      </c>
      <c r="M923" s="27">
        <v>7.9799999999999996E-2</v>
      </c>
      <c r="N923" s="27">
        <v>105.4027</v>
      </c>
      <c r="O923" s="27" t="s">
        <v>425</v>
      </c>
      <c r="Q923">
        <f t="shared" si="41"/>
        <v>69.64</v>
      </c>
      <c r="R923">
        <f>I923-(K923*Standards!$I$15)</f>
        <v>1.5100000000000001E-2</v>
      </c>
      <c r="S923">
        <f t="shared" si="42"/>
        <v>9.0144999999999989E-2</v>
      </c>
      <c r="T923" t="s">
        <v>426</v>
      </c>
    </row>
    <row r="924" spans="1:20">
      <c r="A924" s="27">
        <v>36</v>
      </c>
      <c r="B924" s="27">
        <v>0</v>
      </c>
      <c r="C924" s="27">
        <v>8.5900000000000004E-2</v>
      </c>
      <c r="D924" s="27">
        <v>33.94</v>
      </c>
      <c r="E924" s="27">
        <v>0.34350000000000003</v>
      </c>
      <c r="F924" s="27">
        <v>0</v>
      </c>
      <c r="G924" s="27">
        <v>1.1000000000000001</v>
      </c>
      <c r="H924" s="27">
        <v>0.99080000000000001</v>
      </c>
      <c r="I924" s="27">
        <v>7.3000000000000001E-3</v>
      </c>
      <c r="J924" s="27">
        <v>0</v>
      </c>
      <c r="K924" s="27">
        <v>0</v>
      </c>
      <c r="L924" s="27">
        <v>69.150000000000006</v>
      </c>
      <c r="M924" s="27">
        <v>9.8500000000000004E-2</v>
      </c>
      <c r="N924" s="27">
        <v>105.7159</v>
      </c>
      <c r="O924" s="27" t="s">
        <v>425</v>
      </c>
      <c r="Q924">
        <f t="shared" si="41"/>
        <v>70.140799999999999</v>
      </c>
      <c r="R924">
        <f>I924-(K924*Standards!$I$15)</f>
        <v>7.3000000000000001E-3</v>
      </c>
      <c r="S924">
        <f t="shared" si="42"/>
        <v>8.5535E-2</v>
      </c>
      <c r="T924" t="s">
        <v>426</v>
      </c>
    </row>
    <row r="925" spans="1:20">
      <c r="A925" s="27">
        <v>37</v>
      </c>
      <c r="B925" s="27">
        <v>0</v>
      </c>
      <c r="C925" s="27">
        <v>9.6100000000000005E-2</v>
      </c>
      <c r="D925" s="27">
        <v>33.74</v>
      </c>
      <c r="E925" s="27">
        <v>0.38269999999999998</v>
      </c>
      <c r="F925" s="27">
        <v>0</v>
      </c>
      <c r="G925" s="27">
        <v>1.25</v>
      </c>
      <c r="H925" s="27">
        <v>1.55</v>
      </c>
      <c r="I925" s="27">
        <v>2.35E-2</v>
      </c>
      <c r="J925" s="27">
        <v>0</v>
      </c>
      <c r="K925" s="27">
        <v>0</v>
      </c>
      <c r="L925" s="27">
        <v>68.3</v>
      </c>
      <c r="M925" s="27">
        <v>9.5600000000000004E-2</v>
      </c>
      <c r="N925" s="27">
        <v>105.4379</v>
      </c>
      <c r="O925" s="27" t="s">
        <v>425</v>
      </c>
      <c r="Q925">
        <f t="shared" si="41"/>
        <v>69.849999999999994</v>
      </c>
      <c r="R925">
        <f>I925-(K925*Standards!$I$15)</f>
        <v>2.35E-2</v>
      </c>
      <c r="S925">
        <f t="shared" si="42"/>
        <v>9.4925000000000009E-2</v>
      </c>
      <c r="T925" t="s">
        <v>426</v>
      </c>
    </row>
    <row r="926" spans="1:20">
      <c r="A926" s="27">
        <v>38</v>
      </c>
      <c r="B926" s="27">
        <v>0</v>
      </c>
      <c r="C926" s="27">
        <v>0.1087</v>
      </c>
      <c r="D926" s="27">
        <v>33.78</v>
      </c>
      <c r="E926" s="27">
        <v>0.34410000000000002</v>
      </c>
      <c r="F926" s="27">
        <v>0</v>
      </c>
      <c r="G926" s="27">
        <v>1.1599999999999999</v>
      </c>
      <c r="H926" s="27">
        <v>1.44</v>
      </c>
      <c r="I926" s="27">
        <v>8.5000000000000006E-3</v>
      </c>
      <c r="J926" s="27">
        <v>0</v>
      </c>
      <c r="K926" s="27">
        <v>0</v>
      </c>
      <c r="L926" s="27">
        <v>68.28</v>
      </c>
      <c r="M926" s="27">
        <v>8.3599999999999994E-2</v>
      </c>
      <c r="N926" s="27">
        <v>105.20480000000001</v>
      </c>
      <c r="O926" s="27" t="s">
        <v>425</v>
      </c>
      <c r="Q926">
        <f t="shared" si="41"/>
        <v>69.72</v>
      </c>
      <c r="R926">
        <f>I926-(K926*Standards!$I$15)</f>
        <v>8.5000000000000006E-3</v>
      </c>
      <c r="S926">
        <f t="shared" si="42"/>
        <v>0.10827500000000001</v>
      </c>
      <c r="T926" t="s">
        <v>426</v>
      </c>
    </row>
    <row r="927" spans="1:20">
      <c r="A927" s="27">
        <v>39</v>
      </c>
      <c r="B927" s="27">
        <v>0</v>
      </c>
      <c r="C927" s="27">
        <v>9.2999999999999999E-2</v>
      </c>
      <c r="D927" s="27">
        <v>33.93</v>
      </c>
      <c r="E927" s="27">
        <v>0.34520000000000001</v>
      </c>
      <c r="F927" s="27">
        <v>0</v>
      </c>
      <c r="G927" s="27">
        <v>1.1299999999999999</v>
      </c>
      <c r="H927" s="27">
        <v>1.05</v>
      </c>
      <c r="I927" s="27">
        <v>1.04E-2</v>
      </c>
      <c r="J927" s="27">
        <v>0</v>
      </c>
      <c r="K927" s="27">
        <v>0</v>
      </c>
      <c r="L927" s="27">
        <v>69.03</v>
      </c>
      <c r="M927" s="27">
        <v>6.7100000000000007E-2</v>
      </c>
      <c r="N927" s="27">
        <v>105.65560000000001</v>
      </c>
      <c r="O927" s="27" t="s">
        <v>425</v>
      </c>
      <c r="Q927">
        <f t="shared" si="41"/>
        <v>70.08</v>
      </c>
      <c r="R927">
        <f>I927-(K927*Standards!$I$15)</f>
        <v>1.04E-2</v>
      </c>
      <c r="S927">
        <f t="shared" si="42"/>
        <v>9.2479999999999993E-2</v>
      </c>
      <c r="T927" t="s">
        <v>426</v>
      </c>
    </row>
    <row r="928" spans="1:20">
      <c r="A928" s="27">
        <v>40</v>
      </c>
      <c r="B928" s="27">
        <v>0</v>
      </c>
      <c r="C928" s="27">
        <v>8.3799999999999999E-2</v>
      </c>
      <c r="D928" s="27">
        <v>33.78</v>
      </c>
      <c r="E928" s="27">
        <v>0.41549999999999998</v>
      </c>
      <c r="F928" s="27">
        <v>0</v>
      </c>
      <c r="G928" s="27">
        <v>1.39</v>
      </c>
      <c r="H928" s="27">
        <v>1.65</v>
      </c>
      <c r="I928" s="27">
        <v>2.0799999999999999E-2</v>
      </c>
      <c r="J928" s="27">
        <v>0</v>
      </c>
      <c r="K928" s="27">
        <v>0</v>
      </c>
      <c r="L928" s="27">
        <v>68.209999999999994</v>
      </c>
      <c r="M928" s="27">
        <v>7.3499999999999996E-2</v>
      </c>
      <c r="N928" s="27">
        <v>105.6236</v>
      </c>
      <c r="O928" s="27" t="s">
        <v>425</v>
      </c>
      <c r="Q928">
        <f t="shared" si="41"/>
        <v>69.86</v>
      </c>
      <c r="R928">
        <f>I928-(K928*Standards!$I$15)</f>
        <v>2.0799999999999999E-2</v>
      </c>
      <c r="S928">
        <f t="shared" si="42"/>
        <v>8.276E-2</v>
      </c>
      <c r="T928" t="s">
        <v>426</v>
      </c>
    </row>
    <row r="930" spans="1:31">
      <c r="A930">
        <v>76</v>
      </c>
      <c r="B930">
        <v>0</v>
      </c>
      <c r="C930">
        <v>6.8400000000000002E-2</v>
      </c>
      <c r="D930">
        <v>34.01</v>
      </c>
      <c r="E930">
        <v>0.12189999999999999</v>
      </c>
      <c r="F930">
        <v>0</v>
      </c>
      <c r="G930">
        <v>0.3947</v>
      </c>
      <c r="H930">
        <v>0.33539999999999998</v>
      </c>
      <c r="I930">
        <v>0</v>
      </c>
      <c r="J930">
        <v>0</v>
      </c>
      <c r="K930">
        <v>0</v>
      </c>
      <c r="L930">
        <v>68.75</v>
      </c>
      <c r="M930">
        <v>9.74E-2</v>
      </c>
      <c r="N930">
        <v>103.7777</v>
      </c>
      <c r="O930" t="s">
        <v>427</v>
      </c>
      <c r="Q930">
        <f t="shared" ref="Q930:Q992" si="43">H930+L930</f>
        <v>69.085400000000007</v>
      </c>
      <c r="R930">
        <f>I930-(K930*Standards!$I$15)</f>
        <v>0</v>
      </c>
      <c r="S930">
        <f t="shared" ref="S930:S992" si="44">C930-(I930*0.05)</f>
        <v>6.8400000000000002E-2</v>
      </c>
      <c r="T930" t="s">
        <v>123</v>
      </c>
      <c r="U930">
        <f>COUNT(Q930:Q983)</f>
        <v>54</v>
      </c>
      <c r="V930">
        <f>MAX(H930:H983)</f>
        <v>11.01</v>
      </c>
      <c r="W930">
        <f>AVERAGE(H930:H983)</f>
        <v>1.1868425925925925</v>
      </c>
      <c r="X930">
        <f>MAX(J930:J983)</f>
        <v>0.6381</v>
      </c>
      <c r="Y930">
        <f>AVERAGE(J930:J983)</f>
        <v>7.7085185185185187E-2</v>
      </c>
      <c r="Z930">
        <f>MAX(R930:R983)</f>
        <v>4.24E-2</v>
      </c>
      <c r="AA930">
        <f>AVERAGE(R930:R983)</f>
        <v>2.337490532407407E-3</v>
      </c>
      <c r="AB930">
        <f>MAX(G930:G983)</f>
        <v>1.1200000000000001</v>
      </c>
      <c r="AC930">
        <f>AVERAGE(G930:G983)</f>
        <v>0.37361481481481473</v>
      </c>
      <c r="AD930">
        <f>MAX(S930:S983)</f>
        <v>9.2499999999999999E-2</v>
      </c>
      <c r="AE930">
        <f>AVERAGE(S930:S983)</f>
        <v>6.2450370370370364E-2</v>
      </c>
    </row>
    <row r="931" spans="1:31">
      <c r="A931">
        <v>74</v>
      </c>
      <c r="B931">
        <v>0</v>
      </c>
      <c r="C931">
        <v>6.2799999999999995E-2</v>
      </c>
      <c r="D931">
        <v>34.06</v>
      </c>
      <c r="E931">
        <v>8.1299999999999997E-2</v>
      </c>
      <c r="F931">
        <v>0</v>
      </c>
      <c r="G931">
        <v>0.23499999999999999</v>
      </c>
      <c r="H931">
        <v>0.34029999999999999</v>
      </c>
      <c r="I931">
        <v>0</v>
      </c>
      <c r="J931">
        <v>0</v>
      </c>
      <c r="K931">
        <v>0</v>
      </c>
      <c r="L931">
        <v>68.7</v>
      </c>
      <c r="M931">
        <v>0.10829999999999999</v>
      </c>
      <c r="N931">
        <v>103.58759999999999</v>
      </c>
      <c r="O931" t="s">
        <v>427</v>
      </c>
      <c r="Q931">
        <f t="shared" si="43"/>
        <v>69.040300000000002</v>
      </c>
      <c r="R931">
        <f>I931-(K931*Standards!$I$15)</f>
        <v>0</v>
      </c>
      <c r="S931">
        <f t="shared" si="44"/>
        <v>6.2799999999999995E-2</v>
      </c>
      <c r="T931" t="s">
        <v>123</v>
      </c>
    </row>
    <row r="932" spans="1:31">
      <c r="A932">
        <v>95</v>
      </c>
      <c r="B932">
        <v>0</v>
      </c>
      <c r="C932">
        <v>7.9000000000000001E-2</v>
      </c>
      <c r="D932">
        <v>33.81</v>
      </c>
      <c r="E932">
        <v>0.106</v>
      </c>
      <c r="F932">
        <v>0</v>
      </c>
      <c r="G932">
        <v>0.28220000000000001</v>
      </c>
      <c r="H932">
        <v>0.23200000000000001</v>
      </c>
      <c r="I932">
        <v>5.9999999999999995E-4</v>
      </c>
      <c r="J932">
        <v>0</v>
      </c>
      <c r="K932">
        <v>2.8799999999999999E-2</v>
      </c>
      <c r="L932">
        <v>68.650000000000006</v>
      </c>
      <c r="M932">
        <v>8.3000000000000004E-2</v>
      </c>
      <c r="N932">
        <v>103.2715</v>
      </c>
      <c r="O932" t="s">
        <v>427</v>
      </c>
      <c r="Q932">
        <f t="shared" si="43"/>
        <v>68.882000000000005</v>
      </c>
      <c r="R932">
        <f>I932-(K932*Standards!$I$15)</f>
        <v>5.3627999999999998E-4</v>
      </c>
      <c r="S932">
        <f t="shared" si="44"/>
        <v>7.8969999999999999E-2</v>
      </c>
      <c r="T932" t="s">
        <v>123</v>
      </c>
    </row>
    <row r="933" spans="1:31">
      <c r="A933">
        <v>71</v>
      </c>
      <c r="B933">
        <v>0</v>
      </c>
      <c r="C933">
        <v>6.7299999999999999E-2</v>
      </c>
      <c r="D933">
        <v>33.96</v>
      </c>
      <c r="E933">
        <v>0.14249999999999999</v>
      </c>
      <c r="F933">
        <v>0</v>
      </c>
      <c r="G933">
        <v>0.42</v>
      </c>
      <c r="H933">
        <v>0.30380000000000001</v>
      </c>
      <c r="I933">
        <v>0</v>
      </c>
      <c r="J933">
        <v>0</v>
      </c>
      <c r="K933">
        <v>0</v>
      </c>
      <c r="L933">
        <v>68.64</v>
      </c>
      <c r="M933">
        <v>8.3400000000000002E-2</v>
      </c>
      <c r="N933">
        <v>103.6169</v>
      </c>
      <c r="O933" t="s">
        <v>427</v>
      </c>
      <c r="Q933">
        <f t="shared" si="43"/>
        <v>68.943799999999996</v>
      </c>
      <c r="R933">
        <f>I933-(K933*Standards!$I$15)</f>
        <v>0</v>
      </c>
      <c r="S933">
        <f t="shared" si="44"/>
        <v>6.7299999999999999E-2</v>
      </c>
      <c r="T933" t="s">
        <v>123</v>
      </c>
    </row>
    <row r="934" spans="1:31">
      <c r="A934">
        <v>87</v>
      </c>
      <c r="B934">
        <v>0</v>
      </c>
      <c r="C934">
        <v>5.74E-2</v>
      </c>
      <c r="D934">
        <v>34.159999999999997</v>
      </c>
      <c r="E934">
        <v>0.1028</v>
      </c>
      <c r="F934">
        <v>0</v>
      </c>
      <c r="G934">
        <v>0.3594</v>
      </c>
      <c r="H934">
        <v>0.27750000000000002</v>
      </c>
      <c r="I934">
        <v>0</v>
      </c>
      <c r="J934">
        <v>0</v>
      </c>
      <c r="K934">
        <v>4.2500000000000003E-2</v>
      </c>
      <c r="L934">
        <v>68.599999999999994</v>
      </c>
      <c r="M934">
        <v>9.4100000000000003E-2</v>
      </c>
      <c r="N934">
        <v>103.6936</v>
      </c>
      <c r="O934" t="s">
        <v>427</v>
      </c>
      <c r="Q934">
        <f t="shared" si="43"/>
        <v>68.877499999999998</v>
      </c>
      <c r="R934">
        <f>I934-(K934*Standards!$I$15)</f>
        <v>-9.4031250000000012E-5</v>
      </c>
      <c r="S934">
        <f t="shared" si="44"/>
        <v>5.74E-2</v>
      </c>
      <c r="T934" t="s">
        <v>123</v>
      </c>
    </row>
    <row r="935" spans="1:31">
      <c r="A935">
        <v>64</v>
      </c>
      <c r="B935">
        <v>0</v>
      </c>
      <c r="C935">
        <v>0.06</v>
      </c>
      <c r="D935">
        <v>34.04</v>
      </c>
      <c r="E935">
        <v>0.1183</v>
      </c>
      <c r="F935">
        <v>0</v>
      </c>
      <c r="G935">
        <v>0.31219999999999998</v>
      </c>
      <c r="H935">
        <v>0.43830000000000002</v>
      </c>
      <c r="I935">
        <v>0</v>
      </c>
      <c r="J935">
        <v>0</v>
      </c>
      <c r="K935">
        <v>0</v>
      </c>
      <c r="L935">
        <v>68.540000000000006</v>
      </c>
      <c r="M935">
        <v>9.8900000000000002E-2</v>
      </c>
      <c r="N935">
        <v>103.60769999999999</v>
      </c>
      <c r="O935" t="s">
        <v>427</v>
      </c>
      <c r="Q935">
        <f t="shared" si="43"/>
        <v>68.978300000000004</v>
      </c>
      <c r="R935">
        <f>I935-(K935*Standards!$I$15)</f>
        <v>0</v>
      </c>
      <c r="S935">
        <f t="shared" si="44"/>
        <v>0.06</v>
      </c>
      <c r="T935" t="s">
        <v>123</v>
      </c>
    </row>
    <row r="936" spans="1:31">
      <c r="A936">
        <v>68</v>
      </c>
      <c r="B936">
        <v>0</v>
      </c>
      <c r="C936">
        <v>5.9799999999999999E-2</v>
      </c>
      <c r="D936">
        <v>33.89</v>
      </c>
      <c r="E936">
        <v>0.11</v>
      </c>
      <c r="F936">
        <v>0</v>
      </c>
      <c r="G936">
        <v>0.3155</v>
      </c>
      <c r="H936">
        <v>0.28489999999999999</v>
      </c>
      <c r="I936">
        <v>2.0999999999999999E-3</v>
      </c>
      <c r="J936">
        <v>0</v>
      </c>
      <c r="K936">
        <v>0</v>
      </c>
      <c r="L936">
        <v>68.53</v>
      </c>
      <c r="M936">
        <v>9.1399999999999995E-2</v>
      </c>
      <c r="N936">
        <v>103.28360000000001</v>
      </c>
      <c r="O936" t="s">
        <v>427</v>
      </c>
      <c r="Q936">
        <f t="shared" si="43"/>
        <v>68.814899999999994</v>
      </c>
      <c r="R936">
        <f>I936-(K936*Standards!$I$15)</f>
        <v>2.0999999999999999E-3</v>
      </c>
      <c r="S936">
        <f t="shared" si="44"/>
        <v>5.9694999999999998E-2</v>
      </c>
      <c r="T936" t="s">
        <v>123</v>
      </c>
    </row>
    <row r="937" spans="1:31">
      <c r="A937">
        <v>75</v>
      </c>
      <c r="B937">
        <v>0</v>
      </c>
      <c r="C937">
        <v>8.6800000000000002E-2</v>
      </c>
      <c r="D937">
        <v>33.909999999999997</v>
      </c>
      <c r="E937">
        <v>9.69E-2</v>
      </c>
      <c r="F937">
        <v>0</v>
      </c>
      <c r="G937">
        <v>0.28349999999999997</v>
      </c>
      <c r="H937">
        <v>0.31559999999999999</v>
      </c>
      <c r="I937">
        <v>8.0000000000000004E-4</v>
      </c>
      <c r="J937">
        <v>0</v>
      </c>
      <c r="K937">
        <v>0</v>
      </c>
      <c r="L937">
        <v>68.41</v>
      </c>
      <c r="M937">
        <v>9.1200000000000003E-2</v>
      </c>
      <c r="N937">
        <v>103.1948</v>
      </c>
      <c r="O937" t="s">
        <v>427</v>
      </c>
      <c r="Q937">
        <f t="shared" si="43"/>
        <v>68.7256</v>
      </c>
      <c r="R937">
        <f>I937-(K937*Standards!$I$15)</f>
        <v>8.0000000000000004E-4</v>
      </c>
      <c r="S937">
        <f t="shared" si="44"/>
        <v>8.6760000000000004E-2</v>
      </c>
      <c r="T937" t="s">
        <v>123</v>
      </c>
    </row>
    <row r="938" spans="1:31">
      <c r="A938">
        <v>70</v>
      </c>
      <c r="B938">
        <v>0</v>
      </c>
      <c r="C938">
        <v>5.7500000000000002E-2</v>
      </c>
      <c r="D938">
        <v>34.03</v>
      </c>
      <c r="E938">
        <v>9.3700000000000006E-2</v>
      </c>
      <c r="F938">
        <v>1.12E-2</v>
      </c>
      <c r="G938">
        <v>0.29349999999999998</v>
      </c>
      <c r="H938">
        <v>0.26650000000000001</v>
      </c>
      <c r="I938">
        <v>4.0000000000000002E-4</v>
      </c>
      <c r="J938">
        <v>8.2799999999999999E-2</v>
      </c>
      <c r="K938">
        <v>0</v>
      </c>
      <c r="L938">
        <v>68.38</v>
      </c>
      <c r="M938">
        <v>8.2299999999999998E-2</v>
      </c>
      <c r="N938">
        <v>103.2978</v>
      </c>
      <c r="O938" t="s">
        <v>427</v>
      </c>
      <c r="Q938">
        <f t="shared" si="43"/>
        <v>68.646499999999989</v>
      </c>
      <c r="R938">
        <f>I938-(K938*Standards!$I$15)</f>
        <v>4.0000000000000002E-4</v>
      </c>
      <c r="S938">
        <f t="shared" si="44"/>
        <v>5.7480000000000003E-2</v>
      </c>
      <c r="T938" t="s">
        <v>123</v>
      </c>
    </row>
    <row r="939" spans="1:31">
      <c r="A939">
        <v>79</v>
      </c>
      <c r="B939">
        <v>0</v>
      </c>
      <c r="C939">
        <v>6.6199999999999995E-2</v>
      </c>
      <c r="D939">
        <v>34.17</v>
      </c>
      <c r="E939">
        <v>8.1000000000000003E-2</v>
      </c>
      <c r="F939">
        <v>9.9000000000000008E-3</v>
      </c>
      <c r="G939">
        <v>0.22850000000000001</v>
      </c>
      <c r="H939">
        <v>0.33910000000000001</v>
      </c>
      <c r="I939">
        <v>0</v>
      </c>
      <c r="J939">
        <v>2.24E-2</v>
      </c>
      <c r="K939">
        <v>0</v>
      </c>
      <c r="L939">
        <v>68.34</v>
      </c>
      <c r="M939">
        <v>7.5999999999999998E-2</v>
      </c>
      <c r="N939">
        <v>103.333</v>
      </c>
      <c r="O939" t="s">
        <v>427</v>
      </c>
      <c r="Q939">
        <f t="shared" si="43"/>
        <v>68.679100000000005</v>
      </c>
      <c r="R939">
        <f>I939-(K939*Standards!$I$15)</f>
        <v>0</v>
      </c>
      <c r="S939">
        <f t="shared" si="44"/>
        <v>6.6199999999999995E-2</v>
      </c>
      <c r="T939" t="s">
        <v>123</v>
      </c>
    </row>
    <row r="940" spans="1:31">
      <c r="A940">
        <v>99</v>
      </c>
      <c r="B940">
        <v>0</v>
      </c>
      <c r="C940">
        <v>5.2699999999999997E-2</v>
      </c>
      <c r="D940">
        <v>34.08</v>
      </c>
      <c r="E940">
        <v>6.5100000000000005E-2</v>
      </c>
      <c r="F940">
        <v>0</v>
      </c>
      <c r="G940">
        <v>0.21909999999999999</v>
      </c>
      <c r="H940">
        <v>0.39029999999999998</v>
      </c>
      <c r="I940">
        <v>0</v>
      </c>
      <c r="J940">
        <v>0</v>
      </c>
      <c r="K940">
        <v>1.61E-2</v>
      </c>
      <c r="L940">
        <v>68.28</v>
      </c>
      <c r="M940">
        <v>7.8399999999999997E-2</v>
      </c>
      <c r="N940">
        <v>103.1816</v>
      </c>
      <c r="O940" t="s">
        <v>427</v>
      </c>
      <c r="Q940">
        <f t="shared" si="43"/>
        <v>68.670299999999997</v>
      </c>
      <c r="R940">
        <f>I940-(K940*Standards!$I$15)</f>
        <v>-3.5621250000000001E-5</v>
      </c>
      <c r="S940">
        <f t="shared" si="44"/>
        <v>5.2699999999999997E-2</v>
      </c>
      <c r="T940" t="s">
        <v>123</v>
      </c>
    </row>
    <row r="941" spans="1:31">
      <c r="A941">
        <v>120</v>
      </c>
      <c r="B941">
        <v>0</v>
      </c>
      <c r="C941">
        <v>6.6600000000000006E-2</v>
      </c>
      <c r="D941">
        <v>33.9</v>
      </c>
      <c r="E941">
        <v>0.1615</v>
      </c>
      <c r="F941">
        <v>0</v>
      </c>
      <c r="G941">
        <v>0.54449999999999998</v>
      </c>
      <c r="H941">
        <v>1.32E-2</v>
      </c>
      <c r="I941">
        <v>0</v>
      </c>
      <c r="J941">
        <v>0</v>
      </c>
      <c r="K941">
        <v>1.8700000000000001E-2</v>
      </c>
      <c r="L941">
        <v>68.260000000000005</v>
      </c>
      <c r="M941">
        <v>0.1195</v>
      </c>
      <c r="N941">
        <v>103.0839</v>
      </c>
      <c r="O941" t="s">
        <v>428</v>
      </c>
      <c r="Q941">
        <f t="shared" si="43"/>
        <v>68.273200000000003</v>
      </c>
      <c r="R941">
        <f>I941-(K941*Standards!$I$15)</f>
        <v>-4.1373750000000003E-5</v>
      </c>
      <c r="S941">
        <f t="shared" si="44"/>
        <v>6.6600000000000006E-2</v>
      </c>
      <c r="T941" t="s">
        <v>123</v>
      </c>
    </row>
    <row r="942" spans="1:31">
      <c r="A942">
        <v>73</v>
      </c>
      <c r="B942">
        <v>0</v>
      </c>
      <c r="C942">
        <v>6.6100000000000006E-2</v>
      </c>
      <c r="D942">
        <v>33.96</v>
      </c>
      <c r="E942">
        <v>0.23230000000000001</v>
      </c>
      <c r="F942">
        <v>0</v>
      </c>
      <c r="G942">
        <v>0.71630000000000005</v>
      </c>
      <c r="H942">
        <v>0.36530000000000001</v>
      </c>
      <c r="I942">
        <v>1.1999999999999999E-3</v>
      </c>
      <c r="J942">
        <v>0</v>
      </c>
      <c r="K942">
        <v>2.5999999999999999E-3</v>
      </c>
      <c r="L942">
        <v>68.23</v>
      </c>
      <c r="M942">
        <v>9.8900000000000002E-2</v>
      </c>
      <c r="N942">
        <v>103.67270000000001</v>
      </c>
      <c r="O942" t="s">
        <v>427</v>
      </c>
      <c r="Q942">
        <f t="shared" si="43"/>
        <v>68.595300000000009</v>
      </c>
      <c r="R942">
        <f>I942-(K942*Standards!$I$15)</f>
        <v>1.1942474999999998E-3</v>
      </c>
      <c r="S942">
        <f t="shared" si="44"/>
        <v>6.6040000000000001E-2</v>
      </c>
      <c r="T942" t="s">
        <v>123</v>
      </c>
    </row>
    <row r="943" spans="1:31">
      <c r="A943">
        <v>88</v>
      </c>
      <c r="B943">
        <v>0</v>
      </c>
      <c r="C943">
        <v>6.3500000000000001E-2</v>
      </c>
      <c r="D943">
        <v>34.049999999999997</v>
      </c>
      <c r="E943">
        <v>0.1024</v>
      </c>
      <c r="F943">
        <v>0</v>
      </c>
      <c r="G943">
        <v>0.32229999999999998</v>
      </c>
      <c r="H943">
        <v>0.60429999999999995</v>
      </c>
      <c r="I943">
        <v>0</v>
      </c>
      <c r="J943">
        <v>0</v>
      </c>
      <c r="K943">
        <v>1.1299999999999999E-2</v>
      </c>
      <c r="L943">
        <v>68.22</v>
      </c>
      <c r="M943">
        <v>0.1106</v>
      </c>
      <c r="N943">
        <v>103.48439999999999</v>
      </c>
      <c r="O943" t="s">
        <v>427</v>
      </c>
      <c r="Q943">
        <f t="shared" si="43"/>
        <v>68.824299999999994</v>
      </c>
      <c r="R943">
        <f>I943-(K943*Standards!$I$15)</f>
        <v>-2.5001250000000001E-5</v>
      </c>
      <c r="S943">
        <f t="shared" si="44"/>
        <v>6.3500000000000001E-2</v>
      </c>
      <c r="T943" t="s">
        <v>123</v>
      </c>
    </row>
    <row r="944" spans="1:31">
      <c r="A944">
        <v>67</v>
      </c>
      <c r="B944">
        <v>0</v>
      </c>
      <c r="C944">
        <v>6.2600000000000003E-2</v>
      </c>
      <c r="D944">
        <v>34.06</v>
      </c>
      <c r="E944">
        <v>0.1268</v>
      </c>
      <c r="F944">
        <v>4.1999999999999997E-3</v>
      </c>
      <c r="G944">
        <v>0.41789999999999999</v>
      </c>
      <c r="H944">
        <v>0.25059999999999999</v>
      </c>
      <c r="I944">
        <v>0</v>
      </c>
      <c r="J944">
        <v>1.44E-2</v>
      </c>
      <c r="K944">
        <v>0</v>
      </c>
      <c r="L944">
        <v>68.19</v>
      </c>
      <c r="M944">
        <v>9.1899999999999996E-2</v>
      </c>
      <c r="N944">
        <v>103.2184</v>
      </c>
      <c r="O944" t="s">
        <v>427</v>
      </c>
      <c r="Q944">
        <f t="shared" si="43"/>
        <v>68.440600000000003</v>
      </c>
      <c r="R944">
        <f>I944-(K944*Standards!$I$15)</f>
        <v>0</v>
      </c>
      <c r="S944">
        <f t="shared" si="44"/>
        <v>6.2600000000000003E-2</v>
      </c>
      <c r="T944" t="s">
        <v>123</v>
      </c>
    </row>
    <row r="945" spans="1:20">
      <c r="A945">
        <v>65</v>
      </c>
      <c r="B945">
        <v>0</v>
      </c>
      <c r="C945">
        <v>6.8400000000000002E-2</v>
      </c>
      <c r="D945">
        <v>34.049999999999997</v>
      </c>
      <c r="E945">
        <v>0.1535</v>
      </c>
      <c r="F945">
        <v>0</v>
      </c>
      <c r="G945">
        <v>0.4335</v>
      </c>
      <c r="H945">
        <v>0.32319999999999999</v>
      </c>
      <c r="I945">
        <v>2.2599999999999999E-2</v>
      </c>
      <c r="J945">
        <v>5.2600000000000001E-2</v>
      </c>
      <c r="K945">
        <v>5.1000000000000004E-3</v>
      </c>
      <c r="L945">
        <v>68.17</v>
      </c>
      <c r="M945">
        <v>0.10680000000000001</v>
      </c>
      <c r="N945">
        <v>103.3856</v>
      </c>
      <c r="O945" t="s">
        <v>427</v>
      </c>
      <c r="Q945">
        <f t="shared" si="43"/>
        <v>68.493200000000002</v>
      </c>
      <c r="R945">
        <f>I945-(K945*Standards!$I$15)</f>
        <v>2.2588716249999998E-2</v>
      </c>
      <c r="S945">
        <f t="shared" si="44"/>
        <v>6.7269999999999996E-2</v>
      </c>
      <c r="T945" t="s">
        <v>123</v>
      </c>
    </row>
    <row r="946" spans="1:20">
      <c r="A946">
        <v>66</v>
      </c>
      <c r="B946">
        <v>0</v>
      </c>
      <c r="C946">
        <v>7.0099999999999996E-2</v>
      </c>
      <c r="D946">
        <v>34.24</v>
      </c>
      <c r="E946">
        <v>8.6699999999999999E-2</v>
      </c>
      <c r="F946">
        <v>2.6100000000000002E-2</v>
      </c>
      <c r="G946">
        <v>0.28199999999999997</v>
      </c>
      <c r="H946">
        <v>0.26840000000000003</v>
      </c>
      <c r="I946">
        <v>4.0000000000000001E-3</v>
      </c>
      <c r="J946">
        <v>2.0199999999999999E-2</v>
      </c>
      <c r="K946">
        <v>0</v>
      </c>
      <c r="L946">
        <v>68.150000000000006</v>
      </c>
      <c r="M946">
        <v>8.5800000000000001E-2</v>
      </c>
      <c r="N946">
        <v>103.2333</v>
      </c>
      <c r="O946" t="s">
        <v>427</v>
      </c>
      <c r="Q946">
        <f t="shared" si="43"/>
        <v>68.418400000000005</v>
      </c>
      <c r="R946">
        <f>I946-(K946*Standards!$I$15)</f>
        <v>4.0000000000000001E-3</v>
      </c>
      <c r="S946">
        <f t="shared" si="44"/>
        <v>6.989999999999999E-2</v>
      </c>
      <c r="T946" t="s">
        <v>123</v>
      </c>
    </row>
    <row r="947" spans="1:20">
      <c r="A947">
        <v>118</v>
      </c>
      <c r="B947">
        <v>0</v>
      </c>
      <c r="C947">
        <v>5.4800000000000001E-2</v>
      </c>
      <c r="D947">
        <v>33.72</v>
      </c>
      <c r="E947">
        <v>0.17430000000000001</v>
      </c>
      <c r="F947">
        <v>0</v>
      </c>
      <c r="G947">
        <v>0.49509999999999998</v>
      </c>
      <c r="H947">
        <v>2.4400000000000002E-2</v>
      </c>
      <c r="I947">
        <v>3.2000000000000002E-3</v>
      </c>
      <c r="J947">
        <v>1.0800000000000001E-2</v>
      </c>
      <c r="K947">
        <v>1.23E-2</v>
      </c>
      <c r="L947">
        <v>68.150000000000006</v>
      </c>
      <c r="M947">
        <v>0.1232</v>
      </c>
      <c r="N947">
        <v>102.768</v>
      </c>
      <c r="O947" t="s">
        <v>428</v>
      </c>
      <c r="Q947">
        <f t="shared" si="43"/>
        <v>68.174400000000006</v>
      </c>
      <c r="R947">
        <f>I947-(K947*Standards!$I$15)</f>
        <v>3.1727862500000002E-3</v>
      </c>
      <c r="S947">
        <f t="shared" si="44"/>
        <v>5.4640000000000001E-2</v>
      </c>
      <c r="T947" t="s">
        <v>123</v>
      </c>
    </row>
    <row r="948" spans="1:20">
      <c r="A948">
        <v>98</v>
      </c>
      <c r="B948">
        <v>0</v>
      </c>
      <c r="C948">
        <v>8.1500000000000003E-2</v>
      </c>
      <c r="D948">
        <v>34.24</v>
      </c>
      <c r="E948">
        <v>0.1027</v>
      </c>
      <c r="F948">
        <v>0</v>
      </c>
      <c r="G948">
        <v>0.3095</v>
      </c>
      <c r="H948">
        <v>0.2747</v>
      </c>
      <c r="I948">
        <v>0</v>
      </c>
      <c r="J948">
        <v>2.8799999999999999E-2</v>
      </c>
      <c r="K948">
        <v>2.3199999999999998E-2</v>
      </c>
      <c r="L948">
        <v>68.13</v>
      </c>
      <c r="M948">
        <v>8.3799999999999999E-2</v>
      </c>
      <c r="N948">
        <v>103.2741</v>
      </c>
      <c r="O948" t="s">
        <v>427</v>
      </c>
      <c r="Q948">
        <f t="shared" si="43"/>
        <v>68.404699999999991</v>
      </c>
      <c r="R948">
        <f>I948-(K948*Standards!$I$15)</f>
        <v>-5.1329999999999998E-5</v>
      </c>
      <c r="S948">
        <f t="shared" si="44"/>
        <v>8.1500000000000003E-2</v>
      </c>
      <c r="T948" t="s">
        <v>123</v>
      </c>
    </row>
    <row r="949" spans="1:20">
      <c r="A949">
        <v>86</v>
      </c>
      <c r="B949">
        <v>0</v>
      </c>
      <c r="C949">
        <v>5.4300000000000001E-2</v>
      </c>
      <c r="D949">
        <v>33.75</v>
      </c>
      <c r="E949">
        <v>0.22</v>
      </c>
      <c r="F949">
        <v>0</v>
      </c>
      <c r="G949">
        <v>0.63839999999999997</v>
      </c>
      <c r="H949">
        <v>0.33710000000000001</v>
      </c>
      <c r="I949">
        <v>0</v>
      </c>
      <c r="J949">
        <v>0</v>
      </c>
      <c r="K949">
        <v>8.5500000000000007E-2</v>
      </c>
      <c r="L949">
        <v>68.099999999999994</v>
      </c>
      <c r="M949">
        <v>0.11169999999999999</v>
      </c>
      <c r="N949">
        <v>103.297</v>
      </c>
      <c r="O949" t="s">
        <v>427</v>
      </c>
      <c r="Q949">
        <f t="shared" si="43"/>
        <v>68.437100000000001</v>
      </c>
      <c r="R949">
        <f>I949-(K949*Standards!$I$15)</f>
        <v>-1.8916875000000001E-4</v>
      </c>
      <c r="S949">
        <f t="shared" si="44"/>
        <v>5.4300000000000001E-2</v>
      </c>
      <c r="T949" t="s">
        <v>123</v>
      </c>
    </row>
    <row r="950" spans="1:20">
      <c r="A950">
        <v>89</v>
      </c>
      <c r="B950">
        <v>0</v>
      </c>
      <c r="C950">
        <v>4.4200000000000003E-2</v>
      </c>
      <c r="D950">
        <v>34.119999999999997</v>
      </c>
      <c r="E950">
        <v>0.1741</v>
      </c>
      <c r="F950">
        <v>1.41E-2</v>
      </c>
      <c r="G950">
        <v>0.52639999999999998</v>
      </c>
      <c r="H950">
        <v>0.31640000000000001</v>
      </c>
      <c r="I950">
        <v>5.7000000000000002E-3</v>
      </c>
      <c r="J950">
        <v>0</v>
      </c>
      <c r="K950">
        <v>2.0299999999999999E-2</v>
      </c>
      <c r="L950">
        <v>68.099999999999994</v>
      </c>
      <c r="M950">
        <v>8.2000000000000003E-2</v>
      </c>
      <c r="N950">
        <v>103.40309999999999</v>
      </c>
      <c r="O950" t="s">
        <v>427</v>
      </c>
      <c r="Q950">
        <f t="shared" si="43"/>
        <v>68.416399999999996</v>
      </c>
      <c r="R950">
        <f>I950-(K950*Standards!$I$15)</f>
        <v>5.65508625E-3</v>
      </c>
      <c r="S950">
        <f t="shared" si="44"/>
        <v>4.3915000000000003E-2</v>
      </c>
      <c r="T950" t="s">
        <v>123</v>
      </c>
    </row>
    <row r="951" spans="1:20">
      <c r="A951">
        <v>72</v>
      </c>
      <c r="B951">
        <v>0</v>
      </c>
      <c r="C951">
        <v>6.9000000000000006E-2</v>
      </c>
      <c r="D951">
        <v>34.299999999999997</v>
      </c>
      <c r="E951">
        <v>8.9499999999999996E-2</v>
      </c>
      <c r="F951">
        <v>0.1022</v>
      </c>
      <c r="G951">
        <v>0.28050000000000003</v>
      </c>
      <c r="H951">
        <v>0.25440000000000002</v>
      </c>
      <c r="I951">
        <v>3.0999999999999999E-3</v>
      </c>
      <c r="J951">
        <v>0.1812</v>
      </c>
      <c r="K951">
        <v>0</v>
      </c>
      <c r="L951">
        <v>68.069999999999993</v>
      </c>
      <c r="M951">
        <v>9.5699999999999993E-2</v>
      </c>
      <c r="N951">
        <v>103.4455</v>
      </c>
      <c r="O951" t="s">
        <v>427</v>
      </c>
      <c r="Q951">
        <f t="shared" si="43"/>
        <v>68.324399999999997</v>
      </c>
      <c r="R951">
        <f>I951-(K951*Standards!$I$15)</f>
        <v>3.0999999999999999E-3</v>
      </c>
      <c r="S951">
        <f t="shared" si="44"/>
        <v>6.8845000000000003E-2</v>
      </c>
      <c r="T951" t="s">
        <v>123</v>
      </c>
    </row>
    <row r="952" spans="1:20">
      <c r="A952">
        <v>96</v>
      </c>
      <c r="B952">
        <v>0</v>
      </c>
      <c r="C952">
        <v>9.1200000000000003E-2</v>
      </c>
      <c r="D952">
        <v>34.32</v>
      </c>
      <c r="E952">
        <v>9.2700000000000005E-2</v>
      </c>
      <c r="F952">
        <v>0</v>
      </c>
      <c r="G952">
        <v>0.2802</v>
      </c>
      <c r="H952">
        <v>0.2208</v>
      </c>
      <c r="I952">
        <v>0</v>
      </c>
      <c r="J952">
        <v>0</v>
      </c>
      <c r="K952">
        <v>2.5999999999999999E-2</v>
      </c>
      <c r="L952">
        <v>68.03</v>
      </c>
      <c r="M952">
        <v>9.11E-2</v>
      </c>
      <c r="N952">
        <v>103.1519</v>
      </c>
      <c r="O952" t="s">
        <v>427</v>
      </c>
      <c r="Q952">
        <f t="shared" si="43"/>
        <v>68.250799999999998</v>
      </c>
      <c r="R952">
        <f>I952-(K952*Standards!$I$15)</f>
        <v>-5.7524999999999996E-5</v>
      </c>
      <c r="S952">
        <f t="shared" si="44"/>
        <v>9.1200000000000003E-2</v>
      </c>
      <c r="T952" t="s">
        <v>123</v>
      </c>
    </row>
    <row r="953" spans="1:20">
      <c r="A953">
        <v>93</v>
      </c>
      <c r="B953">
        <v>0</v>
      </c>
      <c r="C953">
        <v>5.62E-2</v>
      </c>
      <c r="D953">
        <v>33.93</v>
      </c>
      <c r="E953">
        <v>6.3200000000000006E-2</v>
      </c>
      <c r="F953">
        <v>0</v>
      </c>
      <c r="G953">
        <v>0.2228</v>
      </c>
      <c r="H953">
        <v>0.40589999999999998</v>
      </c>
      <c r="I953">
        <v>0</v>
      </c>
      <c r="J953">
        <v>0</v>
      </c>
      <c r="K953">
        <v>1E-3</v>
      </c>
      <c r="L953">
        <v>67.97</v>
      </c>
      <c r="M953">
        <v>6.6500000000000004E-2</v>
      </c>
      <c r="N953">
        <v>102.71550000000001</v>
      </c>
      <c r="O953" t="s">
        <v>427</v>
      </c>
      <c r="Q953">
        <f t="shared" si="43"/>
        <v>68.375900000000001</v>
      </c>
      <c r="R953">
        <f>I953-(K953*Standards!$I$15)</f>
        <v>-2.2125E-6</v>
      </c>
      <c r="S953">
        <f t="shared" si="44"/>
        <v>5.62E-2</v>
      </c>
      <c r="T953" t="s">
        <v>123</v>
      </c>
    </row>
    <row r="954" spans="1:20">
      <c r="A954">
        <v>92</v>
      </c>
      <c r="B954">
        <v>0</v>
      </c>
      <c r="C954">
        <v>4.1300000000000003E-2</v>
      </c>
      <c r="D954">
        <v>34.020000000000003</v>
      </c>
      <c r="E954">
        <v>0.13159999999999999</v>
      </c>
      <c r="F954">
        <v>0</v>
      </c>
      <c r="G954">
        <v>0.38629999999999998</v>
      </c>
      <c r="H954">
        <v>0.54339999999999999</v>
      </c>
      <c r="I954">
        <v>4.0000000000000002E-4</v>
      </c>
      <c r="J954">
        <v>0</v>
      </c>
      <c r="K954">
        <v>1.7000000000000001E-2</v>
      </c>
      <c r="L954">
        <v>67.930000000000007</v>
      </c>
      <c r="M954">
        <v>8.2100000000000006E-2</v>
      </c>
      <c r="N954">
        <v>103.152</v>
      </c>
      <c r="O954" t="s">
        <v>427</v>
      </c>
      <c r="Q954">
        <f t="shared" si="43"/>
        <v>68.473400000000012</v>
      </c>
      <c r="R954">
        <f>I954-(K954*Standards!$I$15)</f>
        <v>3.6238749999999999E-4</v>
      </c>
      <c r="S954">
        <f t="shared" si="44"/>
        <v>4.1280000000000004E-2</v>
      </c>
      <c r="T954" t="s">
        <v>123</v>
      </c>
    </row>
    <row r="955" spans="1:20">
      <c r="A955">
        <v>94</v>
      </c>
      <c r="B955">
        <v>0</v>
      </c>
      <c r="C955">
        <v>5.5199999999999999E-2</v>
      </c>
      <c r="D955">
        <v>33.700000000000003</v>
      </c>
      <c r="E955">
        <v>0.14929999999999999</v>
      </c>
      <c r="F955">
        <v>2.1600000000000001E-2</v>
      </c>
      <c r="G955">
        <v>0.4622</v>
      </c>
      <c r="H955">
        <v>0.32579999999999998</v>
      </c>
      <c r="I955">
        <v>0</v>
      </c>
      <c r="J955">
        <v>4.4000000000000003E-3</v>
      </c>
      <c r="K955">
        <v>1.35E-2</v>
      </c>
      <c r="L955">
        <v>67.92</v>
      </c>
      <c r="M955">
        <v>6.9000000000000006E-2</v>
      </c>
      <c r="N955">
        <v>102.7209</v>
      </c>
      <c r="O955" t="s">
        <v>427</v>
      </c>
      <c r="Q955">
        <f t="shared" si="43"/>
        <v>68.245800000000003</v>
      </c>
      <c r="R955">
        <f>I955-(K955*Standards!$I$15)</f>
        <v>-2.9868750000000001E-5</v>
      </c>
      <c r="S955">
        <f t="shared" si="44"/>
        <v>5.5199999999999999E-2</v>
      </c>
      <c r="T955" t="s">
        <v>123</v>
      </c>
    </row>
    <row r="956" spans="1:20">
      <c r="A956">
        <v>90</v>
      </c>
      <c r="B956">
        <v>0</v>
      </c>
      <c r="C956">
        <v>9.2499999999999999E-2</v>
      </c>
      <c r="D956">
        <v>33.96</v>
      </c>
      <c r="E956">
        <v>9.0499999999999997E-2</v>
      </c>
      <c r="F956">
        <v>0</v>
      </c>
      <c r="G956">
        <v>0.29499999999999998</v>
      </c>
      <c r="H956">
        <v>0.28739999999999999</v>
      </c>
      <c r="I956">
        <v>0</v>
      </c>
      <c r="J956">
        <v>1.7500000000000002E-2</v>
      </c>
      <c r="K956">
        <v>7.6E-3</v>
      </c>
      <c r="L956">
        <v>67.89</v>
      </c>
      <c r="M956">
        <v>7.7700000000000005E-2</v>
      </c>
      <c r="N956">
        <v>102.71810000000001</v>
      </c>
      <c r="O956" t="s">
        <v>427</v>
      </c>
      <c r="Q956">
        <f t="shared" si="43"/>
        <v>68.177400000000006</v>
      </c>
      <c r="R956">
        <f>I956-(K956*Standards!$I$15)</f>
        <v>-1.6815000000000001E-5</v>
      </c>
      <c r="S956">
        <f t="shared" si="44"/>
        <v>9.2499999999999999E-2</v>
      </c>
      <c r="T956" t="s">
        <v>123</v>
      </c>
    </row>
    <row r="957" spans="1:20">
      <c r="A957">
        <v>100</v>
      </c>
      <c r="B957">
        <v>0</v>
      </c>
      <c r="C957">
        <v>8.1699999999999995E-2</v>
      </c>
      <c r="D957">
        <v>34.229999999999997</v>
      </c>
      <c r="E957">
        <v>9.8199999999999996E-2</v>
      </c>
      <c r="F957">
        <v>2.8899999999999999E-2</v>
      </c>
      <c r="G957">
        <v>0.2903</v>
      </c>
      <c r="H957">
        <v>0.31369999999999998</v>
      </c>
      <c r="I957">
        <v>0</v>
      </c>
      <c r="J957">
        <v>9.35E-2</v>
      </c>
      <c r="K957">
        <v>2.7300000000000001E-2</v>
      </c>
      <c r="L957">
        <v>67.89</v>
      </c>
      <c r="M957">
        <v>7.4200000000000002E-2</v>
      </c>
      <c r="N957">
        <v>103.12779999999999</v>
      </c>
      <c r="O957" t="s">
        <v>427</v>
      </c>
      <c r="Q957">
        <f t="shared" si="43"/>
        <v>68.203699999999998</v>
      </c>
      <c r="R957">
        <f>I957-(K957*Standards!$I$15)</f>
        <v>-6.0401250000000004E-5</v>
      </c>
      <c r="S957">
        <f t="shared" si="44"/>
        <v>8.1699999999999995E-2</v>
      </c>
      <c r="T957" t="s">
        <v>123</v>
      </c>
    </row>
    <row r="958" spans="1:20">
      <c r="A958">
        <v>77</v>
      </c>
      <c r="B958">
        <v>0</v>
      </c>
      <c r="C958">
        <v>7.5499999999999998E-2</v>
      </c>
      <c r="D958">
        <v>34.11</v>
      </c>
      <c r="E958">
        <v>8.2500000000000004E-2</v>
      </c>
      <c r="F958">
        <v>6.4899999999999999E-2</v>
      </c>
      <c r="G958">
        <v>0.2452</v>
      </c>
      <c r="H958">
        <v>0.29149999999999998</v>
      </c>
      <c r="I958">
        <v>1.5E-3</v>
      </c>
      <c r="J958">
        <v>0.1232</v>
      </c>
      <c r="K958">
        <v>0</v>
      </c>
      <c r="L958">
        <v>67.83</v>
      </c>
      <c r="M958">
        <v>8.77E-2</v>
      </c>
      <c r="N958">
        <v>102.9119</v>
      </c>
      <c r="O958" t="s">
        <v>427</v>
      </c>
      <c r="Q958">
        <f t="shared" si="43"/>
        <v>68.121499999999997</v>
      </c>
      <c r="R958">
        <f>I958-(K958*Standards!$I$15)</f>
        <v>1.5E-3</v>
      </c>
      <c r="S958">
        <f t="shared" si="44"/>
        <v>7.5424999999999992E-2</v>
      </c>
      <c r="T958" t="s">
        <v>123</v>
      </c>
    </row>
    <row r="959" spans="1:20">
      <c r="A959">
        <v>91</v>
      </c>
      <c r="B959">
        <v>0</v>
      </c>
      <c r="C959">
        <v>0.04</v>
      </c>
      <c r="D959">
        <v>34.07</v>
      </c>
      <c r="E959">
        <v>0.25219999999999998</v>
      </c>
      <c r="F959">
        <v>0</v>
      </c>
      <c r="G959">
        <v>0.78639999999999999</v>
      </c>
      <c r="H959">
        <v>0.36049999999999999</v>
      </c>
      <c r="I959">
        <v>0</v>
      </c>
      <c r="J959">
        <v>0</v>
      </c>
      <c r="K959">
        <v>2.7699999999999999E-2</v>
      </c>
      <c r="L959">
        <v>67.72</v>
      </c>
      <c r="M959">
        <v>8.1699999999999995E-2</v>
      </c>
      <c r="N959">
        <v>103.3385</v>
      </c>
      <c r="O959" t="s">
        <v>427</v>
      </c>
      <c r="Q959">
        <f t="shared" si="43"/>
        <v>68.080500000000001</v>
      </c>
      <c r="R959">
        <f>I959-(K959*Standards!$I$15)</f>
        <v>-6.128625E-5</v>
      </c>
      <c r="S959">
        <f t="shared" si="44"/>
        <v>0.04</v>
      </c>
      <c r="T959" t="s">
        <v>123</v>
      </c>
    </row>
    <row r="960" spans="1:20">
      <c r="A960">
        <v>119</v>
      </c>
      <c r="B960">
        <v>0</v>
      </c>
      <c r="C960">
        <v>7.9500000000000001E-2</v>
      </c>
      <c r="D960">
        <v>33.76</v>
      </c>
      <c r="E960">
        <v>0.35370000000000001</v>
      </c>
      <c r="F960">
        <v>0</v>
      </c>
      <c r="G960">
        <v>1.1200000000000001</v>
      </c>
      <c r="H960">
        <v>4.2000000000000003E-2</v>
      </c>
      <c r="I960">
        <v>3.5000000000000001E-3</v>
      </c>
      <c r="J960">
        <v>7.9100000000000004E-2</v>
      </c>
      <c r="K960">
        <v>3.5499999999999997E-2</v>
      </c>
      <c r="L960">
        <v>67.709999999999994</v>
      </c>
      <c r="M960">
        <v>0.1399</v>
      </c>
      <c r="N960">
        <v>103.3231</v>
      </c>
      <c r="O960" t="s">
        <v>428</v>
      </c>
      <c r="Q960">
        <f t="shared" si="43"/>
        <v>67.751999999999995</v>
      </c>
      <c r="R960">
        <f>I960-(K960*Standards!$I$15)</f>
        <v>3.4214562500000001E-3</v>
      </c>
      <c r="S960">
        <f t="shared" si="44"/>
        <v>7.9325000000000007E-2</v>
      </c>
      <c r="T960" t="s">
        <v>123</v>
      </c>
    </row>
    <row r="961" spans="1:20">
      <c r="A961">
        <v>62</v>
      </c>
      <c r="B961">
        <v>0</v>
      </c>
      <c r="C961">
        <v>7.2300000000000003E-2</v>
      </c>
      <c r="D961">
        <v>33.76</v>
      </c>
      <c r="E961">
        <v>5.9499999999999997E-2</v>
      </c>
      <c r="F961">
        <v>0</v>
      </c>
      <c r="G961">
        <v>0.1726</v>
      </c>
      <c r="H961">
        <v>1.33</v>
      </c>
      <c r="I961">
        <v>0</v>
      </c>
      <c r="J961">
        <v>0</v>
      </c>
      <c r="K961">
        <v>0</v>
      </c>
      <c r="L961">
        <v>67.42</v>
      </c>
      <c r="M961">
        <v>7.6300000000000007E-2</v>
      </c>
      <c r="N961">
        <v>102.89060000000001</v>
      </c>
      <c r="O961" t="s">
        <v>429</v>
      </c>
      <c r="Q961">
        <f t="shared" si="43"/>
        <v>68.75</v>
      </c>
      <c r="R961">
        <f>I961-(K961*Standards!$I$15)</f>
        <v>0</v>
      </c>
      <c r="S961">
        <f t="shared" si="44"/>
        <v>7.2300000000000003E-2</v>
      </c>
      <c r="T961" t="s">
        <v>123</v>
      </c>
    </row>
    <row r="962" spans="1:20">
      <c r="A962">
        <v>116</v>
      </c>
      <c r="B962">
        <v>0</v>
      </c>
      <c r="C962">
        <v>8.2199999999999995E-2</v>
      </c>
      <c r="D962">
        <v>33.53</v>
      </c>
      <c r="E962">
        <v>0.21460000000000001</v>
      </c>
      <c r="F962">
        <v>5.0000000000000001E-4</v>
      </c>
      <c r="G962">
        <v>0.64149999999999996</v>
      </c>
      <c r="H962">
        <v>2.5999999999999999E-2</v>
      </c>
      <c r="I962">
        <v>1E-3</v>
      </c>
      <c r="J962">
        <v>5.9999999999999995E-4</v>
      </c>
      <c r="K962">
        <v>0</v>
      </c>
      <c r="L962">
        <v>67.42</v>
      </c>
      <c r="M962">
        <v>0.158</v>
      </c>
      <c r="N962">
        <v>102.07429999999999</v>
      </c>
      <c r="O962" t="s">
        <v>428</v>
      </c>
      <c r="Q962">
        <f t="shared" si="43"/>
        <v>67.445999999999998</v>
      </c>
      <c r="R962">
        <f>I962-(K962*Standards!$I$15)</f>
        <v>1E-3</v>
      </c>
      <c r="S962">
        <f t="shared" si="44"/>
        <v>8.2150000000000001E-2</v>
      </c>
      <c r="T962" t="s">
        <v>123</v>
      </c>
    </row>
    <row r="963" spans="1:20">
      <c r="A963">
        <v>78</v>
      </c>
      <c r="B963">
        <v>0</v>
      </c>
      <c r="C963">
        <v>6.7199999999999996E-2</v>
      </c>
      <c r="D963">
        <v>33.869999999999997</v>
      </c>
      <c r="E963">
        <v>0.27529999999999999</v>
      </c>
      <c r="F963">
        <v>1.7299999999999999E-2</v>
      </c>
      <c r="G963">
        <v>0.82220000000000004</v>
      </c>
      <c r="H963">
        <v>0.39290000000000003</v>
      </c>
      <c r="I963">
        <v>0</v>
      </c>
      <c r="J963">
        <v>0</v>
      </c>
      <c r="K963">
        <v>4.3E-3</v>
      </c>
      <c r="L963">
        <v>67.31</v>
      </c>
      <c r="M963">
        <v>7.9500000000000001E-2</v>
      </c>
      <c r="N963">
        <v>102.8386</v>
      </c>
      <c r="O963" t="s">
        <v>427</v>
      </c>
      <c r="Q963">
        <f t="shared" si="43"/>
        <v>67.7029</v>
      </c>
      <c r="R963">
        <f>I963-(K963*Standards!$I$15)</f>
        <v>-9.5137500000000002E-6</v>
      </c>
      <c r="S963">
        <f t="shared" si="44"/>
        <v>6.7199999999999996E-2</v>
      </c>
      <c r="T963" t="s">
        <v>123</v>
      </c>
    </row>
    <row r="964" spans="1:20">
      <c r="A964">
        <v>55</v>
      </c>
      <c r="B964">
        <v>0</v>
      </c>
      <c r="C964">
        <v>5.7299999999999997E-2</v>
      </c>
      <c r="D964">
        <v>34.03</v>
      </c>
      <c r="E964">
        <v>6.3500000000000001E-2</v>
      </c>
      <c r="F964">
        <v>0</v>
      </c>
      <c r="G964">
        <v>0.24129999999999999</v>
      </c>
      <c r="H964">
        <v>1.28</v>
      </c>
      <c r="I964">
        <v>0</v>
      </c>
      <c r="J964">
        <v>4.7000000000000002E-3</v>
      </c>
      <c r="K964">
        <v>0</v>
      </c>
      <c r="L964">
        <v>67.27</v>
      </c>
      <c r="M964">
        <v>9.6600000000000005E-2</v>
      </c>
      <c r="N964">
        <v>103.0433</v>
      </c>
      <c r="O964" t="s">
        <v>125</v>
      </c>
      <c r="Q964">
        <f t="shared" si="43"/>
        <v>68.55</v>
      </c>
      <c r="R964">
        <f>I964-(K964*Standards!$I$15)</f>
        <v>0</v>
      </c>
      <c r="S964">
        <f t="shared" si="44"/>
        <v>5.7299999999999997E-2</v>
      </c>
      <c r="T964" t="s">
        <v>123</v>
      </c>
    </row>
    <row r="965" spans="1:20">
      <c r="A965">
        <v>58</v>
      </c>
      <c r="B965">
        <v>0</v>
      </c>
      <c r="C965">
        <v>6.1199999999999997E-2</v>
      </c>
      <c r="D965">
        <v>34.270000000000003</v>
      </c>
      <c r="E965">
        <v>8.0600000000000005E-2</v>
      </c>
      <c r="F965">
        <v>0</v>
      </c>
      <c r="G965">
        <v>0.21129999999999999</v>
      </c>
      <c r="H965">
        <v>1.59</v>
      </c>
      <c r="I965">
        <v>0</v>
      </c>
      <c r="J965">
        <v>0</v>
      </c>
      <c r="K965">
        <v>0</v>
      </c>
      <c r="L965">
        <v>67.25</v>
      </c>
      <c r="M965">
        <v>8.7800000000000003E-2</v>
      </c>
      <c r="N965">
        <v>103.5508</v>
      </c>
      <c r="O965" t="s">
        <v>125</v>
      </c>
      <c r="Q965">
        <f t="shared" si="43"/>
        <v>68.84</v>
      </c>
      <c r="R965">
        <f>I965-(K965*Standards!$I$15)</f>
        <v>0</v>
      </c>
      <c r="S965">
        <f t="shared" si="44"/>
        <v>6.1199999999999997E-2</v>
      </c>
      <c r="T965" t="s">
        <v>123</v>
      </c>
    </row>
    <row r="966" spans="1:20">
      <c r="A966">
        <v>51</v>
      </c>
      <c r="B966">
        <v>0</v>
      </c>
      <c r="C966">
        <v>5.3499999999999999E-2</v>
      </c>
      <c r="D966">
        <v>34.090000000000003</v>
      </c>
      <c r="E966">
        <v>6.25E-2</v>
      </c>
      <c r="F966">
        <v>5.0000000000000001E-4</v>
      </c>
      <c r="G966">
        <v>0.1946</v>
      </c>
      <c r="H966">
        <v>1.44</v>
      </c>
      <c r="I966">
        <v>3.2000000000000002E-3</v>
      </c>
      <c r="J966">
        <v>7.2499999999999995E-2</v>
      </c>
      <c r="K966">
        <v>0</v>
      </c>
      <c r="L966">
        <v>67.16</v>
      </c>
      <c r="M966">
        <v>9.3899999999999997E-2</v>
      </c>
      <c r="N966">
        <v>103.17059999999999</v>
      </c>
      <c r="O966" t="s">
        <v>125</v>
      </c>
      <c r="Q966">
        <f t="shared" si="43"/>
        <v>68.599999999999994</v>
      </c>
      <c r="R966">
        <f>I966-(K966*Standards!$I$15)</f>
        <v>3.2000000000000002E-3</v>
      </c>
      <c r="S966">
        <f t="shared" si="44"/>
        <v>5.3339999999999999E-2</v>
      </c>
      <c r="T966" t="s">
        <v>123</v>
      </c>
    </row>
    <row r="967" spans="1:20">
      <c r="A967">
        <v>117</v>
      </c>
      <c r="B967">
        <v>0</v>
      </c>
      <c r="C967">
        <v>6.2199999999999998E-2</v>
      </c>
      <c r="D967">
        <v>33.68</v>
      </c>
      <c r="E967">
        <v>0.34989999999999999</v>
      </c>
      <c r="F967">
        <v>0</v>
      </c>
      <c r="G967">
        <v>1.0900000000000001</v>
      </c>
      <c r="H967">
        <v>2.0299999999999999E-2</v>
      </c>
      <c r="I967">
        <v>4.1999999999999997E-3</v>
      </c>
      <c r="J967">
        <v>0.15279999999999999</v>
      </c>
      <c r="K967">
        <v>4.3200000000000002E-2</v>
      </c>
      <c r="L967">
        <v>67.010000000000005</v>
      </c>
      <c r="M967">
        <v>0.11749999999999999</v>
      </c>
      <c r="N967">
        <v>102.5301</v>
      </c>
      <c r="O967" t="s">
        <v>428</v>
      </c>
      <c r="Q967">
        <f t="shared" si="43"/>
        <v>67.030300000000011</v>
      </c>
      <c r="R967">
        <f>I967-(K967*Standards!$I$15)</f>
        <v>4.1044200000000001E-3</v>
      </c>
      <c r="S967">
        <f t="shared" si="44"/>
        <v>6.1989999999999996E-2</v>
      </c>
      <c r="T967" t="s">
        <v>123</v>
      </c>
    </row>
    <row r="968" spans="1:20">
      <c r="A968">
        <v>53</v>
      </c>
      <c r="B968">
        <v>0</v>
      </c>
      <c r="C968">
        <v>0.06</v>
      </c>
      <c r="D968">
        <v>34.049999999999997</v>
      </c>
      <c r="E968">
        <v>5.2499999999999998E-2</v>
      </c>
      <c r="F968">
        <v>0</v>
      </c>
      <c r="G968">
        <v>0.1804</v>
      </c>
      <c r="H968">
        <v>1.04</v>
      </c>
      <c r="I968">
        <v>2.0999999999999999E-3</v>
      </c>
      <c r="J968">
        <v>0.2994</v>
      </c>
      <c r="K968">
        <v>0</v>
      </c>
      <c r="L968">
        <v>66.819999999999993</v>
      </c>
      <c r="M968">
        <v>0.13489999999999999</v>
      </c>
      <c r="N968">
        <v>102.63930000000001</v>
      </c>
      <c r="O968" t="s">
        <v>125</v>
      </c>
      <c r="Q968">
        <f t="shared" si="43"/>
        <v>67.86</v>
      </c>
      <c r="R968">
        <f>I968-(K968*Standards!$I$15)</f>
        <v>2.0999999999999999E-3</v>
      </c>
      <c r="S968">
        <f t="shared" si="44"/>
        <v>5.9894999999999997E-2</v>
      </c>
      <c r="T968" t="s">
        <v>123</v>
      </c>
    </row>
    <row r="969" spans="1:20">
      <c r="A969">
        <v>48</v>
      </c>
      <c r="B969">
        <v>0</v>
      </c>
      <c r="C969">
        <v>5.6300000000000003E-2</v>
      </c>
      <c r="D969">
        <v>34.380000000000003</v>
      </c>
      <c r="E969">
        <v>7.6899999999999996E-2</v>
      </c>
      <c r="F969">
        <v>2.01E-2</v>
      </c>
      <c r="G969">
        <v>0.21360000000000001</v>
      </c>
      <c r="H969">
        <v>1.67</v>
      </c>
      <c r="I969">
        <v>0</v>
      </c>
      <c r="J969">
        <v>0.12470000000000001</v>
      </c>
      <c r="K969">
        <v>0</v>
      </c>
      <c r="L969">
        <v>66.8</v>
      </c>
      <c r="M969">
        <v>7.2999999999999995E-2</v>
      </c>
      <c r="N969">
        <v>103.4145</v>
      </c>
      <c r="O969" t="s">
        <v>125</v>
      </c>
      <c r="Q969">
        <f t="shared" si="43"/>
        <v>68.47</v>
      </c>
      <c r="R969">
        <f>I969-(K969*Standards!$I$15)</f>
        <v>0</v>
      </c>
      <c r="S969">
        <f t="shared" si="44"/>
        <v>5.6300000000000003E-2</v>
      </c>
      <c r="T969" t="s">
        <v>123</v>
      </c>
    </row>
    <row r="970" spans="1:20">
      <c r="A970">
        <v>57</v>
      </c>
      <c r="B970">
        <v>0</v>
      </c>
      <c r="C970">
        <v>6.8599999999999994E-2</v>
      </c>
      <c r="D970">
        <v>34.24</v>
      </c>
      <c r="E970">
        <v>0.1045</v>
      </c>
      <c r="F970">
        <v>0.17810000000000001</v>
      </c>
      <c r="G970">
        <v>0.27650000000000002</v>
      </c>
      <c r="H970">
        <v>1.52</v>
      </c>
      <c r="I970">
        <v>0</v>
      </c>
      <c r="J970">
        <v>0.35720000000000002</v>
      </c>
      <c r="K970">
        <v>0</v>
      </c>
      <c r="L970">
        <v>66.8</v>
      </c>
      <c r="M970">
        <v>0.12690000000000001</v>
      </c>
      <c r="N970">
        <v>103.6718</v>
      </c>
      <c r="O970" t="s">
        <v>125</v>
      </c>
      <c r="Q970">
        <f t="shared" si="43"/>
        <v>68.319999999999993</v>
      </c>
      <c r="R970">
        <f>I970-(K970*Standards!$I$15)</f>
        <v>0</v>
      </c>
      <c r="S970">
        <f t="shared" si="44"/>
        <v>6.8599999999999994E-2</v>
      </c>
      <c r="T970" t="s">
        <v>123</v>
      </c>
    </row>
    <row r="971" spans="1:20">
      <c r="A971">
        <v>34</v>
      </c>
      <c r="B971">
        <v>0</v>
      </c>
      <c r="C971">
        <v>3.9100000000000003E-2</v>
      </c>
      <c r="D971">
        <v>33.94</v>
      </c>
      <c r="E971">
        <v>7.9500000000000001E-2</v>
      </c>
      <c r="F971">
        <v>0</v>
      </c>
      <c r="G971">
        <v>0.222</v>
      </c>
      <c r="H971">
        <v>1.86</v>
      </c>
      <c r="I971">
        <v>0</v>
      </c>
      <c r="J971">
        <v>3.9199999999999999E-2</v>
      </c>
      <c r="K971">
        <v>0</v>
      </c>
      <c r="L971">
        <v>66.59</v>
      </c>
      <c r="M971">
        <v>0.1069</v>
      </c>
      <c r="N971">
        <v>102.8766</v>
      </c>
      <c r="O971" t="s">
        <v>125</v>
      </c>
      <c r="Q971">
        <f t="shared" si="43"/>
        <v>68.45</v>
      </c>
      <c r="R971">
        <f>I971-(K971*Standards!$I$15)</f>
        <v>0</v>
      </c>
      <c r="S971">
        <f t="shared" si="44"/>
        <v>3.9100000000000003E-2</v>
      </c>
      <c r="T971" t="s">
        <v>123</v>
      </c>
    </row>
    <row r="972" spans="1:20">
      <c r="A972">
        <v>46</v>
      </c>
      <c r="B972">
        <v>0</v>
      </c>
      <c r="C972">
        <v>6.83E-2</v>
      </c>
      <c r="D972">
        <v>34.31</v>
      </c>
      <c r="E972">
        <v>0.1038</v>
      </c>
      <c r="F972">
        <v>0.1081</v>
      </c>
      <c r="G972">
        <v>0.28120000000000001</v>
      </c>
      <c r="H972">
        <v>1.47</v>
      </c>
      <c r="I972">
        <v>0</v>
      </c>
      <c r="J972">
        <v>0.25130000000000002</v>
      </c>
      <c r="K972">
        <v>0</v>
      </c>
      <c r="L972">
        <v>66.56</v>
      </c>
      <c r="M972">
        <v>9.2700000000000005E-2</v>
      </c>
      <c r="N972">
        <v>103.2453</v>
      </c>
      <c r="O972" t="s">
        <v>125</v>
      </c>
      <c r="Q972">
        <f t="shared" si="43"/>
        <v>68.03</v>
      </c>
      <c r="R972">
        <f>I972-(K972*Standards!$I$15)</f>
        <v>0</v>
      </c>
      <c r="S972">
        <f t="shared" si="44"/>
        <v>6.83E-2</v>
      </c>
      <c r="T972" t="s">
        <v>123</v>
      </c>
    </row>
    <row r="973" spans="1:20">
      <c r="A973">
        <v>60</v>
      </c>
      <c r="B973">
        <v>0</v>
      </c>
      <c r="C973">
        <v>5.8500000000000003E-2</v>
      </c>
      <c r="D973">
        <v>34.25</v>
      </c>
      <c r="E973">
        <v>0.1181</v>
      </c>
      <c r="F973">
        <v>0.13789999999999999</v>
      </c>
      <c r="G973">
        <v>0.33889999999999998</v>
      </c>
      <c r="H973">
        <v>2.06</v>
      </c>
      <c r="I973">
        <v>0</v>
      </c>
      <c r="J973">
        <v>0.16200000000000001</v>
      </c>
      <c r="K973">
        <v>0</v>
      </c>
      <c r="L973">
        <v>66.510000000000005</v>
      </c>
      <c r="M973">
        <v>0.1138</v>
      </c>
      <c r="N973">
        <v>103.7492</v>
      </c>
      <c r="O973" t="s">
        <v>125</v>
      </c>
      <c r="Q973">
        <f t="shared" si="43"/>
        <v>68.570000000000007</v>
      </c>
      <c r="R973">
        <f>I973-(K973*Standards!$I$15)</f>
        <v>0</v>
      </c>
      <c r="S973">
        <f t="shared" si="44"/>
        <v>5.8500000000000003E-2</v>
      </c>
      <c r="T973" t="s">
        <v>123</v>
      </c>
    </row>
    <row r="974" spans="1:20">
      <c r="A974">
        <v>54</v>
      </c>
      <c r="B974">
        <v>0</v>
      </c>
      <c r="C974">
        <v>5.6899999999999999E-2</v>
      </c>
      <c r="D974">
        <v>33.619999999999997</v>
      </c>
      <c r="E974">
        <v>8.3000000000000004E-2</v>
      </c>
      <c r="F974">
        <v>0</v>
      </c>
      <c r="G974">
        <v>0.23760000000000001</v>
      </c>
      <c r="H974">
        <v>1.54</v>
      </c>
      <c r="I974">
        <v>0</v>
      </c>
      <c r="J974">
        <v>8.3900000000000002E-2</v>
      </c>
      <c r="K974">
        <v>0</v>
      </c>
      <c r="L974">
        <v>66.44</v>
      </c>
      <c r="M974">
        <v>8.7599999999999997E-2</v>
      </c>
      <c r="N974">
        <v>102.1489</v>
      </c>
      <c r="O974" t="s">
        <v>125</v>
      </c>
      <c r="Q974">
        <f t="shared" si="43"/>
        <v>67.98</v>
      </c>
      <c r="R974">
        <f>I974-(K974*Standards!$I$15)</f>
        <v>0</v>
      </c>
      <c r="S974">
        <f t="shared" si="44"/>
        <v>5.6899999999999999E-2</v>
      </c>
      <c r="T974" t="s">
        <v>123</v>
      </c>
    </row>
    <row r="975" spans="1:20">
      <c r="A975">
        <v>59</v>
      </c>
      <c r="B975">
        <v>0</v>
      </c>
      <c r="C975">
        <v>4.82E-2</v>
      </c>
      <c r="D975">
        <v>34.270000000000003</v>
      </c>
      <c r="E975">
        <v>5.6500000000000002E-2</v>
      </c>
      <c r="F975">
        <v>0</v>
      </c>
      <c r="G975">
        <v>0.17960000000000001</v>
      </c>
      <c r="H975">
        <v>1.93</v>
      </c>
      <c r="I975">
        <v>0</v>
      </c>
      <c r="J975">
        <v>0.50329999999999997</v>
      </c>
      <c r="K975">
        <v>0</v>
      </c>
      <c r="L975">
        <v>66.16</v>
      </c>
      <c r="M975">
        <v>8.5500000000000007E-2</v>
      </c>
      <c r="N975">
        <v>103.233</v>
      </c>
      <c r="O975" t="s">
        <v>125</v>
      </c>
      <c r="Q975">
        <f t="shared" si="43"/>
        <v>68.09</v>
      </c>
      <c r="R975">
        <f>I975-(K975*Standards!$I$15)</f>
        <v>0</v>
      </c>
      <c r="S975">
        <f t="shared" si="44"/>
        <v>4.82E-2</v>
      </c>
      <c r="T975" t="s">
        <v>123</v>
      </c>
    </row>
    <row r="976" spans="1:20">
      <c r="A976">
        <v>56</v>
      </c>
      <c r="B976">
        <v>0</v>
      </c>
      <c r="C976">
        <v>5.57E-2</v>
      </c>
      <c r="D976">
        <v>34.22</v>
      </c>
      <c r="E976">
        <v>2.92E-2</v>
      </c>
      <c r="F976">
        <v>0</v>
      </c>
      <c r="G976">
        <v>0.1532</v>
      </c>
      <c r="H976">
        <v>2.85</v>
      </c>
      <c r="I976">
        <v>0</v>
      </c>
      <c r="J976">
        <v>2.4199999999999999E-2</v>
      </c>
      <c r="K976">
        <v>0</v>
      </c>
      <c r="L976">
        <v>65.680000000000007</v>
      </c>
      <c r="M976">
        <v>9.9099999999999994E-2</v>
      </c>
      <c r="N976">
        <v>103.1113</v>
      </c>
      <c r="O976" t="s">
        <v>125</v>
      </c>
      <c r="Q976">
        <f t="shared" si="43"/>
        <v>68.53</v>
      </c>
      <c r="R976">
        <f>I976-(K976*Standards!$I$15)</f>
        <v>0</v>
      </c>
      <c r="S976">
        <f t="shared" si="44"/>
        <v>5.57E-2</v>
      </c>
      <c r="T976" t="s">
        <v>123</v>
      </c>
    </row>
    <row r="977" spans="1:20">
      <c r="A977">
        <v>69</v>
      </c>
      <c r="B977">
        <v>0</v>
      </c>
      <c r="C977">
        <v>7.3099999999999998E-2</v>
      </c>
      <c r="D977">
        <v>33.58</v>
      </c>
      <c r="E977">
        <v>0.10539999999999999</v>
      </c>
      <c r="F977">
        <v>0</v>
      </c>
      <c r="G977">
        <v>0.31900000000000001</v>
      </c>
      <c r="H977">
        <v>0.31850000000000001</v>
      </c>
      <c r="I977">
        <v>0</v>
      </c>
      <c r="J977">
        <v>8.3999999999999995E-3</v>
      </c>
      <c r="K977">
        <v>0</v>
      </c>
      <c r="L977">
        <v>65.66</v>
      </c>
      <c r="M977">
        <v>0.1057</v>
      </c>
      <c r="N977">
        <v>100.17010000000001</v>
      </c>
      <c r="O977" t="s">
        <v>427</v>
      </c>
      <c r="Q977">
        <f t="shared" si="43"/>
        <v>65.978499999999997</v>
      </c>
      <c r="R977">
        <f>I977-(K977*Standards!$I$15)</f>
        <v>0</v>
      </c>
      <c r="S977">
        <f t="shared" si="44"/>
        <v>7.3099999999999998E-2</v>
      </c>
      <c r="T977" t="s">
        <v>123</v>
      </c>
    </row>
    <row r="978" spans="1:20">
      <c r="A978">
        <v>115</v>
      </c>
      <c r="B978">
        <v>0</v>
      </c>
      <c r="C978">
        <v>6.7599999999999993E-2</v>
      </c>
      <c r="D978">
        <v>33.729999999999997</v>
      </c>
      <c r="E978">
        <v>0.33029999999999998</v>
      </c>
      <c r="F978">
        <v>0</v>
      </c>
      <c r="G978">
        <v>0.96399999999999997</v>
      </c>
      <c r="H978">
        <v>3.5099999999999999E-2</v>
      </c>
      <c r="I978">
        <v>5.1000000000000004E-3</v>
      </c>
      <c r="J978">
        <v>9.4299999999999995E-2</v>
      </c>
      <c r="K978">
        <v>6.1499999999999999E-2</v>
      </c>
      <c r="L978">
        <v>65.61</v>
      </c>
      <c r="M978">
        <v>0.2</v>
      </c>
      <c r="N978">
        <v>101.09780000000001</v>
      </c>
      <c r="O978" t="s">
        <v>428</v>
      </c>
      <c r="Q978">
        <f t="shared" si="43"/>
        <v>65.645099999999999</v>
      </c>
      <c r="R978">
        <f>I978-(K978*Standards!$I$15)</f>
        <v>4.9639312500000003E-3</v>
      </c>
      <c r="S978">
        <f t="shared" si="44"/>
        <v>6.7344999999999988E-2</v>
      </c>
      <c r="T978" t="s">
        <v>123</v>
      </c>
    </row>
    <row r="979" spans="1:20">
      <c r="A979">
        <v>33</v>
      </c>
      <c r="B979">
        <v>0</v>
      </c>
      <c r="C979">
        <v>5.4100000000000002E-2</v>
      </c>
      <c r="D979">
        <v>34.17</v>
      </c>
      <c r="E979">
        <v>7.6300000000000007E-2</v>
      </c>
      <c r="F979">
        <v>5.7000000000000002E-3</v>
      </c>
      <c r="G979">
        <v>0.21260000000000001</v>
      </c>
      <c r="H979">
        <v>2.2200000000000002</v>
      </c>
      <c r="I979">
        <v>0</v>
      </c>
      <c r="J979">
        <v>0.6381</v>
      </c>
      <c r="K979">
        <v>8.43E-2</v>
      </c>
      <c r="L979">
        <v>65.150000000000006</v>
      </c>
      <c r="M979">
        <v>9.8400000000000001E-2</v>
      </c>
      <c r="N979">
        <v>102.7094</v>
      </c>
      <c r="O979" t="s">
        <v>125</v>
      </c>
      <c r="Q979">
        <f t="shared" si="43"/>
        <v>67.37</v>
      </c>
      <c r="R979">
        <f>I979-(K979*Standards!$I$15)</f>
        <v>-1.8651375000000001E-4</v>
      </c>
      <c r="S979">
        <f t="shared" si="44"/>
        <v>5.4100000000000002E-2</v>
      </c>
      <c r="T979" t="s">
        <v>123</v>
      </c>
    </row>
    <row r="980" spans="1:20">
      <c r="A980">
        <v>52</v>
      </c>
      <c r="B980">
        <v>0</v>
      </c>
      <c r="C980">
        <v>4.0599999999999997E-2</v>
      </c>
      <c r="D980">
        <v>34.31</v>
      </c>
      <c r="E980">
        <v>6.4600000000000005E-2</v>
      </c>
      <c r="F980">
        <v>5.1000000000000004E-3</v>
      </c>
      <c r="G980">
        <v>0.17069999999999999</v>
      </c>
      <c r="H980">
        <v>3.16</v>
      </c>
      <c r="I980">
        <v>0</v>
      </c>
      <c r="J980">
        <v>0.28129999999999999</v>
      </c>
      <c r="K980">
        <v>0</v>
      </c>
      <c r="L980">
        <v>65.13</v>
      </c>
      <c r="M980">
        <v>0.1004</v>
      </c>
      <c r="N980">
        <v>103.26260000000001</v>
      </c>
      <c r="O980" t="s">
        <v>125</v>
      </c>
      <c r="Q980">
        <f t="shared" si="43"/>
        <v>68.289999999999992</v>
      </c>
      <c r="R980">
        <f>I980-(K980*Standards!$I$15)</f>
        <v>0</v>
      </c>
      <c r="S980">
        <f t="shared" si="44"/>
        <v>4.0599999999999997E-2</v>
      </c>
      <c r="T980" t="s">
        <v>123</v>
      </c>
    </row>
    <row r="981" spans="1:20">
      <c r="A981">
        <v>47</v>
      </c>
      <c r="B981">
        <v>0</v>
      </c>
      <c r="C981">
        <v>5.9400000000000001E-2</v>
      </c>
      <c r="D981">
        <v>34.33</v>
      </c>
      <c r="E981">
        <v>9.3799999999999994E-2</v>
      </c>
      <c r="F981">
        <v>0</v>
      </c>
      <c r="G981">
        <v>0.25729999999999997</v>
      </c>
      <c r="H981">
        <v>6.34</v>
      </c>
      <c r="I981">
        <v>0</v>
      </c>
      <c r="J981">
        <v>0.28739999999999999</v>
      </c>
      <c r="K981">
        <v>0</v>
      </c>
      <c r="L981">
        <v>60.95</v>
      </c>
      <c r="M981">
        <v>0.10539999999999999</v>
      </c>
      <c r="N981">
        <v>102.42319999999999</v>
      </c>
      <c r="O981" t="s">
        <v>125</v>
      </c>
      <c r="Q981">
        <f t="shared" si="43"/>
        <v>67.290000000000006</v>
      </c>
      <c r="R981">
        <f>I981-(K981*Standards!$I$15)</f>
        <v>0</v>
      </c>
      <c r="S981">
        <f t="shared" si="44"/>
        <v>5.9400000000000001E-2</v>
      </c>
      <c r="T981" t="s">
        <v>123</v>
      </c>
    </row>
    <row r="982" spans="1:20">
      <c r="A982">
        <v>63</v>
      </c>
      <c r="B982">
        <v>0</v>
      </c>
      <c r="C982">
        <v>4.4499999999999998E-2</v>
      </c>
      <c r="D982">
        <v>34.6</v>
      </c>
      <c r="E982">
        <v>9.0399999999999994E-2</v>
      </c>
      <c r="F982">
        <v>5.3E-3</v>
      </c>
      <c r="G982">
        <v>0.2258</v>
      </c>
      <c r="H982">
        <v>9.64</v>
      </c>
      <c r="I982">
        <v>2.0500000000000001E-2</v>
      </c>
      <c r="J982">
        <v>7.3000000000000001E-3</v>
      </c>
      <c r="K982">
        <v>6.4000000000000003E-3</v>
      </c>
      <c r="L982">
        <v>57.68</v>
      </c>
      <c r="M982">
        <v>0.12139999999999999</v>
      </c>
      <c r="N982">
        <v>102.4415</v>
      </c>
      <c r="O982" t="s">
        <v>429</v>
      </c>
      <c r="Q982">
        <f t="shared" si="43"/>
        <v>67.319999999999993</v>
      </c>
      <c r="R982">
        <f>I982-(K982*Standards!$I$15)</f>
        <v>2.0485840000000002E-2</v>
      </c>
      <c r="S982">
        <f t="shared" si="44"/>
        <v>4.3475E-2</v>
      </c>
      <c r="T982" t="s">
        <v>123</v>
      </c>
    </row>
    <row r="983" spans="1:20">
      <c r="A983">
        <v>32</v>
      </c>
      <c r="B983">
        <v>0</v>
      </c>
      <c r="C983">
        <v>3.9800000000000002E-2</v>
      </c>
      <c r="D983">
        <v>34.82</v>
      </c>
      <c r="E983">
        <v>4.5499999999999999E-2</v>
      </c>
      <c r="F983">
        <v>0</v>
      </c>
      <c r="G983">
        <v>0.1709</v>
      </c>
      <c r="H983">
        <v>11.01</v>
      </c>
      <c r="I983">
        <v>4.24E-2</v>
      </c>
      <c r="J983">
        <v>3.9100000000000003E-2</v>
      </c>
      <c r="K983">
        <v>0</v>
      </c>
      <c r="L983">
        <v>55.85</v>
      </c>
      <c r="M983">
        <v>9.6100000000000005E-2</v>
      </c>
      <c r="N983">
        <v>102.11369999999999</v>
      </c>
      <c r="O983" t="s">
        <v>125</v>
      </c>
      <c r="Q983">
        <f t="shared" si="43"/>
        <v>66.86</v>
      </c>
      <c r="R983">
        <f>I983-(K983*Standards!$I$15)</f>
        <v>4.24E-2</v>
      </c>
      <c r="S983">
        <f t="shared" si="44"/>
        <v>3.7680000000000005E-2</v>
      </c>
      <c r="T983" t="s">
        <v>123</v>
      </c>
    </row>
    <row r="984" spans="1:20">
      <c r="A984">
        <v>27</v>
      </c>
      <c r="B984">
        <v>0</v>
      </c>
      <c r="C984">
        <v>5.2900000000000003E-2</v>
      </c>
      <c r="D984">
        <v>34.78</v>
      </c>
      <c r="E984">
        <v>3.5900000000000001E-2</v>
      </c>
      <c r="F984">
        <v>0</v>
      </c>
      <c r="G984">
        <v>0.1081</v>
      </c>
      <c r="H984">
        <v>10.78</v>
      </c>
      <c r="I984">
        <v>0.105</v>
      </c>
      <c r="J984">
        <v>0.45269999999999999</v>
      </c>
      <c r="K984">
        <v>0</v>
      </c>
      <c r="L984">
        <v>55.83</v>
      </c>
      <c r="M984">
        <v>0.1002</v>
      </c>
      <c r="N984">
        <v>102.24469999999999</v>
      </c>
      <c r="O984" t="s">
        <v>430</v>
      </c>
      <c r="Q984">
        <f t="shared" si="43"/>
        <v>66.61</v>
      </c>
      <c r="R984">
        <f>I984-(K984*Standards!$I$15)</f>
        <v>0.105</v>
      </c>
      <c r="S984">
        <f t="shared" si="44"/>
        <v>4.7650000000000005E-2</v>
      </c>
      <c r="T984" t="s">
        <v>46</v>
      </c>
    </row>
    <row r="985" spans="1:20">
      <c r="A985">
        <v>25</v>
      </c>
      <c r="B985">
        <v>0</v>
      </c>
      <c r="C985">
        <v>3.6700000000000003E-2</v>
      </c>
      <c r="D985">
        <v>34.6</v>
      </c>
      <c r="E985">
        <v>3.9800000000000002E-2</v>
      </c>
      <c r="F985">
        <v>0</v>
      </c>
      <c r="G985">
        <v>0.1195</v>
      </c>
      <c r="H985">
        <v>11.26</v>
      </c>
      <c r="I985">
        <v>3.4200000000000001E-2</v>
      </c>
      <c r="J985">
        <v>0.19059999999999999</v>
      </c>
      <c r="K985">
        <v>0</v>
      </c>
      <c r="L985">
        <v>55.74</v>
      </c>
      <c r="M985">
        <v>8.0500000000000002E-2</v>
      </c>
      <c r="N985">
        <v>102.10120000000001</v>
      </c>
      <c r="O985" t="s">
        <v>430</v>
      </c>
      <c r="Q985">
        <f t="shared" si="43"/>
        <v>67</v>
      </c>
      <c r="R985">
        <f>I985-(K985*Standards!$I$15)</f>
        <v>3.4200000000000001E-2</v>
      </c>
      <c r="S985">
        <f t="shared" si="44"/>
        <v>3.499E-2</v>
      </c>
      <c r="T985" t="s">
        <v>46</v>
      </c>
    </row>
    <row r="986" spans="1:20">
      <c r="A986">
        <v>8</v>
      </c>
      <c r="B986">
        <v>0</v>
      </c>
      <c r="C986">
        <v>6.6100000000000006E-2</v>
      </c>
      <c r="D986">
        <v>34.22</v>
      </c>
      <c r="E986">
        <v>3.0499999999999999E-2</v>
      </c>
      <c r="F986">
        <v>0</v>
      </c>
      <c r="G986">
        <v>0.12720000000000001</v>
      </c>
      <c r="H986">
        <v>10.99</v>
      </c>
      <c r="I986">
        <v>0.1263</v>
      </c>
      <c r="J986">
        <v>0.2465</v>
      </c>
      <c r="K986">
        <v>0</v>
      </c>
      <c r="L986">
        <v>55.69</v>
      </c>
      <c r="M986">
        <v>0.1002</v>
      </c>
      <c r="N986">
        <v>101.5967</v>
      </c>
      <c r="O986" t="s">
        <v>430</v>
      </c>
      <c r="Q986">
        <f t="shared" si="43"/>
        <v>66.679999999999993</v>
      </c>
      <c r="R986">
        <f>I986-(K986*Standards!$I$15)</f>
        <v>0.1263</v>
      </c>
      <c r="S986">
        <f t="shared" si="44"/>
        <v>5.9785000000000005E-2</v>
      </c>
      <c r="T986" t="s">
        <v>46</v>
      </c>
    </row>
    <row r="987" spans="1:20">
      <c r="A987">
        <v>2</v>
      </c>
      <c r="B987">
        <v>0</v>
      </c>
      <c r="C987">
        <v>4.5699999999999998E-2</v>
      </c>
      <c r="D987">
        <v>34.58</v>
      </c>
      <c r="E987">
        <v>2.4199999999999999E-2</v>
      </c>
      <c r="F987">
        <v>0</v>
      </c>
      <c r="G987">
        <v>0.11550000000000001</v>
      </c>
      <c r="H987">
        <v>11</v>
      </c>
      <c r="I987">
        <v>8.0299999999999996E-2</v>
      </c>
      <c r="J987">
        <v>0.41289999999999999</v>
      </c>
      <c r="K987">
        <v>0</v>
      </c>
      <c r="L987">
        <v>55.37</v>
      </c>
      <c r="M987">
        <v>0.10639999999999999</v>
      </c>
      <c r="N987">
        <v>101.7349</v>
      </c>
      <c r="O987" t="s">
        <v>431</v>
      </c>
      <c r="Q987">
        <f t="shared" si="43"/>
        <v>66.37</v>
      </c>
      <c r="R987">
        <f>I987-(K987*Standards!$I$15)</f>
        <v>8.0299999999999996E-2</v>
      </c>
      <c r="S987">
        <f t="shared" si="44"/>
        <v>4.1685E-2</v>
      </c>
      <c r="T987" t="s">
        <v>46</v>
      </c>
    </row>
    <row r="988" spans="1:20">
      <c r="A988">
        <v>3</v>
      </c>
      <c r="B988">
        <v>0</v>
      </c>
      <c r="C988">
        <v>4.7399999999999998E-2</v>
      </c>
      <c r="D988">
        <v>33.950000000000003</v>
      </c>
      <c r="E988">
        <v>4.24E-2</v>
      </c>
      <c r="F988">
        <v>0</v>
      </c>
      <c r="G988">
        <v>0.1201</v>
      </c>
      <c r="H988">
        <v>10.82</v>
      </c>
      <c r="I988">
        <v>0.18690000000000001</v>
      </c>
      <c r="J988">
        <v>0.31559999999999999</v>
      </c>
      <c r="K988">
        <v>0</v>
      </c>
      <c r="L988">
        <v>55.15</v>
      </c>
      <c r="M988">
        <v>8.6400000000000005E-2</v>
      </c>
      <c r="N988">
        <v>100.7188</v>
      </c>
      <c r="O988" t="s">
        <v>431</v>
      </c>
      <c r="Q988">
        <f t="shared" si="43"/>
        <v>65.97</v>
      </c>
      <c r="R988">
        <f>I988-(K988*Standards!$I$15)</f>
        <v>0.18690000000000001</v>
      </c>
      <c r="S988">
        <f t="shared" si="44"/>
        <v>3.8054999999999999E-2</v>
      </c>
      <c r="T988" t="s">
        <v>46</v>
      </c>
    </row>
    <row r="989" spans="1:20">
      <c r="A989">
        <v>20</v>
      </c>
      <c r="B989">
        <v>0</v>
      </c>
      <c r="C989">
        <v>5.3999999999999999E-2</v>
      </c>
      <c r="D989">
        <v>34.11</v>
      </c>
      <c r="E989">
        <v>0.04</v>
      </c>
      <c r="F989">
        <v>0</v>
      </c>
      <c r="G989">
        <v>0.1205</v>
      </c>
      <c r="H989">
        <v>11.9</v>
      </c>
      <c r="I989">
        <v>5.9700000000000003E-2</v>
      </c>
      <c r="J989">
        <v>0.99980000000000002</v>
      </c>
      <c r="K989">
        <v>0</v>
      </c>
      <c r="L989">
        <v>54.18</v>
      </c>
      <c r="M989">
        <v>0.1041</v>
      </c>
      <c r="N989">
        <v>101.5681</v>
      </c>
      <c r="O989" t="s">
        <v>430</v>
      </c>
      <c r="Q989">
        <f t="shared" si="43"/>
        <v>66.08</v>
      </c>
      <c r="R989">
        <f>I989-(K989*Standards!$I$15)</f>
        <v>5.9700000000000003E-2</v>
      </c>
      <c r="S989">
        <f t="shared" si="44"/>
        <v>5.1014999999999998E-2</v>
      </c>
      <c r="T989" t="s">
        <v>46</v>
      </c>
    </row>
    <row r="990" spans="1:20">
      <c r="A990">
        <v>26</v>
      </c>
      <c r="B990">
        <v>0</v>
      </c>
      <c r="C990">
        <v>7.0499999999999993E-2</v>
      </c>
      <c r="D990">
        <v>34.53</v>
      </c>
      <c r="E990">
        <v>3.1099999999999999E-2</v>
      </c>
      <c r="F990">
        <v>0</v>
      </c>
      <c r="G990">
        <v>0.10440000000000001</v>
      </c>
      <c r="H990">
        <v>11.63</v>
      </c>
      <c r="I990">
        <v>0.18290000000000001</v>
      </c>
      <c r="J990">
        <v>0.67459999999999998</v>
      </c>
      <c r="K990">
        <v>0</v>
      </c>
      <c r="L990">
        <v>54.05</v>
      </c>
      <c r="M990">
        <v>9.4700000000000006E-2</v>
      </c>
      <c r="N990">
        <v>101.3681</v>
      </c>
      <c r="O990" t="s">
        <v>430</v>
      </c>
      <c r="Q990">
        <f t="shared" si="43"/>
        <v>65.679999999999993</v>
      </c>
      <c r="R990">
        <f>I990-(K990*Standards!$I$15)</f>
        <v>0.18290000000000001</v>
      </c>
      <c r="S990">
        <f t="shared" si="44"/>
        <v>6.1354999999999993E-2</v>
      </c>
      <c r="T990" t="s">
        <v>46</v>
      </c>
    </row>
    <row r="991" spans="1:20">
      <c r="A991">
        <v>1</v>
      </c>
      <c r="B991">
        <v>6.9999999999999999E-4</v>
      </c>
      <c r="C991">
        <v>0</v>
      </c>
      <c r="D991">
        <v>35</v>
      </c>
      <c r="E991">
        <v>0.1103</v>
      </c>
      <c r="F991">
        <v>0</v>
      </c>
      <c r="G991">
        <v>9.8500000000000004E-2</v>
      </c>
      <c r="H991">
        <v>14.27</v>
      </c>
      <c r="I991">
        <v>6.4100000000000004E-2</v>
      </c>
      <c r="J991">
        <v>4.28</v>
      </c>
      <c r="K991">
        <v>0</v>
      </c>
      <c r="L991">
        <v>49.46</v>
      </c>
      <c r="M991">
        <v>9.3899999999999997E-2</v>
      </c>
      <c r="N991">
        <v>103.37739999999999</v>
      </c>
      <c r="O991" t="s">
        <v>431</v>
      </c>
      <c r="Q991">
        <f t="shared" si="43"/>
        <v>63.730000000000004</v>
      </c>
      <c r="R991">
        <f>I991-(K991*Standards!$I$15)</f>
        <v>6.4100000000000004E-2</v>
      </c>
      <c r="S991">
        <f t="shared" si="44"/>
        <v>-3.2050000000000004E-3</v>
      </c>
      <c r="T991" t="s">
        <v>46</v>
      </c>
    </row>
    <row r="992" spans="1:20">
      <c r="A992">
        <v>9</v>
      </c>
      <c r="B992">
        <v>0</v>
      </c>
      <c r="C992">
        <v>4.36E-2</v>
      </c>
      <c r="D992">
        <v>34.36</v>
      </c>
      <c r="E992">
        <v>3.3300000000000003E-2</v>
      </c>
      <c r="F992">
        <v>0</v>
      </c>
      <c r="G992">
        <v>9.7799999999999998E-2</v>
      </c>
      <c r="H992">
        <v>13.83</v>
      </c>
      <c r="I992">
        <v>0.23350000000000001</v>
      </c>
      <c r="J992">
        <v>5.24</v>
      </c>
      <c r="K992">
        <v>0</v>
      </c>
      <c r="L992">
        <v>47.09</v>
      </c>
      <c r="M992">
        <v>0.11169999999999999</v>
      </c>
      <c r="N992">
        <v>101.0399</v>
      </c>
      <c r="O992" t="s">
        <v>430</v>
      </c>
      <c r="Q992">
        <f t="shared" si="43"/>
        <v>60.92</v>
      </c>
      <c r="R992">
        <f>I992-(K992*Standards!$I$15)</f>
        <v>0.23350000000000001</v>
      </c>
      <c r="S992">
        <f t="shared" si="44"/>
        <v>3.1924999999999995E-2</v>
      </c>
      <c r="T992" t="s">
        <v>46</v>
      </c>
    </row>
    <row r="993" spans="1:20">
      <c r="A993">
        <v>10</v>
      </c>
      <c r="B993">
        <v>1.2999999999999999E-3</v>
      </c>
      <c r="C993">
        <v>0</v>
      </c>
      <c r="D993">
        <v>34.61</v>
      </c>
      <c r="E993">
        <v>3.3099999999999997E-2</v>
      </c>
      <c r="F993">
        <v>0</v>
      </c>
      <c r="G993">
        <v>7.1599999999999997E-2</v>
      </c>
      <c r="H993">
        <v>17.25</v>
      </c>
      <c r="I993">
        <v>0.16919999999999999</v>
      </c>
      <c r="J993">
        <v>12.46</v>
      </c>
      <c r="K993">
        <v>0</v>
      </c>
      <c r="L993">
        <v>35.450000000000003</v>
      </c>
      <c r="M993">
        <v>9.3600000000000003E-2</v>
      </c>
      <c r="N993">
        <v>100.1388</v>
      </c>
      <c r="O993" t="s">
        <v>430</v>
      </c>
      <c r="Q993">
        <f>H993+L993</f>
        <v>52.7</v>
      </c>
      <c r="R993">
        <f>I993-(K993*Standards!$I$15)</f>
        <v>0.16919999999999999</v>
      </c>
      <c r="S993">
        <f>C993-(I993*0.05)</f>
        <v>-8.4600000000000005E-3</v>
      </c>
      <c r="T993" t="s">
        <v>46</v>
      </c>
    </row>
    <row r="994" spans="1:20">
      <c r="A994">
        <v>31</v>
      </c>
      <c r="B994">
        <v>1.4E-2</v>
      </c>
      <c r="C994">
        <v>5.4899999999999997E-2</v>
      </c>
      <c r="D994">
        <v>34.25</v>
      </c>
      <c r="E994">
        <v>0</v>
      </c>
      <c r="F994">
        <v>0</v>
      </c>
      <c r="G994">
        <v>0</v>
      </c>
      <c r="H994">
        <v>4.43</v>
      </c>
      <c r="I994">
        <v>0</v>
      </c>
      <c r="J994">
        <v>1.03</v>
      </c>
      <c r="K994">
        <v>0</v>
      </c>
      <c r="L994">
        <v>62.49</v>
      </c>
      <c r="M994">
        <v>0</v>
      </c>
      <c r="N994">
        <v>102.2689</v>
      </c>
      <c r="O994" t="s">
        <v>432</v>
      </c>
      <c r="Q994">
        <f>H994+L994</f>
        <v>66.92</v>
      </c>
      <c r="R994">
        <f>I994-(K994*Standards!$I$15)</f>
        <v>0</v>
      </c>
      <c r="S994">
        <f>C994-(I994*0.05)</f>
        <v>5.4899999999999997E-2</v>
      </c>
      <c r="T994" t="s">
        <v>46</v>
      </c>
    </row>
    <row r="995" spans="1:20">
      <c r="A995">
        <v>18</v>
      </c>
      <c r="B995">
        <v>0</v>
      </c>
      <c r="C995">
        <v>6.7100000000000007E-2</v>
      </c>
      <c r="D995">
        <v>34.31</v>
      </c>
      <c r="E995">
        <v>0</v>
      </c>
      <c r="F995">
        <v>0</v>
      </c>
      <c r="G995">
        <v>0</v>
      </c>
      <c r="H995">
        <v>4.34</v>
      </c>
      <c r="I995">
        <v>0</v>
      </c>
      <c r="J995">
        <v>1.55</v>
      </c>
      <c r="K995">
        <v>7.4999999999999997E-3</v>
      </c>
      <c r="L995">
        <v>62.34</v>
      </c>
      <c r="M995">
        <v>0</v>
      </c>
      <c r="N995">
        <v>102.61450000000001</v>
      </c>
      <c r="O995" t="s">
        <v>54</v>
      </c>
      <c r="Q995">
        <f>H995+L995</f>
        <v>66.680000000000007</v>
      </c>
      <c r="R995">
        <f>I995-(K995*Standards!$I$15)</f>
        <v>-1.659375E-5</v>
      </c>
      <c r="S995">
        <f>C995-(I995*0.05)</f>
        <v>6.7100000000000007E-2</v>
      </c>
      <c r="T995" t="s">
        <v>46</v>
      </c>
    </row>
  </sheetData>
  <phoneticPr fontId="1" type="noConversion"/>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7B7CC-BFDA-4A56-93A4-B3D12E82F5D3}">
  <dimension ref="A1:Y89"/>
  <sheetViews>
    <sheetView workbookViewId="0">
      <pane ySplit="510" activePane="bottomLeft"/>
      <selection pane="bottomLeft" activeCell="P2" sqref="P2"/>
      <selection activeCell="U1" sqref="U1"/>
    </sheetView>
  </sheetViews>
  <sheetFormatPr defaultRowHeight="12.75"/>
  <cols>
    <col min="19" max="19" width="9.5703125" bestFit="1" customWidth="1"/>
    <col min="20" max="20" width="11.7109375" customWidth="1"/>
    <col min="21" max="21" width="12.42578125" bestFit="1" customWidth="1"/>
  </cols>
  <sheetData>
    <row r="1" spans="1:25">
      <c r="A1" t="s">
        <v>0</v>
      </c>
      <c r="B1" t="s">
        <v>1</v>
      </c>
      <c r="C1" t="s">
        <v>2</v>
      </c>
      <c r="D1" t="s">
        <v>3</v>
      </c>
      <c r="E1" t="s">
        <v>4</v>
      </c>
      <c r="F1" t="s">
        <v>5</v>
      </c>
      <c r="G1" t="s">
        <v>6</v>
      </c>
      <c r="H1" t="s">
        <v>7</v>
      </c>
      <c r="I1" t="s">
        <v>8</v>
      </c>
      <c r="J1" t="s">
        <v>9</v>
      </c>
      <c r="K1" t="s">
        <v>10</v>
      </c>
      <c r="L1" t="s">
        <v>11</v>
      </c>
      <c r="M1" t="s">
        <v>12</v>
      </c>
      <c r="N1" t="s">
        <v>13</v>
      </c>
      <c r="O1" t="s">
        <v>47</v>
      </c>
      <c r="Q1" t="s">
        <v>433</v>
      </c>
      <c r="R1" t="s">
        <v>434</v>
      </c>
      <c r="S1" t="s">
        <v>201</v>
      </c>
      <c r="T1" t="s">
        <v>15</v>
      </c>
      <c r="U1" t="s">
        <v>314</v>
      </c>
      <c r="V1" t="s">
        <v>328</v>
      </c>
      <c r="W1" t="s">
        <v>329</v>
      </c>
      <c r="X1" t="s">
        <v>205</v>
      </c>
      <c r="Y1" t="s">
        <v>206</v>
      </c>
    </row>
    <row r="2" spans="1:25">
      <c r="A2">
        <v>2</v>
      </c>
      <c r="B2">
        <v>0</v>
      </c>
      <c r="C2">
        <v>0</v>
      </c>
      <c r="D2">
        <v>4.5999999999999999E-3</v>
      </c>
      <c r="E2">
        <v>0</v>
      </c>
      <c r="F2">
        <v>0</v>
      </c>
      <c r="G2">
        <v>0</v>
      </c>
      <c r="H2">
        <v>1.66E-2</v>
      </c>
      <c r="I2">
        <v>0.32379999999999998</v>
      </c>
      <c r="J2">
        <v>7.6899999999999996E-2</v>
      </c>
      <c r="K2">
        <v>98.66</v>
      </c>
      <c r="L2">
        <v>0.12039999999999999</v>
      </c>
      <c r="M2">
        <v>1.89E-2</v>
      </c>
      <c r="N2">
        <v>99.221299999999999</v>
      </c>
      <c r="O2" t="s">
        <v>435</v>
      </c>
      <c r="Q2">
        <f>10000*I2</f>
        <v>3237.9999999999995</v>
      </c>
      <c r="R2">
        <f t="shared" ref="R2:R33" si="0">I2/K2</f>
        <v>3.2819785120616258E-3</v>
      </c>
      <c r="S2">
        <f>10000*(I2-(K2*Standards!I$15))</f>
        <v>1055.1474999999998</v>
      </c>
    </row>
    <row r="3" spans="1:25">
      <c r="A3">
        <v>3</v>
      </c>
      <c r="B3">
        <v>0</v>
      </c>
      <c r="C3">
        <v>0</v>
      </c>
      <c r="D3">
        <v>1.5E-3</v>
      </c>
      <c r="E3">
        <v>0</v>
      </c>
      <c r="F3">
        <v>0</v>
      </c>
      <c r="G3">
        <v>0</v>
      </c>
      <c r="H3">
        <v>7.4999999999999997E-3</v>
      </c>
      <c r="I3">
        <v>0.29499999999999998</v>
      </c>
      <c r="J3">
        <v>6.3700000000000007E-2</v>
      </c>
      <c r="K3">
        <v>98.47</v>
      </c>
      <c r="L3">
        <v>9.06E-2</v>
      </c>
      <c r="M3">
        <v>6.1000000000000004E-3</v>
      </c>
      <c r="N3">
        <v>98.9345</v>
      </c>
      <c r="O3" t="s">
        <v>435</v>
      </c>
      <c r="Q3">
        <f t="shared" ref="Q3:Q66" si="1">10000*I3</f>
        <v>2950</v>
      </c>
      <c r="R3">
        <f t="shared" si="0"/>
        <v>2.9958362953183709E-3</v>
      </c>
      <c r="S3">
        <f>10000*(I3-(K3*Standards!I$15))</f>
        <v>771.35124999999971</v>
      </c>
    </row>
    <row r="4" spans="1:25">
      <c r="A4">
        <v>6</v>
      </c>
      <c r="B4">
        <v>0</v>
      </c>
      <c r="C4">
        <v>0</v>
      </c>
      <c r="D4">
        <v>2.3999999999999998E-3</v>
      </c>
      <c r="E4">
        <v>0</v>
      </c>
      <c r="F4">
        <v>0</v>
      </c>
      <c r="G4">
        <v>0</v>
      </c>
      <c r="H4">
        <v>4.8999999999999998E-3</v>
      </c>
      <c r="I4">
        <v>0.2737</v>
      </c>
      <c r="J4">
        <v>1.5900000000000001E-2</v>
      </c>
      <c r="K4">
        <v>94.6</v>
      </c>
      <c r="L4">
        <v>5.1499999999999997E-2</v>
      </c>
      <c r="M4">
        <v>2.6100000000000002E-2</v>
      </c>
      <c r="N4">
        <v>94.974500000000006</v>
      </c>
      <c r="O4" t="s">
        <v>435</v>
      </c>
      <c r="Q4">
        <f t="shared" si="1"/>
        <v>2737</v>
      </c>
      <c r="R4">
        <f t="shared" si="0"/>
        <v>2.8932346723044397E-3</v>
      </c>
      <c r="S4">
        <f>10000*(I4-(K4*Standards!I$15))</f>
        <v>643.97499999999991</v>
      </c>
    </row>
    <row r="5" spans="1:25">
      <c r="A5">
        <v>1</v>
      </c>
      <c r="B5">
        <v>0</v>
      </c>
      <c r="C5">
        <v>0</v>
      </c>
      <c r="D5">
        <v>1.9E-3</v>
      </c>
      <c r="E5">
        <v>0</v>
      </c>
      <c r="F5">
        <v>0</v>
      </c>
      <c r="G5">
        <v>0</v>
      </c>
      <c r="H5">
        <v>1.6000000000000001E-3</v>
      </c>
      <c r="I5">
        <v>0.31950000000000001</v>
      </c>
      <c r="J5">
        <v>5.3999999999999999E-2</v>
      </c>
      <c r="K5">
        <v>98.6</v>
      </c>
      <c r="L5">
        <v>4.4200000000000003E-2</v>
      </c>
      <c r="M5">
        <v>0</v>
      </c>
      <c r="N5">
        <v>99.021199999999993</v>
      </c>
      <c r="O5" t="s">
        <v>435</v>
      </c>
      <c r="Q5">
        <f t="shared" si="1"/>
        <v>3195</v>
      </c>
      <c r="R5">
        <f t="shared" si="0"/>
        <v>3.2403651115618663E-3</v>
      </c>
      <c r="S5">
        <f>10000*(I5-(K5*Standards!I$15))</f>
        <v>1013.475</v>
      </c>
    </row>
    <row r="6" spans="1:25">
      <c r="A6">
        <v>8</v>
      </c>
      <c r="B6">
        <v>0</v>
      </c>
      <c r="C6">
        <v>0</v>
      </c>
      <c r="D6">
        <v>0</v>
      </c>
      <c r="E6">
        <v>0</v>
      </c>
      <c r="F6">
        <v>0</v>
      </c>
      <c r="G6">
        <v>0</v>
      </c>
      <c r="H6">
        <v>5.9999999999999995E-4</v>
      </c>
      <c r="I6">
        <v>0.2878</v>
      </c>
      <c r="J6">
        <v>3.1300000000000001E-2</v>
      </c>
      <c r="K6">
        <v>97.64</v>
      </c>
      <c r="L6">
        <v>8.7999999999999995E-2</v>
      </c>
      <c r="M6">
        <v>0</v>
      </c>
      <c r="N6">
        <v>98.047799999999995</v>
      </c>
      <c r="O6" t="s">
        <v>435</v>
      </c>
      <c r="Q6">
        <f t="shared" si="1"/>
        <v>2878</v>
      </c>
      <c r="R6">
        <f t="shared" si="0"/>
        <v>2.9475624743957396E-3</v>
      </c>
      <c r="S6">
        <f>10000*(I6-(K6*Standards!I$15))</f>
        <v>717.71499999999992</v>
      </c>
    </row>
    <row r="7" spans="1:25">
      <c r="A7">
        <v>4</v>
      </c>
      <c r="B7">
        <v>0</v>
      </c>
      <c r="C7">
        <v>0</v>
      </c>
      <c r="D7">
        <v>1.3299999999999999E-2</v>
      </c>
      <c r="E7">
        <v>0</v>
      </c>
      <c r="F7">
        <v>0</v>
      </c>
      <c r="G7">
        <v>0</v>
      </c>
      <c r="H7">
        <v>0</v>
      </c>
      <c r="I7">
        <v>0.28660000000000002</v>
      </c>
      <c r="J7">
        <v>0.10290000000000001</v>
      </c>
      <c r="K7">
        <v>98.18</v>
      </c>
      <c r="L7">
        <v>0.13550000000000001</v>
      </c>
      <c r="M7">
        <v>1.15E-2</v>
      </c>
      <c r="N7">
        <v>98.729900000000001</v>
      </c>
      <c r="O7" t="s">
        <v>435</v>
      </c>
      <c r="Q7">
        <f t="shared" si="1"/>
        <v>2866</v>
      </c>
      <c r="R7">
        <f t="shared" si="0"/>
        <v>2.9191281320024446E-3</v>
      </c>
      <c r="S7">
        <f>10000*(I7-(K7*Standards!I$15))</f>
        <v>693.76749999999993</v>
      </c>
    </row>
    <row r="8" spans="1:25">
      <c r="A8">
        <v>7</v>
      </c>
      <c r="B8">
        <v>0</v>
      </c>
      <c r="C8">
        <v>0</v>
      </c>
      <c r="D8">
        <v>2.0999999999999999E-3</v>
      </c>
      <c r="E8">
        <v>0</v>
      </c>
      <c r="F8">
        <v>0</v>
      </c>
      <c r="G8">
        <v>0</v>
      </c>
      <c r="H8">
        <v>0</v>
      </c>
      <c r="I8">
        <v>0.28079999999999999</v>
      </c>
      <c r="J8">
        <v>5.9700000000000003E-2</v>
      </c>
      <c r="K8">
        <v>97.96</v>
      </c>
      <c r="L8">
        <v>6.6799999999999998E-2</v>
      </c>
      <c r="M8">
        <v>2.4799999999999999E-2</v>
      </c>
      <c r="N8">
        <v>98.394300000000001</v>
      </c>
      <c r="O8" t="s">
        <v>435</v>
      </c>
      <c r="Q8">
        <f t="shared" si="1"/>
        <v>2808</v>
      </c>
      <c r="R8">
        <f t="shared" si="0"/>
        <v>2.8664761126990608E-3</v>
      </c>
      <c r="S8">
        <f>10000*(I8-(K8*Standards!I$15))</f>
        <v>640.63499999999999</v>
      </c>
    </row>
    <row r="9" spans="1:25">
      <c r="A9">
        <v>10</v>
      </c>
      <c r="B9">
        <v>0</v>
      </c>
      <c r="C9">
        <v>0</v>
      </c>
      <c r="D9">
        <v>4.4000000000000003E-3</v>
      </c>
      <c r="E9">
        <v>0</v>
      </c>
      <c r="F9">
        <v>0</v>
      </c>
      <c r="G9">
        <v>0</v>
      </c>
      <c r="H9">
        <v>0</v>
      </c>
      <c r="I9">
        <v>0.28849999999999998</v>
      </c>
      <c r="J9">
        <v>3.8800000000000001E-2</v>
      </c>
      <c r="K9">
        <v>97.79</v>
      </c>
      <c r="L9">
        <v>5.7500000000000002E-2</v>
      </c>
      <c r="M9">
        <v>1.1000000000000001E-3</v>
      </c>
      <c r="N9">
        <v>98.180400000000006</v>
      </c>
      <c r="O9" t="s">
        <v>435</v>
      </c>
      <c r="Q9">
        <f t="shared" si="1"/>
        <v>2885</v>
      </c>
      <c r="R9">
        <f t="shared" si="0"/>
        <v>2.9501994068923199E-3</v>
      </c>
      <c r="S9">
        <f>10000*(I9-(K9*Standards!I$15))</f>
        <v>721.39624999999955</v>
      </c>
    </row>
    <row r="10" spans="1:25">
      <c r="A10">
        <v>9</v>
      </c>
      <c r="B10">
        <v>0</v>
      </c>
      <c r="C10">
        <v>0</v>
      </c>
      <c r="D10">
        <v>2.2000000000000001E-3</v>
      </c>
      <c r="E10">
        <v>0</v>
      </c>
      <c r="F10">
        <v>0</v>
      </c>
      <c r="G10">
        <v>0</v>
      </c>
      <c r="H10">
        <v>0</v>
      </c>
      <c r="I10">
        <v>0.29260000000000003</v>
      </c>
      <c r="J10">
        <v>2.2200000000000001E-2</v>
      </c>
      <c r="K10">
        <v>97.95</v>
      </c>
      <c r="L10">
        <v>3.9399999999999998E-2</v>
      </c>
      <c r="M10">
        <v>0</v>
      </c>
      <c r="N10">
        <v>98.306399999999996</v>
      </c>
      <c r="O10" t="s">
        <v>435</v>
      </c>
      <c r="Q10">
        <f t="shared" si="1"/>
        <v>2926.0000000000005</v>
      </c>
      <c r="R10">
        <f t="shared" si="0"/>
        <v>2.9872383869321084E-3</v>
      </c>
      <c r="S10">
        <f>10000*(I10-(K10*Standards!I$15))</f>
        <v>758.85625000000016</v>
      </c>
    </row>
    <row r="11" spans="1:25">
      <c r="A11">
        <v>5</v>
      </c>
      <c r="B11">
        <v>0</v>
      </c>
      <c r="C11">
        <v>0</v>
      </c>
      <c r="D11">
        <v>0</v>
      </c>
      <c r="E11">
        <v>0</v>
      </c>
      <c r="F11">
        <v>0</v>
      </c>
      <c r="G11">
        <v>0</v>
      </c>
      <c r="H11">
        <v>0</v>
      </c>
      <c r="I11">
        <v>0.29759999999999998</v>
      </c>
      <c r="J11">
        <v>4.3999999999999997E-2</v>
      </c>
      <c r="K11">
        <v>98.36</v>
      </c>
      <c r="L11">
        <v>2.8899999999999999E-2</v>
      </c>
      <c r="M11">
        <v>1.55E-2</v>
      </c>
      <c r="N11">
        <v>98.746099999999998</v>
      </c>
      <c r="O11" t="s">
        <v>435</v>
      </c>
      <c r="Q11">
        <f t="shared" si="1"/>
        <v>2975.9999999999995</v>
      </c>
      <c r="R11">
        <f t="shared" si="0"/>
        <v>3.0256201708011386E-3</v>
      </c>
      <c r="S11">
        <f>10000*(I11-(K11*Standards!I$15))</f>
        <v>799.78499999999985</v>
      </c>
    </row>
    <row r="12" spans="1:25">
      <c r="A12">
        <v>1</v>
      </c>
      <c r="B12">
        <v>0</v>
      </c>
      <c r="C12">
        <v>0</v>
      </c>
      <c r="D12">
        <v>2.8999999999999998E-3</v>
      </c>
      <c r="E12">
        <v>0</v>
      </c>
      <c r="F12">
        <v>0</v>
      </c>
      <c r="G12">
        <v>0</v>
      </c>
      <c r="H12">
        <v>2.5999999999999999E-3</v>
      </c>
      <c r="I12">
        <v>0.32400000000000001</v>
      </c>
      <c r="J12">
        <v>3.2899999999999999E-2</v>
      </c>
      <c r="K12">
        <v>97.94</v>
      </c>
      <c r="L12">
        <v>1.9400000000000001E-2</v>
      </c>
      <c r="M12">
        <v>1.7999999999999999E-2</v>
      </c>
      <c r="N12">
        <v>98.3399</v>
      </c>
      <c r="O12" t="s">
        <v>436</v>
      </c>
      <c r="Q12">
        <f t="shared" si="1"/>
        <v>3240</v>
      </c>
      <c r="R12">
        <f t="shared" si="0"/>
        <v>3.3081478456197673E-3</v>
      </c>
      <c r="S12">
        <f>10000*(I12-(K12*Standards!I$15))</f>
        <v>1073.0775000000001</v>
      </c>
    </row>
    <row r="13" spans="1:25">
      <c r="A13">
        <v>55</v>
      </c>
      <c r="B13">
        <v>0</v>
      </c>
      <c r="C13">
        <v>0</v>
      </c>
      <c r="D13">
        <v>1.03E-2</v>
      </c>
      <c r="E13">
        <v>0</v>
      </c>
      <c r="F13">
        <v>0</v>
      </c>
      <c r="G13">
        <v>0</v>
      </c>
      <c r="H13">
        <v>1.71</v>
      </c>
      <c r="I13" s="31">
        <v>0.31580000000000003</v>
      </c>
      <c r="J13">
        <v>0</v>
      </c>
      <c r="K13">
        <v>72.489999999999995</v>
      </c>
      <c r="L13">
        <v>0</v>
      </c>
      <c r="M13">
        <v>5.0000000000000001E-4</v>
      </c>
      <c r="N13">
        <v>74.526700000000005</v>
      </c>
      <c r="O13" t="s">
        <v>374</v>
      </c>
      <c r="Q13">
        <f t="shared" si="1"/>
        <v>3158.0000000000005</v>
      </c>
      <c r="R13">
        <f t="shared" si="0"/>
        <v>4.3564629604083329E-3</v>
      </c>
      <c r="S13">
        <f>10000*(I13-(K13*Standards!I$15))</f>
        <v>1554.1587500000003</v>
      </c>
      <c r="T13" t="s">
        <v>24</v>
      </c>
      <c r="U13">
        <f>COUNT(S13,S52:S53,S55:S67)</f>
        <v>16</v>
      </c>
      <c r="V13">
        <f>MAX(H13,H52:H53,H55:H67)</f>
        <v>1.71</v>
      </c>
      <c r="W13">
        <f>AVERAGE(H13,H52:H53,H55:H67)</f>
        <v>0.37696874999999996</v>
      </c>
      <c r="X13">
        <f>MAX(S13,S52:S53,S55:S67)</f>
        <v>1554.1587500000003</v>
      </c>
      <c r="Y13">
        <f>AVERAGE(S13,S52:S53,S55:S67)</f>
        <v>507.4975781249999</v>
      </c>
    </row>
    <row r="14" spans="1:25">
      <c r="A14">
        <v>3</v>
      </c>
      <c r="B14">
        <v>0</v>
      </c>
      <c r="C14">
        <v>0</v>
      </c>
      <c r="D14">
        <v>3.0999999999999999E-3</v>
      </c>
      <c r="E14">
        <v>0</v>
      </c>
      <c r="F14">
        <v>0</v>
      </c>
      <c r="G14">
        <v>0</v>
      </c>
      <c r="H14">
        <v>0.25719999999999998</v>
      </c>
      <c r="I14" s="31">
        <v>0.24199999999999999</v>
      </c>
      <c r="J14">
        <v>0</v>
      </c>
      <c r="K14">
        <v>75.099999999999994</v>
      </c>
      <c r="L14">
        <v>0</v>
      </c>
      <c r="M14">
        <v>2.0000000000000001E-4</v>
      </c>
      <c r="N14">
        <v>75.602500000000006</v>
      </c>
      <c r="O14" t="s">
        <v>437</v>
      </c>
      <c r="Q14">
        <f t="shared" si="1"/>
        <v>2420</v>
      </c>
      <c r="R14">
        <f t="shared" si="0"/>
        <v>3.2223701731025301E-3</v>
      </c>
      <c r="S14">
        <f>10000*(I14-(K14*Standards!I$15))</f>
        <v>758.41250000000002</v>
      </c>
      <c r="T14" t="s">
        <v>24</v>
      </c>
    </row>
    <row r="15" spans="1:25">
      <c r="A15">
        <v>4</v>
      </c>
      <c r="B15">
        <v>0</v>
      </c>
      <c r="C15">
        <v>0</v>
      </c>
      <c r="D15">
        <v>2.8E-3</v>
      </c>
      <c r="E15">
        <v>0</v>
      </c>
      <c r="F15">
        <v>0</v>
      </c>
      <c r="G15">
        <v>0</v>
      </c>
      <c r="H15">
        <v>4.1799999999999997E-2</v>
      </c>
      <c r="I15" s="31">
        <v>0.23069999999999999</v>
      </c>
      <c r="J15">
        <v>0</v>
      </c>
      <c r="K15">
        <v>73.5</v>
      </c>
      <c r="L15">
        <v>0</v>
      </c>
      <c r="M15">
        <v>0</v>
      </c>
      <c r="N15">
        <v>73.775400000000005</v>
      </c>
      <c r="O15" t="s">
        <v>437</v>
      </c>
      <c r="Q15">
        <f t="shared" si="1"/>
        <v>2307</v>
      </c>
      <c r="R15">
        <f t="shared" si="0"/>
        <v>3.1387755102040816E-3</v>
      </c>
      <c r="S15">
        <f>10000*(I15-(K15*Standards!I$15))</f>
        <v>680.81249999999977</v>
      </c>
      <c r="T15" t="s">
        <v>24</v>
      </c>
    </row>
    <row r="16" spans="1:25">
      <c r="A16">
        <v>42</v>
      </c>
      <c r="B16">
        <v>0</v>
      </c>
      <c r="C16">
        <v>0</v>
      </c>
      <c r="D16">
        <v>5.4999999999999997E-3</v>
      </c>
      <c r="E16">
        <v>0</v>
      </c>
      <c r="F16">
        <v>0</v>
      </c>
      <c r="G16">
        <v>0</v>
      </c>
      <c r="H16">
        <v>4.2099999999999999E-2</v>
      </c>
      <c r="I16" s="31">
        <v>0.19969999999999999</v>
      </c>
      <c r="J16">
        <v>0</v>
      </c>
      <c r="K16">
        <v>73.03</v>
      </c>
      <c r="L16">
        <v>0</v>
      </c>
      <c r="M16">
        <v>0</v>
      </c>
      <c r="N16">
        <v>73.2774</v>
      </c>
      <c r="O16" t="s">
        <v>438</v>
      </c>
      <c r="Q16">
        <f t="shared" si="1"/>
        <v>1997</v>
      </c>
      <c r="R16">
        <f t="shared" si="0"/>
        <v>2.7344926742434612E-3</v>
      </c>
      <c r="S16">
        <f>10000*(I16-(K16*Standards!I$15))</f>
        <v>381.21124999999978</v>
      </c>
      <c r="T16" t="s">
        <v>24</v>
      </c>
    </row>
    <row r="17" spans="1:25">
      <c r="A17">
        <v>20</v>
      </c>
      <c r="B17">
        <v>0</v>
      </c>
      <c r="C17">
        <v>0</v>
      </c>
      <c r="D17">
        <v>1.7600000000000001E-2</v>
      </c>
      <c r="E17">
        <v>0</v>
      </c>
      <c r="F17">
        <v>0</v>
      </c>
      <c r="G17">
        <v>0</v>
      </c>
      <c r="H17">
        <v>0.30170000000000002</v>
      </c>
      <c r="I17" s="31">
        <v>0.20799999999999999</v>
      </c>
      <c r="J17">
        <v>0</v>
      </c>
      <c r="K17">
        <v>75.59</v>
      </c>
      <c r="L17">
        <v>0</v>
      </c>
      <c r="M17">
        <v>9.4000000000000004E-3</v>
      </c>
      <c r="N17">
        <v>76.1267</v>
      </c>
      <c r="O17" t="s">
        <v>439</v>
      </c>
      <c r="Q17">
        <f t="shared" si="1"/>
        <v>2080</v>
      </c>
      <c r="R17">
        <f t="shared" si="0"/>
        <v>2.7516867310490804E-3</v>
      </c>
      <c r="S17">
        <f>10000*(I17-(K17*Standards!I$15))</f>
        <v>407.57124999999979</v>
      </c>
      <c r="T17" t="s">
        <v>71</v>
      </c>
      <c r="U17">
        <f>COUNT(S17:S18)</f>
        <v>2</v>
      </c>
      <c r="V17">
        <f>MAX(H17:H18)</f>
        <v>0.30170000000000002</v>
      </c>
      <c r="W17">
        <f>AVERAGE(H17:H18)</f>
        <v>0.17225000000000001</v>
      </c>
      <c r="X17">
        <f>MAX(S17:S18)</f>
        <v>486.21875000000011</v>
      </c>
      <c r="Y17">
        <f>AVERAGE(S17:S18)</f>
        <v>446.89499999999998</v>
      </c>
    </row>
    <row r="18" spans="1:25">
      <c r="A18">
        <v>29</v>
      </c>
      <c r="B18">
        <v>0</v>
      </c>
      <c r="C18">
        <v>0</v>
      </c>
      <c r="D18">
        <v>8.0000000000000004E-4</v>
      </c>
      <c r="E18">
        <v>0</v>
      </c>
      <c r="F18">
        <v>0</v>
      </c>
      <c r="G18">
        <v>0</v>
      </c>
      <c r="H18">
        <v>4.2799999999999998E-2</v>
      </c>
      <c r="I18" s="31">
        <v>0.21290000000000001</v>
      </c>
      <c r="J18">
        <v>0</v>
      </c>
      <c r="K18">
        <v>74.25</v>
      </c>
      <c r="L18">
        <v>1.72E-2</v>
      </c>
      <c r="M18">
        <v>2.8E-3</v>
      </c>
      <c r="N18">
        <v>74.526600000000002</v>
      </c>
      <c r="O18" t="s">
        <v>439</v>
      </c>
      <c r="Q18">
        <f t="shared" si="1"/>
        <v>2129</v>
      </c>
      <c r="R18">
        <f t="shared" si="0"/>
        <v>2.8673400673400675E-3</v>
      </c>
      <c r="S18">
        <f>10000*(I18-(K18*Standards!I$15))</f>
        <v>486.21875000000011</v>
      </c>
      <c r="T18" t="s">
        <v>71</v>
      </c>
    </row>
    <row r="19" spans="1:25">
      <c r="A19">
        <v>65</v>
      </c>
      <c r="B19">
        <v>0</v>
      </c>
      <c r="C19">
        <v>0</v>
      </c>
      <c r="D19">
        <v>6.4999999999999997E-3</v>
      </c>
      <c r="E19">
        <v>0</v>
      </c>
      <c r="F19">
        <v>0</v>
      </c>
      <c r="G19">
        <v>0</v>
      </c>
      <c r="H19">
        <v>1.32</v>
      </c>
      <c r="I19" s="31">
        <v>0.35010000000000002</v>
      </c>
      <c r="J19">
        <v>1.41E-2</v>
      </c>
      <c r="K19">
        <v>73.44</v>
      </c>
      <c r="L19">
        <v>0</v>
      </c>
      <c r="M19">
        <v>0</v>
      </c>
      <c r="N19">
        <v>75.130799999999994</v>
      </c>
      <c r="O19" t="s">
        <v>440</v>
      </c>
      <c r="Q19">
        <f t="shared" si="1"/>
        <v>3501</v>
      </c>
      <c r="R19">
        <f t="shared" si="0"/>
        <v>4.7671568627450983E-3</v>
      </c>
      <c r="S19">
        <f>10000*(I19-(K19*Standards!I$15))</f>
        <v>1876.1400000000003</v>
      </c>
      <c r="T19" t="s">
        <v>38</v>
      </c>
      <c r="U19">
        <f>COUNT(S19:S36)</f>
        <v>18</v>
      </c>
      <c r="V19">
        <f>MAX(H19:H36)</f>
        <v>1.32</v>
      </c>
      <c r="W19">
        <f>AVERAGE(H19:H36)</f>
        <v>0.30806111111111112</v>
      </c>
      <c r="X19">
        <f>MAX(S19:S36)</f>
        <v>1876.1400000000003</v>
      </c>
      <c r="Y19">
        <f>AVERAGE(S19:S36)</f>
        <v>863.38111111111118</v>
      </c>
    </row>
    <row r="20" spans="1:25">
      <c r="A20">
        <v>53</v>
      </c>
      <c r="B20">
        <v>0</v>
      </c>
      <c r="C20">
        <v>0</v>
      </c>
      <c r="D20">
        <v>2.5000000000000001E-3</v>
      </c>
      <c r="E20">
        <v>0</v>
      </c>
      <c r="F20">
        <v>0</v>
      </c>
      <c r="G20">
        <v>0</v>
      </c>
      <c r="H20">
        <v>1.19</v>
      </c>
      <c r="I20" s="31">
        <v>0.30830000000000002</v>
      </c>
      <c r="J20">
        <v>0</v>
      </c>
      <c r="K20">
        <v>73.97</v>
      </c>
      <c r="L20">
        <v>0</v>
      </c>
      <c r="M20">
        <v>0</v>
      </c>
      <c r="N20">
        <v>75.4709</v>
      </c>
      <c r="O20" t="s">
        <v>440</v>
      </c>
      <c r="Q20">
        <f t="shared" si="1"/>
        <v>3083</v>
      </c>
      <c r="R20">
        <f t="shared" si="0"/>
        <v>4.1679059078004602E-3</v>
      </c>
      <c r="S20">
        <f>10000*(I20-(K20*Standards!I$15))</f>
        <v>1446.4137500000002</v>
      </c>
      <c r="T20" t="s">
        <v>38</v>
      </c>
    </row>
    <row r="21" spans="1:25">
      <c r="A21">
        <v>51</v>
      </c>
      <c r="B21">
        <v>0</v>
      </c>
      <c r="C21">
        <v>0</v>
      </c>
      <c r="D21">
        <v>1.8499999999999999E-2</v>
      </c>
      <c r="E21">
        <v>0</v>
      </c>
      <c r="F21">
        <v>0</v>
      </c>
      <c r="G21">
        <v>0</v>
      </c>
      <c r="H21">
        <v>0.64810000000000001</v>
      </c>
      <c r="I21" s="31">
        <v>0.22550000000000001</v>
      </c>
      <c r="J21">
        <v>5.5999999999999999E-3</v>
      </c>
      <c r="K21">
        <v>74.83</v>
      </c>
      <c r="L21">
        <v>3.0999999999999999E-3</v>
      </c>
      <c r="M21">
        <v>6.7000000000000002E-3</v>
      </c>
      <c r="N21">
        <v>75.737499999999997</v>
      </c>
      <c r="O21" t="s">
        <v>440</v>
      </c>
      <c r="Q21">
        <f t="shared" si="1"/>
        <v>2255</v>
      </c>
      <c r="R21">
        <f t="shared" si="0"/>
        <v>3.0134972604570361E-3</v>
      </c>
      <c r="S21">
        <f>10000*(I21-(K21*Standards!I$15))</f>
        <v>599.3862499999999</v>
      </c>
      <c r="T21" t="s">
        <v>38</v>
      </c>
    </row>
    <row r="22" spans="1:25">
      <c r="A22">
        <v>52</v>
      </c>
      <c r="B22">
        <v>0</v>
      </c>
      <c r="C22">
        <v>0</v>
      </c>
      <c r="D22">
        <v>4.5999999999999999E-3</v>
      </c>
      <c r="E22">
        <v>0</v>
      </c>
      <c r="F22">
        <v>0</v>
      </c>
      <c r="G22">
        <v>0</v>
      </c>
      <c r="H22">
        <v>0.38400000000000001</v>
      </c>
      <c r="I22" s="31">
        <v>0.22070000000000001</v>
      </c>
      <c r="J22">
        <v>0</v>
      </c>
      <c r="K22">
        <v>74.19</v>
      </c>
      <c r="L22">
        <v>0</v>
      </c>
      <c r="M22">
        <v>0</v>
      </c>
      <c r="N22">
        <v>74.799400000000006</v>
      </c>
      <c r="O22" t="s">
        <v>440</v>
      </c>
      <c r="Q22">
        <f t="shared" si="1"/>
        <v>2207</v>
      </c>
      <c r="R22">
        <f t="shared" si="0"/>
        <v>2.9747944466909288E-3</v>
      </c>
      <c r="S22">
        <f>10000*(I22-(K22*Standards!I$15))</f>
        <v>565.54624999999999</v>
      </c>
      <c r="T22" t="s">
        <v>38</v>
      </c>
    </row>
    <row r="23" spans="1:25">
      <c r="A23">
        <v>66</v>
      </c>
      <c r="B23">
        <v>0</v>
      </c>
      <c r="C23">
        <v>0</v>
      </c>
      <c r="D23">
        <v>2.0999999999999999E-3</v>
      </c>
      <c r="E23">
        <v>0</v>
      </c>
      <c r="F23">
        <v>0</v>
      </c>
      <c r="G23">
        <v>0</v>
      </c>
      <c r="H23">
        <v>1.61E-2</v>
      </c>
      <c r="I23" s="31">
        <v>0.2321</v>
      </c>
      <c r="J23">
        <v>1.61E-2</v>
      </c>
      <c r="K23">
        <v>73.55</v>
      </c>
      <c r="L23">
        <v>0</v>
      </c>
      <c r="M23">
        <v>8.9999999999999998E-4</v>
      </c>
      <c r="N23">
        <v>73.817400000000006</v>
      </c>
      <c r="O23" t="s">
        <v>440</v>
      </c>
      <c r="Q23">
        <f t="shared" si="1"/>
        <v>2321</v>
      </c>
      <c r="R23">
        <f t="shared" si="0"/>
        <v>3.1556764106050309E-3</v>
      </c>
      <c r="S23">
        <f>10000*(I23-(K23*Standards!I$15))</f>
        <v>693.70624999999995</v>
      </c>
      <c r="T23" t="s">
        <v>38</v>
      </c>
    </row>
    <row r="24" spans="1:25">
      <c r="A24">
        <v>67</v>
      </c>
      <c r="B24">
        <v>0</v>
      </c>
      <c r="C24">
        <v>0</v>
      </c>
      <c r="D24">
        <v>1.4E-3</v>
      </c>
      <c r="E24">
        <v>0</v>
      </c>
      <c r="F24">
        <v>0</v>
      </c>
      <c r="G24">
        <v>0</v>
      </c>
      <c r="H24">
        <v>1.4999999999999999E-2</v>
      </c>
      <c r="I24" s="31">
        <v>0.23400000000000001</v>
      </c>
      <c r="J24">
        <v>2.3400000000000001E-2</v>
      </c>
      <c r="K24">
        <v>74.040000000000006</v>
      </c>
      <c r="L24">
        <v>0</v>
      </c>
      <c r="M24">
        <v>0</v>
      </c>
      <c r="N24">
        <v>74.313900000000004</v>
      </c>
      <c r="O24" t="s">
        <v>440</v>
      </c>
      <c r="Q24">
        <f t="shared" si="1"/>
        <v>2340</v>
      </c>
      <c r="R24">
        <f t="shared" si="0"/>
        <v>3.160453808752026E-3</v>
      </c>
      <c r="S24">
        <f>10000*(I24-(K24*Standards!I$15))</f>
        <v>701.8649999999999</v>
      </c>
      <c r="T24" t="s">
        <v>38</v>
      </c>
    </row>
    <row r="25" spans="1:25">
      <c r="A25">
        <v>132</v>
      </c>
      <c r="B25">
        <v>0</v>
      </c>
      <c r="C25">
        <v>0</v>
      </c>
      <c r="D25">
        <v>0</v>
      </c>
      <c r="E25">
        <v>0</v>
      </c>
      <c r="F25">
        <v>0</v>
      </c>
      <c r="G25">
        <v>0</v>
      </c>
      <c r="H25">
        <v>0.55389999999999995</v>
      </c>
      <c r="I25" s="31">
        <v>0.28449999999999998</v>
      </c>
      <c r="J25">
        <v>6.1000000000000004E-3</v>
      </c>
      <c r="K25">
        <v>74.91</v>
      </c>
      <c r="L25">
        <v>0</v>
      </c>
      <c r="M25">
        <v>7.7999999999999996E-3</v>
      </c>
      <c r="N25">
        <v>75.7624</v>
      </c>
      <c r="O25" t="s">
        <v>441</v>
      </c>
      <c r="Q25">
        <f t="shared" si="1"/>
        <v>2844.9999999999995</v>
      </c>
      <c r="R25">
        <f t="shared" si="0"/>
        <v>3.7978908022960885E-3</v>
      </c>
      <c r="S25">
        <f>10000*(I25-(K25*Standards!I$15))</f>
        <v>1187.6162499999998</v>
      </c>
      <c r="T25" t="s">
        <v>38</v>
      </c>
    </row>
    <row r="26" spans="1:25">
      <c r="A26">
        <v>120</v>
      </c>
      <c r="B26">
        <v>0</v>
      </c>
      <c r="C26">
        <v>0</v>
      </c>
      <c r="D26">
        <v>3.2000000000000002E-3</v>
      </c>
      <c r="E26">
        <v>0</v>
      </c>
      <c r="F26">
        <v>0</v>
      </c>
      <c r="G26">
        <v>0</v>
      </c>
      <c r="H26">
        <v>0.43020000000000003</v>
      </c>
      <c r="I26">
        <v>0.25969999999999999</v>
      </c>
      <c r="J26">
        <v>1.1999999999999999E-3</v>
      </c>
      <c r="K26">
        <v>74.349999999999994</v>
      </c>
      <c r="L26">
        <v>1.3899999999999999E-2</v>
      </c>
      <c r="M26">
        <v>0</v>
      </c>
      <c r="N26">
        <v>75.058300000000003</v>
      </c>
      <c r="O26" t="s">
        <v>441</v>
      </c>
      <c r="Q26">
        <f t="shared" si="1"/>
        <v>2597</v>
      </c>
      <c r="R26">
        <f t="shared" si="0"/>
        <v>3.4929388029589781E-3</v>
      </c>
      <c r="S26">
        <f>10000*(I26-(K26*Standards!I$15))</f>
        <v>952.0062499999998</v>
      </c>
      <c r="T26" t="s">
        <v>38</v>
      </c>
    </row>
    <row r="27" spans="1:25">
      <c r="A27">
        <v>148</v>
      </c>
      <c r="B27">
        <v>0</v>
      </c>
      <c r="C27">
        <v>0</v>
      </c>
      <c r="D27">
        <v>1.4E-3</v>
      </c>
      <c r="E27">
        <v>0</v>
      </c>
      <c r="F27">
        <v>0</v>
      </c>
      <c r="G27">
        <v>0</v>
      </c>
      <c r="H27">
        <v>0.32350000000000001</v>
      </c>
      <c r="I27">
        <v>0.24709999999999999</v>
      </c>
      <c r="J27">
        <v>1.43E-2</v>
      </c>
      <c r="K27">
        <v>74.77</v>
      </c>
      <c r="L27">
        <v>0</v>
      </c>
      <c r="M27">
        <v>0</v>
      </c>
      <c r="N27">
        <v>75.356399999999994</v>
      </c>
      <c r="O27" t="s">
        <v>441</v>
      </c>
      <c r="Q27">
        <f t="shared" si="1"/>
        <v>2471</v>
      </c>
      <c r="R27">
        <f t="shared" si="0"/>
        <v>3.304801390932192E-3</v>
      </c>
      <c r="S27">
        <f>10000*(I27-(K27*Standards!I$15))</f>
        <v>816.71374999999989</v>
      </c>
      <c r="T27" t="s">
        <v>38</v>
      </c>
    </row>
    <row r="28" spans="1:25">
      <c r="A28">
        <v>151</v>
      </c>
      <c r="B28">
        <v>0</v>
      </c>
      <c r="C28">
        <v>0</v>
      </c>
      <c r="D28">
        <v>0</v>
      </c>
      <c r="E28">
        <v>0</v>
      </c>
      <c r="F28">
        <v>0</v>
      </c>
      <c r="G28">
        <v>0</v>
      </c>
      <c r="H28">
        <v>0.1424</v>
      </c>
      <c r="I28">
        <v>0.23469999999999999</v>
      </c>
      <c r="J28">
        <v>0</v>
      </c>
      <c r="K28">
        <v>74.61</v>
      </c>
      <c r="L28">
        <v>0</v>
      </c>
      <c r="M28">
        <v>4.3E-3</v>
      </c>
      <c r="N28">
        <v>74.991500000000002</v>
      </c>
      <c r="O28" t="s">
        <v>441</v>
      </c>
      <c r="Q28">
        <f t="shared" si="1"/>
        <v>2347</v>
      </c>
      <c r="R28">
        <f t="shared" si="0"/>
        <v>3.1456909261493096E-3</v>
      </c>
      <c r="S28">
        <f>10000*(I28-(K28*Standards!I$15))</f>
        <v>696.25374999999985</v>
      </c>
      <c r="T28" t="s">
        <v>38</v>
      </c>
    </row>
    <row r="29" spans="1:25">
      <c r="A29">
        <v>149</v>
      </c>
      <c r="B29">
        <v>0</v>
      </c>
      <c r="C29">
        <v>0</v>
      </c>
      <c r="D29">
        <v>0</v>
      </c>
      <c r="E29">
        <v>0</v>
      </c>
      <c r="F29">
        <v>0</v>
      </c>
      <c r="G29">
        <v>0</v>
      </c>
      <c r="H29">
        <v>0.13150000000000001</v>
      </c>
      <c r="I29">
        <v>0.23630000000000001</v>
      </c>
      <c r="J29">
        <v>2.3400000000000001E-2</v>
      </c>
      <c r="K29">
        <v>73.88</v>
      </c>
      <c r="L29">
        <v>0</v>
      </c>
      <c r="M29">
        <v>1E-4</v>
      </c>
      <c r="N29">
        <v>74.271299999999997</v>
      </c>
      <c r="O29" t="s">
        <v>441</v>
      </c>
      <c r="Q29">
        <f t="shared" si="1"/>
        <v>2363</v>
      </c>
      <c r="R29">
        <f t="shared" si="0"/>
        <v>3.198429886302112E-3</v>
      </c>
      <c r="S29">
        <f>10000*(I29-(K29*Standards!I$15))</f>
        <v>728.40499999999997</v>
      </c>
      <c r="T29" t="s">
        <v>38</v>
      </c>
    </row>
    <row r="30" spans="1:25">
      <c r="A30">
        <v>118</v>
      </c>
      <c r="B30">
        <v>0</v>
      </c>
      <c r="C30">
        <v>0</v>
      </c>
      <c r="D30">
        <v>0</v>
      </c>
      <c r="E30">
        <v>0</v>
      </c>
      <c r="F30">
        <v>0</v>
      </c>
      <c r="G30">
        <v>0</v>
      </c>
      <c r="H30">
        <v>0.1004</v>
      </c>
      <c r="I30">
        <v>0.25259999999999999</v>
      </c>
      <c r="J30">
        <v>0</v>
      </c>
      <c r="K30">
        <v>74.63</v>
      </c>
      <c r="L30">
        <v>0</v>
      </c>
      <c r="M30">
        <v>0</v>
      </c>
      <c r="N30">
        <v>74.983000000000004</v>
      </c>
      <c r="O30" t="s">
        <v>441</v>
      </c>
      <c r="Q30">
        <f t="shared" si="1"/>
        <v>2526</v>
      </c>
      <c r="R30">
        <f t="shared" si="0"/>
        <v>3.3846978426906073E-3</v>
      </c>
      <c r="S30">
        <f>10000*(I30-(K30*Standards!I$15))</f>
        <v>874.81124999999997</v>
      </c>
      <c r="T30" t="s">
        <v>38</v>
      </c>
    </row>
    <row r="31" spans="1:25">
      <c r="A31">
        <v>133</v>
      </c>
      <c r="B31">
        <v>0</v>
      </c>
      <c r="C31">
        <v>0</v>
      </c>
      <c r="D31">
        <v>2.3E-3</v>
      </c>
      <c r="E31">
        <v>0</v>
      </c>
      <c r="F31">
        <v>0</v>
      </c>
      <c r="G31">
        <v>0</v>
      </c>
      <c r="H31">
        <v>8.6199999999999999E-2</v>
      </c>
      <c r="I31">
        <v>0.24249999999999999</v>
      </c>
      <c r="J31">
        <v>2.6100000000000002E-2</v>
      </c>
      <c r="K31">
        <v>74.73</v>
      </c>
      <c r="L31">
        <v>0</v>
      </c>
      <c r="M31">
        <v>0</v>
      </c>
      <c r="N31">
        <v>75.087199999999996</v>
      </c>
      <c r="O31" t="s">
        <v>441</v>
      </c>
      <c r="Q31">
        <f t="shared" si="1"/>
        <v>2425</v>
      </c>
      <c r="R31">
        <f t="shared" si="0"/>
        <v>3.2450153887327712E-3</v>
      </c>
      <c r="S31">
        <f>10000*(I31-(K31*Standards!I$15))</f>
        <v>771.59874999999988</v>
      </c>
      <c r="T31" t="s">
        <v>38</v>
      </c>
    </row>
    <row r="32" spans="1:25">
      <c r="A32">
        <v>117</v>
      </c>
      <c r="B32">
        <v>0</v>
      </c>
      <c r="C32">
        <v>0</v>
      </c>
      <c r="D32">
        <v>0</v>
      </c>
      <c r="E32">
        <v>0</v>
      </c>
      <c r="F32">
        <v>0</v>
      </c>
      <c r="G32">
        <v>0</v>
      </c>
      <c r="H32">
        <v>2.6100000000000002E-2</v>
      </c>
      <c r="I32">
        <v>0.25209999999999999</v>
      </c>
      <c r="J32">
        <v>0</v>
      </c>
      <c r="K32">
        <v>74.209999999999994</v>
      </c>
      <c r="L32">
        <v>0</v>
      </c>
      <c r="M32">
        <v>0</v>
      </c>
      <c r="N32">
        <v>74.488299999999995</v>
      </c>
      <c r="O32" t="s">
        <v>441</v>
      </c>
      <c r="Q32">
        <f t="shared" si="1"/>
        <v>2521</v>
      </c>
      <c r="R32">
        <f t="shared" si="0"/>
        <v>3.3971162916049051E-3</v>
      </c>
      <c r="S32">
        <f>10000*(I32-(K32*Standards!I$15))</f>
        <v>879.1037500000001</v>
      </c>
      <c r="T32" t="s">
        <v>38</v>
      </c>
    </row>
    <row r="33" spans="1:25">
      <c r="A33">
        <v>116</v>
      </c>
      <c r="B33">
        <v>0</v>
      </c>
      <c r="C33">
        <v>0</v>
      </c>
      <c r="D33">
        <v>0</v>
      </c>
      <c r="E33">
        <v>0</v>
      </c>
      <c r="F33">
        <v>0</v>
      </c>
      <c r="G33">
        <v>0</v>
      </c>
      <c r="H33">
        <v>2.4799999999999999E-2</v>
      </c>
      <c r="I33">
        <v>0.24490000000000001</v>
      </c>
      <c r="J33">
        <v>0</v>
      </c>
      <c r="K33">
        <v>74.45</v>
      </c>
      <c r="L33">
        <v>0</v>
      </c>
      <c r="M33">
        <v>4.8999999999999998E-3</v>
      </c>
      <c r="N33">
        <v>74.724599999999995</v>
      </c>
      <c r="O33" t="s">
        <v>441</v>
      </c>
      <c r="Q33">
        <f t="shared" si="1"/>
        <v>2449</v>
      </c>
      <c r="R33">
        <f t="shared" si="0"/>
        <v>3.2894560107454666E-3</v>
      </c>
      <c r="S33">
        <f>10000*(I33-(K33*Standards!I$15))</f>
        <v>801.79374999999993</v>
      </c>
      <c r="T33" t="s">
        <v>38</v>
      </c>
    </row>
    <row r="34" spans="1:25">
      <c r="A34">
        <v>147</v>
      </c>
      <c r="B34">
        <v>0</v>
      </c>
      <c r="C34">
        <v>0</v>
      </c>
      <c r="D34">
        <v>0</v>
      </c>
      <c r="E34">
        <v>0</v>
      </c>
      <c r="F34">
        <v>0</v>
      </c>
      <c r="G34">
        <v>0</v>
      </c>
      <c r="H34">
        <v>2.24E-2</v>
      </c>
      <c r="I34">
        <v>0.23580000000000001</v>
      </c>
      <c r="J34">
        <v>8.2000000000000007E-3</v>
      </c>
      <c r="K34">
        <v>74.3</v>
      </c>
      <c r="L34">
        <v>8.3000000000000001E-3</v>
      </c>
      <c r="M34">
        <v>0</v>
      </c>
      <c r="N34">
        <v>74.574799999999996</v>
      </c>
      <c r="O34" t="s">
        <v>441</v>
      </c>
      <c r="Q34">
        <f t="shared" si="1"/>
        <v>2358</v>
      </c>
      <c r="R34">
        <f t="shared" ref="R34:R65" si="2">I34/K34</f>
        <v>3.1736204576043071E-3</v>
      </c>
      <c r="S34">
        <f>10000*(I34-(K34*Standards!I$15))</f>
        <v>714.11250000000007</v>
      </c>
      <c r="T34" t="s">
        <v>38</v>
      </c>
    </row>
    <row r="35" spans="1:25">
      <c r="A35">
        <v>121</v>
      </c>
      <c r="B35">
        <v>0</v>
      </c>
      <c r="C35">
        <v>0</v>
      </c>
      <c r="D35">
        <v>8.9999999999999998E-4</v>
      </c>
      <c r="E35">
        <v>0</v>
      </c>
      <c r="F35">
        <v>0</v>
      </c>
      <c r="G35">
        <v>0</v>
      </c>
      <c r="H35">
        <v>2.0400000000000001E-2</v>
      </c>
      <c r="I35">
        <v>0.247</v>
      </c>
      <c r="J35">
        <v>1.7999999999999999E-2</v>
      </c>
      <c r="K35">
        <v>74.209999999999994</v>
      </c>
      <c r="L35">
        <v>1E-3</v>
      </c>
      <c r="M35">
        <v>0</v>
      </c>
      <c r="N35">
        <v>74.497399999999999</v>
      </c>
      <c r="O35" t="s">
        <v>441</v>
      </c>
      <c r="Q35">
        <f t="shared" si="1"/>
        <v>2470</v>
      </c>
      <c r="R35">
        <f t="shared" si="2"/>
        <v>3.3283923999460991E-3</v>
      </c>
      <c r="S35">
        <f>10000*(I35-(K35*Standards!I$15))</f>
        <v>828.10375000000022</v>
      </c>
      <c r="T35" t="s">
        <v>38</v>
      </c>
    </row>
    <row r="36" spans="1:25">
      <c r="A36">
        <v>192</v>
      </c>
      <c r="B36">
        <v>0</v>
      </c>
      <c r="C36">
        <v>0</v>
      </c>
      <c r="D36">
        <v>2.3599999999999999E-2</v>
      </c>
      <c r="E36">
        <v>0</v>
      </c>
      <c r="F36">
        <v>0</v>
      </c>
      <c r="G36">
        <v>0</v>
      </c>
      <c r="H36">
        <v>0.1101</v>
      </c>
      <c r="I36">
        <v>0.19889999999999999</v>
      </c>
      <c r="J36">
        <v>0.15620000000000001</v>
      </c>
      <c r="K36">
        <v>71.489999999999995</v>
      </c>
      <c r="L36">
        <v>0</v>
      </c>
      <c r="M36">
        <v>0</v>
      </c>
      <c r="N36">
        <v>71.978899999999996</v>
      </c>
      <c r="O36" t="s">
        <v>442</v>
      </c>
      <c r="Q36">
        <f t="shared" si="1"/>
        <v>1989</v>
      </c>
      <c r="R36">
        <f t="shared" si="2"/>
        <v>2.7822073017205206E-3</v>
      </c>
      <c r="S36">
        <f>10000*(I36-(K36*Standards!I$15))</f>
        <v>407.28375000000011</v>
      </c>
      <c r="T36" t="s">
        <v>38</v>
      </c>
    </row>
    <row r="37" spans="1:25">
      <c r="A37">
        <v>33</v>
      </c>
      <c r="B37">
        <v>0</v>
      </c>
      <c r="C37">
        <v>0</v>
      </c>
      <c r="D37">
        <v>7.0000000000000001E-3</v>
      </c>
      <c r="E37">
        <v>0</v>
      </c>
      <c r="F37">
        <v>0</v>
      </c>
      <c r="G37">
        <v>0</v>
      </c>
      <c r="H37">
        <v>2.3199999999999998E-2</v>
      </c>
      <c r="I37">
        <v>0.22120000000000001</v>
      </c>
      <c r="J37">
        <v>0</v>
      </c>
      <c r="K37">
        <v>75.55</v>
      </c>
      <c r="L37">
        <v>0</v>
      </c>
      <c r="M37">
        <v>0</v>
      </c>
      <c r="N37">
        <f>SUM(B37:M37)</f>
        <v>75.801400000000001</v>
      </c>
      <c r="O37" t="s">
        <v>443</v>
      </c>
      <c r="Q37">
        <f t="shared" si="1"/>
        <v>2212</v>
      </c>
      <c r="R37">
        <f t="shared" si="2"/>
        <v>2.9278623428193253E-3</v>
      </c>
      <c r="S37">
        <f>10000*(I37-(K37*Standards!I$15))</f>
        <v>540.45625000000018</v>
      </c>
      <c r="T37" t="s">
        <v>44</v>
      </c>
      <c r="U37">
        <f>COUNT(S14:S16,S37,S85:S86)</f>
        <v>6</v>
      </c>
      <c r="V37">
        <f>MAX(H14:H16,H37,H85:H86)</f>
        <v>0.25719999999999998</v>
      </c>
      <c r="W37">
        <f>AVERAGE(H14:H16,H37,H85:H86)</f>
        <v>8.8283333333333325E-2</v>
      </c>
      <c r="X37">
        <f>MAX(S14:S16,S37,S85:S86)</f>
        <v>758.41250000000002</v>
      </c>
      <c r="Y37">
        <f>AVERAGE(S14:S16,S37,S85:S86)</f>
        <v>584.82458333333341</v>
      </c>
    </row>
    <row r="38" spans="1:25">
      <c r="A38">
        <v>72</v>
      </c>
      <c r="B38">
        <v>0</v>
      </c>
      <c r="C38">
        <v>0</v>
      </c>
      <c r="D38">
        <v>1E-3</v>
      </c>
      <c r="E38">
        <v>0</v>
      </c>
      <c r="F38">
        <v>0</v>
      </c>
      <c r="G38">
        <v>0</v>
      </c>
      <c r="H38">
        <v>9.6699999999999994E-2</v>
      </c>
      <c r="I38">
        <v>0.17580000000000001</v>
      </c>
      <c r="J38">
        <v>0</v>
      </c>
      <c r="K38">
        <v>72.430000000000007</v>
      </c>
      <c r="L38">
        <v>4.1999999999999997E-3</v>
      </c>
      <c r="M38">
        <v>0</v>
      </c>
      <c r="N38">
        <v>72.707800000000006</v>
      </c>
      <c r="O38" t="s">
        <v>444</v>
      </c>
      <c r="Q38">
        <f t="shared" si="1"/>
        <v>1758.0000000000002</v>
      </c>
      <c r="R38">
        <f t="shared" si="2"/>
        <v>2.4271710617147588E-3</v>
      </c>
      <c r="S38">
        <f>10000*(I38-(K38*Standards!I$15))</f>
        <v>155.48624999999981</v>
      </c>
      <c r="T38" t="s">
        <v>79</v>
      </c>
      <c r="U38">
        <f>COUNT(S38:S41)</f>
        <v>4</v>
      </c>
      <c r="V38">
        <f>MAX(H38:H41)</f>
        <v>0.28970000000000001</v>
      </c>
      <c r="W38">
        <f>AVERAGE(H38:H41)</f>
        <v>0.12890000000000001</v>
      </c>
      <c r="X38">
        <f>MAX(S38:S41)</f>
        <v>235.27374999999989</v>
      </c>
      <c r="Y38">
        <f>AVERAGE(S38:S41)</f>
        <v>186.48187499999995</v>
      </c>
    </row>
    <row r="39" spans="1:25">
      <c r="A39">
        <v>73</v>
      </c>
      <c r="B39">
        <v>0</v>
      </c>
      <c r="C39">
        <v>0</v>
      </c>
      <c r="D39">
        <v>1.6000000000000001E-3</v>
      </c>
      <c r="E39">
        <v>0</v>
      </c>
      <c r="F39">
        <v>0</v>
      </c>
      <c r="G39">
        <v>0</v>
      </c>
      <c r="H39">
        <v>4.2500000000000003E-2</v>
      </c>
      <c r="I39">
        <v>0.184</v>
      </c>
      <c r="J39">
        <v>8.9999999999999998E-4</v>
      </c>
      <c r="K39">
        <v>72.53</v>
      </c>
      <c r="L39">
        <v>0</v>
      </c>
      <c r="M39">
        <v>0</v>
      </c>
      <c r="N39">
        <v>72.759</v>
      </c>
      <c r="O39" t="s">
        <v>444</v>
      </c>
      <c r="Q39">
        <f t="shared" si="1"/>
        <v>1840</v>
      </c>
      <c r="R39">
        <f t="shared" si="2"/>
        <v>2.5368812905004826E-3</v>
      </c>
      <c r="S39">
        <f>10000*(I39-(K39*Standards!I$15))</f>
        <v>235.27374999999989</v>
      </c>
      <c r="T39" t="s">
        <v>79</v>
      </c>
    </row>
    <row r="40" spans="1:25">
      <c r="A40">
        <v>74</v>
      </c>
      <c r="B40">
        <v>0</v>
      </c>
      <c r="C40">
        <v>0</v>
      </c>
      <c r="D40">
        <v>2.3999999999999998E-3</v>
      </c>
      <c r="E40">
        <v>0</v>
      </c>
      <c r="F40">
        <v>0</v>
      </c>
      <c r="G40">
        <v>0</v>
      </c>
      <c r="H40">
        <v>8.6699999999999999E-2</v>
      </c>
      <c r="I40">
        <v>0.17330000000000001</v>
      </c>
      <c r="J40">
        <v>0</v>
      </c>
      <c r="K40">
        <v>71.739999999999995</v>
      </c>
      <c r="L40">
        <v>0</v>
      </c>
      <c r="M40">
        <v>1.09E-2</v>
      </c>
      <c r="N40">
        <v>72.013400000000004</v>
      </c>
      <c r="O40" t="s">
        <v>445</v>
      </c>
      <c r="Q40">
        <f t="shared" si="1"/>
        <v>1733</v>
      </c>
      <c r="R40">
        <f t="shared" si="2"/>
        <v>2.4156676888764986E-3</v>
      </c>
      <c r="S40">
        <f>10000*(I40-(K40*Standards!I$15))</f>
        <v>145.75250000000011</v>
      </c>
      <c r="T40" t="s">
        <v>79</v>
      </c>
    </row>
    <row r="41" spans="1:25">
      <c r="A41">
        <v>75</v>
      </c>
      <c r="B41">
        <v>0</v>
      </c>
      <c r="C41">
        <v>0</v>
      </c>
      <c r="D41">
        <v>5.9999999999999995E-4</v>
      </c>
      <c r="E41">
        <v>0</v>
      </c>
      <c r="F41">
        <v>0</v>
      </c>
      <c r="G41">
        <v>0</v>
      </c>
      <c r="H41">
        <v>0.28970000000000001</v>
      </c>
      <c r="I41">
        <v>0.18210000000000001</v>
      </c>
      <c r="J41">
        <v>0</v>
      </c>
      <c r="K41">
        <v>72.84</v>
      </c>
      <c r="L41">
        <v>0</v>
      </c>
      <c r="M41">
        <v>0</v>
      </c>
      <c r="N41">
        <v>73.312399999999997</v>
      </c>
      <c r="O41" t="s">
        <v>445</v>
      </c>
      <c r="Q41">
        <f t="shared" si="1"/>
        <v>1821.0000000000002</v>
      </c>
      <c r="R41">
        <f t="shared" si="2"/>
        <v>2.5000000000000001E-3</v>
      </c>
      <c r="S41">
        <f>10000*(I41-(K41*Standards!I$15))</f>
        <v>209.41500000000002</v>
      </c>
      <c r="T41" t="s">
        <v>79</v>
      </c>
    </row>
    <row r="42" spans="1:25">
      <c r="A42">
        <v>54</v>
      </c>
      <c r="B42">
        <v>0</v>
      </c>
      <c r="C42">
        <v>0</v>
      </c>
      <c r="D42">
        <v>3.3300000000000003E-2</v>
      </c>
      <c r="E42">
        <v>0</v>
      </c>
      <c r="F42">
        <v>0</v>
      </c>
      <c r="G42">
        <v>0</v>
      </c>
      <c r="H42">
        <v>0.52239999999999998</v>
      </c>
      <c r="I42">
        <v>0.2117</v>
      </c>
      <c r="J42">
        <v>6.9999999999999999E-4</v>
      </c>
      <c r="K42">
        <v>75.91</v>
      </c>
      <c r="L42">
        <v>0.41420000000000001</v>
      </c>
      <c r="M42">
        <v>1E-3</v>
      </c>
      <c r="N42">
        <v>77.093400000000003</v>
      </c>
      <c r="O42" t="s">
        <v>446</v>
      </c>
      <c r="Q42">
        <f t="shared" si="1"/>
        <v>2117</v>
      </c>
      <c r="R42">
        <f t="shared" si="2"/>
        <v>2.7888288763008827E-3</v>
      </c>
      <c r="S42">
        <f>10000*(I42-(K42*Standards!I$15))</f>
        <v>437.49124999999998</v>
      </c>
      <c r="T42" t="s">
        <v>83</v>
      </c>
      <c r="U42">
        <f>COUNT(S42:S45)</f>
        <v>4</v>
      </c>
      <c r="V42">
        <f>MAX(H42:H45)</f>
        <v>0.52239999999999998</v>
      </c>
      <c r="W42">
        <f>AVERAGE(H42:H45)</f>
        <v>0.15909999999999999</v>
      </c>
      <c r="X42">
        <f>MAX(S42:S45)</f>
        <v>461.31375000000003</v>
      </c>
      <c r="Y42">
        <f>AVERAGE(S42:S45)</f>
        <v>442.79437499999995</v>
      </c>
    </row>
    <row r="43" spans="1:25">
      <c r="A43">
        <v>56</v>
      </c>
      <c r="B43">
        <v>0</v>
      </c>
      <c r="C43">
        <v>0</v>
      </c>
      <c r="D43">
        <v>1E-3</v>
      </c>
      <c r="E43">
        <v>0</v>
      </c>
      <c r="F43">
        <v>0</v>
      </c>
      <c r="G43">
        <v>0</v>
      </c>
      <c r="H43">
        <v>5.1900000000000002E-2</v>
      </c>
      <c r="I43">
        <v>0.21510000000000001</v>
      </c>
      <c r="J43">
        <v>7.4000000000000003E-3</v>
      </c>
      <c r="K43">
        <v>76.37</v>
      </c>
      <c r="L43">
        <v>0.41349999999999998</v>
      </c>
      <c r="M43">
        <v>0</v>
      </c>
      <c r="N43">
        <v>77.058999999999997</v>
      </c>
      <c r="O43" t="s">
        <v>446</v>
      </c>
      <c r="Q43">
        <f t="shared" si="1"/>
        <v>2151</v>
      </c>
      <c r="R43">
        <f t="shared" si="2"/>
        <v>2.8165510017022391E-3</v>
      </c>
      <c r="S43">
        <f>10000*(I43-(K43*Standards!I$15))</f>
        <v>461.31375000000003</v>
      </c>
      <c r="T43" t="s">
        <v>83</v>
      </c>
    </row>
    <row r="44" spans="1:25">
      <c r="A44">
        <v>58</v>
      </c>
      <c r="B44">
        <v>0</v>
      </c>
      <c r="C44">
        <v>0</v>
      </c>
      <c r="D44">
        <v>2.5999999999999999E-3</v>
      </c>
      <c r="E44">
        <v>0</v>
      </c>
      <c r="F44">
        <v>0</v>
      </c>
      <c r="G44">
        <v>0</v>
      </c>
      <c r="H44">
        <v>3.2599999999999997E-2</v>
      </c>
      <c r="I44">
        <v>0.2114</v>
      </c>
      <c r="J44">
        <v>1.6000000000000001E-3</v>
      </c>
      <c r="K44">
        <v>74.790000000000006</v>
      </c>
      <c r="L44">
        <v>3.8699999999999998E-2</v>
      </c>
      <c r="M44">
        <v>0</v>
      </c>
      <c r="N44">
        <v>75.076999999999998</v>
      </c>
      <c r="O44" t="s">
        <v>446</v>
      </c>
      <c r="Q44">
        <f t="shared" si="1"/>
        <v>2114</v>
      </c>
      <c r="R44">
        <f t="shared" si="2"/>
        <v>2.8265810937291081E-3</v>
      </c>
      <c r="S44">
        <f>10000*(I44-(K44*Standards!I$15))</f>
        <v>459.27124999999984</v>
      </c>
      <c r="T44" t="s">
        <v>83</v>
      </c>
    </row>
    <row r="45" spans="1:25">
      <c r="A45">
        <v>55</v>
      </c>
      <c r="B45">
        <v>0</v>
      </c>
      <c r="C45">
        <v>0</v>
      </c>
      <c r="D45">
        <v>4.3E-3</v>
      </c>
      <c r="E45">
        <v>0</v>
      </c>
      <c r="F45">
        <v>0</v>
      </c>
      <c r="G45">
        <v>0</v>
      </c>
      <c r="H45">
        <v>2.9499999999999998E-2</v>
      </c>
      <c r="I45">
        <v>0.21049999999999999</v>
      </c>
      <c r="J45">
        <v>4.0000000000000002E-4</v>
      </c>
      <c r="K45">
        <v>76.47</v>
      </c>
      <c r="L45">
        <v>0.27779999999999999</v>
      </c>
      <c r="M45">
        <v>0</v>
      </c>
      <c r="N45">
        <v>76.992599999999996</v>
      </c>
      <c r="O45" t="s">
        <v>446</v>
      </c>
      <c r="Q45">
        <f t="shared" si="1"/>
        <v>2105</v>
      </c>
      <c r="R45">
        <f t="shared" si="2"/>
        <v>2.7527134824114033E-3</v>
      </c>
      <c r="S45">
        <f>10000*(I45-(K45*Standards!I$15))</f>
        <v>413.10125000000005</v>
      </c>
      <c r="T45" t="s">
        <v>83</v>
      </c>
    </row>
    <row r="46" spans="1:25">
      <c r="A46">
        <v>36</v>
      </c>
      <c r="B46">
        <v>0</v>
      </c>
      <c r="C46">
        <v>0</v>
      </c>
      <c r="D46">
        <v>1E-3</v>
      </c>
      <c r="E46">
        <v>0</v>
      </c>
      <c r="F46">
        <v>0</v>
      </c>
      <c r="G46">
        <v>0</v>
      </c>
      <c r="H46">
        <v>0.15490000000000001</v>
      </c>
      <c r="I46">
        <v>0.19400000000000001</v>
      </c>
      <c r="J46">
        <v>4.6399999999999997E-2</v>
      </c>
      <c r="K46">
        <v>74.39</v>
      </c>
      <c r="L46">
        <v>0</v>
      </c>
      <c r="M46">
        <v>0</v>
      </c>
      <c r="N46">
        <v>74.7864</v>
      </c>
      <c r="O46" t="s">
        <v>319</v>
      </c>
      <c r="Q46">
        <f t="shared" si="1"/>
        <v>1940</v>
      </c>
      <c r="R46">
        <f t="shared" si="2"/>
        <v>2.6078774028767309E-3</v>
      </c>
      <c r="S46">
        <f>10000*(I46-(K46*Standards!I$15))</f>
        <v>294.12125000000009</v>
      </c>
      <c r="T46" t="s">
        <v>33</v>
      </c>
      <c r="U46">
        <f>COUNT(S46)</f>
        <v>1</v>
      </c>
      <c r="V46">
        <f>MAX(H46)</f>
        <v>0.15490000000000001</v>
      </c>
      <c r="W46">
        <f>AVERAGE(H46)</f>
        <v>0.15490000000000001</v>
      </c>
      <c r="X46">
        <f>MAX(S46)</f>
        <v>294.12125000000009</v>
      </c>
      <c r="Y46">
        <f>AVERAGE(S46)</f>
        <v>294.12125000000009</v>
      </c>
    </row>
    <row r="47" spans="1:25">
      <c r="A47">
        <v>65</v>
      </c>
      <c r="B47">
        <v>0</v>
      </c>
      <c r="C47">
        <v>0</v>
      </c>
      <c r="D47">
        <v>2.9999999999999997E-4</v>
      </c>
      <c r="E47">
        <v>0</v>
      </c>
      <c r="F47">
        <v>0</v>
      </c>
      <c r="G47">
        <v>0</v>
      </c>
      <c r="H47">
        <v>0.64390000000000003</v>
      </c>
      <c r="I47">
        <v>0.17030000000000001</v>
      </c>
      <c r="J47">
        <v>0</v>
      </c>
      <c r="K47">
        <v>72.13</v>
      </c>
      <c r="L47">
        <v>0</v>
      </c>
      <c r="M47">
        <v>0</v>
      </c>
      <c r="N47">
        <v>72.944500000000005</v>
      </c>
      <c r="O47" t="s">
        <v>447</v>
      </c>
      <c r="Q47">
        <f t="shared" si="1"/>
        <v>1703</v>
      </c>
      <c r="R47">
        <f t="shared" si="2"/>
        <v>2.3610148343269099E-3</v>
      </c>
      <c r="S47">
        <f>10000*(I47-(K47*Standards!I$15))</f>
        <v>107.12375000000024</v>
      </c>
      <c r="T47" t="s">
        <v>112</v>
      </c>
      <c r="U47">
        <f>COUNT(S47:S48)</f>
        <v>2</v>
      </c>
      <c r="V47">
        <f>MAX(H47:H48)</f>
        <v>0.64390000000000003</v>
      </c>
      <c r="W47">
        <f>AVERAGE(H47:H48)</f>
        <v>0.50990000000000002</v>
      </c>
      <c r="X47">
        <f>MAX(S47:S48)</f>
        <v>134.93874999999989</v>
      </c>
      <c r="Y47">
        <f>AVERAGE(S47:S48)</f>
        <v>121.03125000000006</v>
      </c>
    </row>
    <row r="48" spans="1:25">
      <c r="A48">
        <v>33</v>
      </c>
      <c r="B48">
        <v>0</v>
      </c>
      <c r="C48">
        <v>0</v>
      </c>
      <c r="D48">
        <v>1.2999999999999999E-3</v>
      </c>
      <c r="E48">
        <v>0</v>
      </c>
      <c r="F48">
        <v>0</v>
      </c>
      <c r="G48">
        <v>0</v>
      </c>
      <c r="H48">
        <v>0.37590000000000001</v>
      </c>
      <c r="I48">
        <v>0.1714</v>
      </c>
      <c r="J48">
        <v>3.5000000000000001E-3</v>
      </c>
      <c r="K48">
        <v>71.37</v>
      </c>
      <c r="L48">
        <v>0</v>
      </c>
      <c r="M48">
        <v>0</v>
      </c>
      <c r="N48">
        <v>71.922200000000004</v>
      </c>
      <c r="O48" t="s">
        <v>448</v>
      </c>
      <c r="Q48">
        <f t="shared" si="1"/>
        <v>1714</v>
      </c>
      <c r="R48">
        <f t="shared" si="2"/>
        <v>2.4015692868151885E-3</v>
      </c>
      <c r="S48">
        <f>10000*(I48-(K48*Standards!I$15))</f>
        <v>134.93874999999989</v>
      </c>
      <c r="T48" t="s">
        <v>112</v>
      </c>
    </row>
    <row r="49" spans="1:25">
      <c r="A49">
        <v>47</v>
      </c>
      <c r="B49">
        <v>0</v>
      </c>
      <c r="C49">
        <v>0</v>
      </c>
      <c r="D49">
        <v>0</v>
      </c>
      <c r="E49">
        <v>0</v>
      </c>
      <c r="F49">
        <v>0</v>
      </c>
      <c r="G49">
        <v>0</v>
      </c>
      <c r="H49">
        <v>0.39560000000000001</v>
      </c>
      <c r="I49">
        <v>0.22650000000000001</v>
      </c>
      <c r="J49">
        <v>0</v>
      </c>
      <c r="K49">
        <v>74.989999999999995</v>
      </c>
      <c r="L49">
        <v>0</v>
      </c>
      <c r="M49">
        <v>0</v>
      </c>
      <c r="N49">
        <v>75.612200000000001</v>
      </c>
      <c r="O49" t="s">
        <v>449</v>
      </c>
      <c r="Q49">
        <f t="shared" si="1"/>
        <v>2265</v>
      </c>
      <c r="R49">
        <f t="shared" si="2"/>
        <v>3.0204027203627154E-3</v>
      </c>
      <c r="S49">
        <f>10000*(I49-(K49*Standards!I$15))</f>
        <v>605.84625000000005</v>
      </c>
      <c r="T49" t="s">
        <v>102</v>
      </c>
      <c r="U49">
        <f>COUNT(S49:S51)</f>
        <v>3</v>
      </c>
      <c r="V49">
        <f>MAX(H49:H51)</f>
        <v>0.39560000000000001</v>
      </c>
      <c r="W49">
        <f>AVERAGE(H49:H51)</f>
        <v>0.24113333333333334</v>
      </c>
      <c r="X49">
        <f>MAX(S49:S51)</f>
        <v>630.24499999999978</v>
      </c>
      <c r="Y49">
        <f>AVERAGE(S49:S51)</f>
        <v>606.62541666666664</v>
      </c>
    </row>
    <row r="50" spans="1:25">
      <c r="A50">
        <v>55</v>
      </c>
      <c r="B50">
        <v>0</v>
      </c>
      <c r="C50">
        <v>0</v>
      </c>
      <c r="D50">
        <v>0</v>
      </c>
      <c r="E50">
        <v>0</v>
      </c>
      <c r="F50">
        <v>0</v>
      </c>
      <c r="G50">
        <v>0</v>
      </c>
      <c r="H50">
        <v>9.0899999999999995E-2</v>
      </c>
      <c r="I50">
        <v>0.22789999999999999</v>
      </c>
      <c r="J50">
        <v>0</v>
      </c>
      <c r="K50">
        <v>74.52</v>
      </c>
      <c r="L50">
        <v>2.8999999999999998E-3</v>
      </c>
      <c r="M50">
        <v>0</v>
      </c>
      <c r="N50">
        <v>74.841800000000006</v>
      </c>
      <c r="O50" t="s">
        <v>449</v>
      </c>
      <c r="Q50">
        <f t="shared" si="1"/>
        <v>2279</v>
      </c>
      <c r="R50">
        <f t="shared" si="2"/>
        <v>3.0582393988191092E-3</v>
      </c>
      <c r="S50">
        <f>10000*(I50-(K50*Standards!I$15))</f>
        <v>630.24499999999978</v>
      </c>
      <c r="T50" t="s">
        <v>102</v>
      </c>
    </row>
    <row r="51" spans="1:25">
      <c r="A51">
        <v>48</v>
      </c>
      <c r="B51">
        <v>0</v>
      </c>
      <c r="C51">
        <v>0</v>
      </c>
      <c r="D51">
        <v>2.2000000000000001E-3</v>
      </c>
      <c r="E51">
        <v>0</v>
      </c>
      <c r="F51">
        <v>0</v>
      </c>
      <c r="G51">
        <v>0</v>
      </c>
      <c r="H51">
        <v>0.2369</v>
      </c>
      <c r="I51">
        <v>0.22289999999999999</v>
      </c>
      <c r="J51">
        <v>0</v>
      </c>
      <c r="K51">
        <v>74.36</v>
      </c>
      <c r="L51">
        <v>0</v>
      </c>
      <c r="M51">
        <v>0</v>
      </c>
      <c r="N51">
        <v>74.822100000000006</v>
      </c>
      <c r="O51" t="s">
        <v>449</v>
      </c>
      <c r="Q51">
        <f t="shared" si="1"/>
        <v>2229</v>
      </c>
      <c r="R51">
        <f t="shared" si="2"/>
        <v>2.9975793437331897E-3</v>
      </c>
      <c r="S51">
        <f>10000*(I51-(K51*Standards!I$15))</f>
        <v>583.78499999999974</v>
      </c>
      <c r="T51" t="s">
        <v>102</v>
      </c>
    </row>
    <row r="52" spans="1:25">
      <c r="A52">
        <v>75</v>
      </c>
      <c r="B52">
        <v>0</v>
      </c>
      <c r="C52">
        <v>0</v>
      </c>
      <c r="D52">
        <v>5.3E-3</v>
      </c>
      <c r="E52">
        <v>0</v>
      </c>
      <c r="F52">
        <v>0</v>
      </c>
      <c r="G52">
        <v>0</v>
      </c>
      <c r="H52">
        <v>0.7631</v>
      </c>
      <c r="I52">
        <v>0.21310000000000001</v>
      </c>
      <c r="J52">
        <v>0.1978</v>
      </c>
      <c r="K52">
        <v>73.400000000000006</v>
      </c>
      <c r="L52">
        <v>0</v>
      </c>
      <c r="M52">
        <v>0</v>
      </c>
      <c r="N52">
        <v>74.579400000000007</v>
      </c>
      <c r="O52" t="s">
        <v>450</v>
      </c>
      <c r="Q52">
        <f t="shared" si="1"/>
        <v>2131</v>
      </c>
      <c r="R52">
        <f t="shared" si="2"/>
        <v>2.9032697547683923E-3</v>
      </c>
      <c r="S52">
        <f>10000*(I52-(K52*Standards!I$15))</f>
        <v>507.02499999999986</v>
      </c>
      <c r="T52" t="s">
        <v>102</v>
      </c>
    </row>
    <row r="53" spans="1:25">
      <c r="A53">
        <v>76</v>
      </c>
      <c r="B53">
        <v>0</v>
      </c>
      <c r="C53">
        <v>0</v>
      </c>
      <c r="D53">
        <v>6.3E-3</v>
      </c>
      <c r="E53">
        <v>0</v>
      </c>
      <c r="F53">
        <v>0</v>
      </c>
      <c r="G53">
        <v>0</v>
      </c>
      <c r="H53">
        <v>0.65620000000000001</v>
      </c>
      <c r="I53">
        <v>0.22239999999999999</v>
      </c>
      <c r="J53">
        <v>0.20669999999999999</v>
      </c>
      <c r="K53">
        <v>73.45</v>
      </c>
      <c r="L53">
        <v>0</v>
      </c>
      <c r="M53">
        <v>0</v>
      </c>
      <c r="N53">
        <v>74.541600000000003</v>
      </c>
      <c r="O53" t="s">
        <v>450</v>
      </c>
      <c r="Q53">
        <f t="shared" si="1"/>
        <v>2224</v>
      </c>
      <c r="R53">
        <f t="shared" si="2"/>
        <v>3.0279101429543905E-3</v>
      </c>
      <c r="S53">
        <f>10000*(I53-(K53*Standards!I$15))</f>
        <v>598.91874999999982</v>
      </c>
      <c r="T53" t="s">
        <v>102</v>
      </c>
    </row>
    <row r="54" spans="1:25">
      <c r="A54">
        <v>25</v>
      </c>
      <c r="B54">
        <v>0</v>
      </c>
      <c r="C54">
        <v>0</v>
      </c>
      <c r="D54">
        <v>2.3E-3</v>
      </c>
      <c r="E54">
        <v>0</v>
      </c>
      <c r="F54">
        <v>0</v>
      </c>
      <c r="G54">
        <v>0</v>
      </c>
      <c r="H54">
        <v>0.56599999999999995</v>
      </c>
      <c r="I54">
        <v>0.23519999999999999</v>
      </c>
      <c r="J54">
        <v>6.0000000000000001E-3</v>
      </c>
      <c r="K54">
        <v>74.8</v>
      </c>
      <c r="L54">
        <v>0</v>
      </c>
      <c r="M54">
        <v>1.11E-2</v>
      </c>
      <c r="N54">
        <v>75.620699999999999</v>
      </c>
      <c r="O54" t="s">
        <v>451</v>
      </c>
      <c r="Q54">
        <f t="shared" si="1"/>
        <v>2352</v>
      </c>
      <c r="R54">
        <f t="shared" si="2"/>
        <v>3.1443850267379677E-3</v>
      </c>
      <c r="S54">
        <f>10000*(I54-(K54*Standards!I$15))</f>
        <v>697.04999999999984</v>
      </c>
      <c r="T54" t="s">
        <v>104</v>
      </c>
      <c r="U54">
        <f>COUNT(S54)</f>
        <v>1</v>
      </c>
      <c r="V54">
        <f>MAX(H54)</f>
        <v>0.56599999999999995</v>
      </c>
      <c r="W54">
        <f>AVERAGE(H54)</f>
        <v>0.56599999999999995</v>
      </c>
      <c r="X54">
        <f>MAX(S54)</f>
        <v>697.04999999999984</v>
      </c>
      <c r="Y54">
        <f>AVERAGE(S54)</f>
        <v>697.04999999999984</v>
      </c>
    </row>
    <row r="55" spans="1:25">
      <c r="A55">
        <v>51</v>
      </c>
      <c r="B55">
        <v>0</v>
      </c>
      <c r="C55">
        <v>0</v>
      </c>
      <c r="D55">
        <v>3.0999999999999999E-3</v>
      </c>
      <c r="E55">
        <v>0</v>
      </c>
      <c r="F55">
        <v>0</v>
      </c>
      <c r="G55">
        <v>0</v>
      </c>
      <c r="H55">
        <v>1.33</v>
      </c>
      <c r="I55">
        <v>0.1908</v>
      </c>
      <c r="J55">
        <v>0.21870000000000001</v>
      </c>
      <c r="K55">
        <v>71.72</v>
      </c>
      <c r="L55">
        <v>4.8999999999999998E-3</v>
      </c>
      <c r="M55">
        <v>0</v>
      </c>
      <c r="N55">
        <v>73.467600000000004</v>
      </c>
      <c r="O55" t="s">
        <v>452</v>
      </c>
      <c r="Q55">
        <f t="shared" si="1"/>
        <v>1908</v>
      </c>
      <c r="R55">
        <f t="shared" si="2"/>
        <v>2.660345789180145E-3</v>
      </c>
      <c r="S55">
        <f>10000*(I55-(K55*Standards!I$15))</f>
        <v>321.19499999999994</v>
      </c>
      <c r="T55" t="s">
        <v>24</v>
      </c>
    </row>
    <row r="56" spans="1:25">
      <c r="A56">
        <v>89</v>
      </c>
      <c r="B56">
        <v>0</v>
      </c>
      <c r="C56">
        <v>0</v>
      </c>
      <c r="D56">
        <v>6.3500000000000001E-2</v>
      </c>
      <c r="E56">
        <v>0</v>
      </c>
      <c r="F56">
        <v>0</v>
      </c>
      <c r="G56">
        <v>0</v>
      </c>
      <c r="H56">
        <v>0.31709999999999999</v>
      </c>
      <c r="I56">
        <v>0.17219999999999999</v>
      </c>
      <c r="J56">
        <v>0.2336</v>
      </c>
      <c r="K56">
        <v>72.989999999999995</v>
      </c>
      <c r="L56">
        <v>5.04E-2</v>
      </c>
      <c r="M56">
        <v>0</v>
      </c>
      <c r="N56">
        <v>73.826899999999995</v>
      </c>
      <c r="O56" t="s">
        <v>453</v>
      </c>
      <c r="Q56">
        <f t="shared" si="1"/>
        <v>1722</v>
      </c>
      <c r="R56">
        <f t="shared" si="2"/>
        <v>2.3592272914097824E-3</v>
      </c>
      <c r="S56">
        <f>10000*(I56-(K56*Standards!I$15))</f>
        <v>107.09625</v>
      </c>
      <c r="T56" t="s">
        <v>24</v>
      </c>
    </row>
    <row r="57" spans="1:25">
      <c r="A57">
        <v>73</v>
      </c>
      <c r="B57">
        <v>0</v>
      </c>
      <c r="C57">
        <v>0</v>
      </c>
      <c r="D57">
        <v>5.5999999999999999E-3</v>
      </c>
      <c r="E57">
        <v>0</v>
      </c>
      <c r="F57">
        <v>0</v>
      </c>
      <c r="G57">
        <v>0</v>
      </c>
      <c r="H57">
        <v>0.247</v>
      </c>
      <c r="I57">
        <v>0.24199999999999999</v>
      </c>
      <c r="J57">
        <v>3.5499999999999997E-2</v>
      </c>
      <c r="K57">
        <v>75.81</v>
      </c>
      <c r="L57">
        <v>3.8E-3</v>
      </c>
      <c r="M57">
        <v>0</v>
      </c>
      <c r="N57">
        <v>76.343900000000005</v>
      </c>
      <c r="O57" t="s">
        <v>454</v>
      </c>
      <c r="Q57">
        <f t="shared" si="1"/>
        <v>2420</v>
      </c>
      <c r="R57">
        <f t="shared" si="2"/>
        <v>3.1921910038253528E-3</v>
      </c>
      <c r="S57">
        <f>10000*(I57-(K57*Standards!I$15))</f>
        <v>742.70374999999967</v>
      </c>
      <c r="T57" t="s">
        <v>24</v>
      </c>
    </row>
    <row r="58" spans="1:25">
      <c r="A58">
        <v>74</v>
      </c>
      <c r="B58">
        <v>0</v>
      </c>
      <c r="C58">
        <v>0</v>
      </c>
      <c r="D58">
        <v>5.8999999999999999E-3</v>
      </c>
      <c r="E58">
        <v>0</v>
      </c>
      <c r="F58">
        <v>0</v>
      </c>
      <c r="G58">
        <v>0</v>
      </c>
      <c r="H58">
        <v>0.1234</v>
      </c>
      <c r="I58">
        <v>0.2437</v>
      </c>
      <c r="J58">
        <v>0.2215</v>
      </c>
      <c r="K58">
        <v>76.98</v>
      </c>
      <c r="L58">
        <v>0</v>
      </c>
      <c r="M58">
        <v>5.1999999999999998E-3</v>
      </c>
      <c r="N58">
        <v>77.579800000000006</v>
      </c>
      <c r="O58" t="s">
        <v>454</v>
      </c>
      <c r="Q58">
        <f t="shared" si="1"/>
        <v>2437</v>
      </c>
      <c r="R58">
        <f t="shared" si="2"/>
        <v>3.165757339568719E-3</v>
      </c>
      <c r="S58">
        <f>10000*(I58-(K58*Standards!I$15))</f>
        <v>733.8175</v>
      </c>
      <c r="T58" t="s">
        <v>24</v>
      </c>
    </row>
    <row r="59" spans="1:25">
      <c r="A59">
        <v>62</v>
      </c>
      <c r="B59">
        <v>0</v>
      </c>
      <c r="C59">
        <v>0</v>
      </c>
      <c r="D59">
        <v>6.7999999999999996E-3</v>
      </c>
      <c r="E59">
        <v>0</v>
      </c>
      <c r="F59">
        <v>0</v>
      </c>
      <c r="G59">
        <v>0</v>
      </c>
      <c r="H59">
        <v>0.1046</v>
      </c>
      <c r="I59">
        <v>0.23169999999999999</v>
      </c>
      <c r="J59">
        <v>0.20230000000000001</v>
      </c>
      <c r="K59">
        <v>76.67</v>
      </c>
      <c r="L59">
        <v>0</v>
      </c>
      <c r="M59">
        <v>0</v>
      </c>
      <c r="N59">
        <v>77.215500000000006</v>
      </c>
      <c r="O59" t="s">
        <v>454</v>
      </c>
      <c r="Q59">
        <f t="shared" si="1"/>
        <v>2317</v>
      </c>
      <c r="R59">
        <f t="shared" si="2"/>
        <v>3.0220425198904393E-3</v>
      </c>
      <c r="S59">
        <f>10000*(I59-(K59*Standards!I$15))</f>
        <v>620.67624999999987</v>
      </c>
      <c r="T59" t="s">
        <v>24</v>
      </c>
    </row>
    <row r="60" spans="1:25">
      <c r="A60">
        <v>91</v>
      </c>
      <c r="B60">
        <v>0</v>
      </c>
      <c r="C60">
        <v>0</v>
      </c>
      <c r="D60">
        <v>1.7500000000000002E-2</v>
      </c>
      <c r="E60">
        <v>0</v>
      </c>
      <c r="F60">
        <v>0</v>
      </c>
      <c r="G60">
        <v>0</v>
      </c>
      <c r="H60">
        <v>5.7599999999999998E-2</v>
      </c>
      <c r="I60">
        <v>0.23319999999999999</v>
      </c>
      <c r="J60">
        <v>0</v>
      </c>
      <c r="K60">
        <v>75.760000000000005</v>
      </c>
      <c r="L60">
        <v>2.7900000000000001E-2</v>
      </c>
      <c r="M60">
        <v>0</v>
      </c>
      <c r="N60">
        <v>76.096299999999999</v>
      </c>
      <c r="O60" t="s">
        <v>454</v>
      </c>
      <c r="Q60">
        <f t="shared" si="1"/>
        <v>2332</v>
      </c>
      <c r="R60">
        <f t="shared" si="2"/>
        <v>3.0781414994720166E-3</v>
      </c>
      <c r="S60">
        <f>10000*(I60-(K60*Standards!I$15))</f>
        <v>655.80999999999972</v>
      </c>
      <c r="T60" t="s">
        <v>24</v>
      </c>
    </row>
    <row r="61" spans="1:25">
      <c r="A61">
        <v>90</v>
      </c>
      <c r="B61">
        <v>0</v>
      </c>
      <c r="C61">
        <v>0</v>
      </c>
      <c r="D61">
        <v>2.3E-3</v>
      </c>
      <c r="E61">
        <v>0</v>
      </c>
      <c r="F61">
        <v>0</v>
      </c>
      <c r="G61">
        <v>0</v>
      </c>
      <c r="H61">
        <v>2.4500000000000001E-2</v>
      </c>
      <c r="I61">
        <v>0.223</v>
      </c>
      <c r="J61">
        <v>0</v>
      </c>
      <c r="K61">
        <v>74.540000000000006</v>
      </c>
      <c r="L61">
        <v>2.4799999999999999E-2</v>
      </c>
      <c r="M61">
        <v>0</v>
      </c>
      <c r="N61">
        <v>74.814700000000002</v>
      </c>
      <c r="O61" t="s">
        <v>454</v>
      </c>
      <c r="Q61">
        <f t="shared" si="1"/>
        <v>2230</v>
      </c>
      <c r="R61">
        <f t="shared" si="2"/>
        <v>2.9916823182184059E-3</v>
      </c>
      <c r="S61">
        <f>10000*(I61-(K61*Standards!I$15))</f>
        <v>580.80249999999967</v>
      </c>
      <c r="T61" t="s">
        <v>24</v>
      </c>
    </row>
    <row r="62" spans="1:25">
      <c r="A62">
        <v>15</v>
      </c>
      <c r="B62">
        <v>0</v>
      </c>
      <c r="C62">
        <v>0</v>
      </c>
      <c r="D62">
        <v>0</v>
      </c>
      <c r="E62">
        <v>0</v>
      </c>
      <c r="F62">
        <v>0</v>
      </c>
      <c r="G62">
        <v>0</v>
      </c>
      <c r="H62">
        <v>0.1769</v>
      </c>
      <c r="I62">
        <v>0.19470000000000001</v>
      </c>
      <c r="J62">
        <v>0</v>
      </c>
      <c r="K62">
        <v>73.959999999999994</v>
      </c>
      <c r="L62">
        <v>2.8999999999999998E-3</v>
      </c>
      <c r="M62">
        <v>0</v>
      </c>
      <c r="N62">
        <v>74.334500000000006</v>
      </c>
      <c r="O62" t="s">
        <v>455</v>
      </c>
      <c r="Q62">
        <f t="shared" si="1"/>
        <v>1947.0000000000002</v>
      </c>
      <c r="R62">
        <f t="shared" si="2"/>
        <v>2.6325040562466201E-3</v>
      </c>
      <c r="S62">
        <f>10000*(I62-(K62*Standards!I$15))</f>
        <v>310.63500000000022</v>
      </c>
      <c r="T62" t="s">
        <v>24</v>
      </c>
    </row>
    <row r="63" spans="1:25">
      <c r="A63">
        <v>13</v>
      </c>
      <c r="B63">
        <v>0</v>
      </c>
      <c r="C63">
        <v>0</v>
      </c>
      <c r="D63">
        <v>5.9999999999999995E-4</v>
      </c>
      <c r="E63">
        <v>0</v>
      </c>
      <c r="F63">
        <v>0</v>
      </c>
      <c r="G63">
        <v>0</v>
      </c>
      <c r="H63">
        <v>0.1077</v>
      </c>
      <c r="I63">
        <v>0.19259999999999999</v>
      </c>
      <c r="J63">
        <v>2.1299999999999999E-2</v>
      </c>
      <c r="K63">
        <v>75.37</v>
      </c>
      <c r="L63">
        <v>0.47849999999999998</v>
      </c>
      <c r="M63">
        <v>3.2599999999999997E-2</v>
      </c>
      <c r="N63">
        <v>76.203400000000002</v>
      </c>
      <c r="O63" t="s">
        <v>455</v>
      </c>
      <c r="Q63">
        <f t="shared" si="1"/>
        <v>1926</v>
      </c>
      <c r="R63">
        <f t="shared" si="2"/>
        <v>2.5553933925965234E-3</v>
      </c>
      <c r="S63">
        <f>10000*(I63-(K63*Standards!I$15))</f>
        <v>258.43874999999986</v>
      </c>
      <c r="T63" t="s">
        <v>24</v>
      </c>
    </row>
    <row r="64" spans="1:25">
      <c r="A64">
        <v>40</v>
      </c>
      <c r="B64">
        <v>0</v>
      </c>
      <c r="C64">
        <v>0</v>
      </c>
      <c r="D64">
        <v>2.0000000000000001E-4</v>
      </c>
      <c r="E64">
        <v>0</v>
      </c>
      <c r="F64">
        <v>0</v>
      </c>
      <c r="G64">
        <v>0</v>
      </c>
      <c r="H64">
        <v>9.4399999999999998E-2</v>
      </c>
      <c r="I64">
        <v>0.2</v>
      </c>
      <c r="J64">
        <v>5.0000000000000001E-3</v>
      </c>
      <c r="K64">
        <v>73.37</v>
      </c>
      <c r="L64">
        <v>0</v>
      </c>
      <c r="M64">
        <v>4.5999999999999999E-3</v>
      </c>
      <c r="N64">
        <v>73.674300000000002</v>
      </c>
      <c r="O64" t="s">
        <v>455</v>
      </c>
      <c r="Q64">
        <f t="shared" si="1"/>
        <v>2000</v>
      </c>
      <c r="R64">
        <f t="shared" si="2"/>
        <v>2.725909772386534E-3</v>
      </c>
      <c r="S64">
        <f>10000*(I64-(K64*Standards!I$15))</f>
        <v>376.68874999999991</v>
      </c>
      <c r="T64" t="s">
        <v>24</v>
      </c>
    </row>
    <row r="65" spans="1:25">
      <c r="A65">
        <v>41</v>
      </c>
      <c r="B65">
        <v>0</v>
      </c>
      <c r="C65">
        <v>0</v>
      </c>
      <c r="D65">
        <v>0</v>
      </c>
      <c r="E65">
        <v>0</v>
      </c>
      <c r="F65">
        <v>0</v>
      </c>
      <c r="G65">
        <v>0</v>
      </c>
      <c r="H65">
        <v>8.4000000000000005E-2</v>
      </c>
      <c r="I65">
        <v>0.193</v>
      </c>
      <c r="J65">
        <v>0</v>
      </c>
      <c r="K65">
        <v>73.19</v>
      </c>
      <c r="L65">
        <v>2.5600000000000001E-2</v>
      </c>
      <c r="M65">
        <v>0</v>
      </c>
      <c r="N65">
        <v>73.492699999999999</v>
      </c>
      <c r="O65" t="s">
        <v>455</v>
      </c>
      <c r="Q65">
        <f t="shared" si="1"/>
        <v>1930</v>
      </c>
      <c r="R65">
        <f t="shared" si="2"/>
        <v>2.6369722639704878E-3</v>
      </c>
      <c r="S65">
        <f>10000*(I65-(K65*Standards!I$15))</f>
        <v>310.67124999999999</v>
      </c>
      <c r="T65" t="s">
        <v>24</v>
      </c>
    </row>
    <row r="66" spans="1:25">
      <c r="A66">
        <v>14</v>
      </c>
      <c r="B66">
        <v>0</v>
      </c>
      <c r="C66">
        <v>0</v>
      </c>
      <c r="D66">
        <v>2.9999999999999997E-4</v>
      </c>
      <c r="E66">
        <v>0</v>
      </c>
      <c r="F66">
        <v>0</v>
      </c>
      <c r="G66">
        <v>0</v>
      </c>
      <c r="H66">
        <v>6.9099999999999995E-2</v>
      </c>
      <c r="I66">
        <v>0.19159999999999999</v>
      </c>
      <c r="J66">
        <v>4.8999999999999998E-3</v>
      </c>
      <c r="K66">
        <v>74.510000000000005</v>
      </c>
      <c r="L66">
        <v>5.4300000000000001E-2</v>
      </c>
      <c r="M66">
        <v>0</v>
      </c>
      <c r="N66">
        <v>74.830299999999994</v>
      </c>
      <c r="O66" t="s">
        <v>455</v>
      </c>
      <c r="Q66">
        <f t="shared" si="1"/>
        <v>1916</v>
      </c>
      <c r="R66">
        <f t="shared" ref="R66:R88" si="3">I66/K66</f>
        <v>2.5714669171923231E-3</v>
      </c>
      <c r="S66">
        <f>10000*(I66-(K66*Standards!I$15))</f>
        <v>267.46624999999966</v>
      </c>
      <c r="T66" t="s">
        <v>24</v>
      </c>
    </row>
    <row r="67" spans="1:25">
      <c r="A67">
        <v>108</v>
      </c>
      <c r="B67">
        <v>0</v>
      </c>
      <c r="C67">
        <v>0</v>
      </c>
      <c r="D67">
        <v>4.7000000000000002E-3</v>
      </c>
      <c r="E67">
        <v>0</v>
      </c>
      <c r="F67">
        <v>0</v>
      </c>
      <c r="G67">
        <v>0</v>
      </c>
      <c r="H67">
        <v>0.16589999999999999</v>
      </c>
      <c r="I67">
        <v>0.17849999999999999</v>
      </c>
      <c r="J67">
        <v>4.4000000000000003E-3</v>
      </c>
      <c r="K67">
        <v>72.819999999999993</v>
      </c>
      <c r="L67">
        <v>8.6E-3</v>
      </c>
      <c r="M67">
        <v>0</v>
      </c>
      <c r="N67">
        <v>73.182199999999995</v>
      </c>
      <c r="O67" t="s">
        <v>456</v>
      </c>
      <c r="Q67">
        <f t="shared" ref="Q67:Q89" si="4">10000*I67</f>
        <v>1785</v>
      </c>
      <c r="R67">
        <f t="shared" si="3"/>
        <v>2.4512496566877233E-3</v>
      </c>
      <c r="S67">
        <f>10000*(I67-(K67*Standards!I$15))</f>
        <v>173.85750000000004</v>
      </c>
      <c r="T67" t="s">
        <v>24</v>
      </c>
    </row>
    <row r="68" spans="1:25">
      <c r="A68">
        <v>80</v>
      </c>
      <c r="B68">
        <v>0</v>
      </c>
      <c r="C68">
        <v>0</v>
      </c>
      <c r="D68">
        <v>2.12E-2</v>
      </c>
      <c r="E68">
        <v>0</v>
      </c>
      <c r="F68">
        <v>0</v>
      </c>
      <c r="G68">
        <v>0</v>
      </c>
      <c r="H68">
        <v>0.49780000000000002</v>
      </c>
      <c r="I68">
        <v>0.18529999999999999</v>
      </c>
      <c r="J68">
        <v>0.67849999999999999</v>
      </c>
      <c r="K68">
        <v>74.400000000000006</v>
      </c>
      <c r="L68">
        <v>1E-3</v>
      </c>
      <c r="M68">
        <v>7.7999999999999996E-3</v>
      </c>
      <c r="N68">
        <v>75.791600000000003</v>
      </c>
      <c r="O68" t="s">
        <v>457</v>
      </c>
      <c r="Q68">
        <f t="shared" si="4"/>
        <v>1853</v>
      </c>
      <c r="R68">
        <f t="shared" si="3"/>
        <v>2.490591397849462E-3</v>
      </c>
      <c r="S68">
        <f>10000*(I68-(K68*Standards!I$15))</f>
        <v>206.89999999999986</v>
      </c>
      <c r="T68" t="s">
        <v>21</v>
      </c>
      <c r="U68">
        <f>COUNT(S68:S70)</f>
        <v>3</v>
      </c>
      <c r="V68">
        <f>MAX(H68:H70)</f>
        <v>0.87670000000000003</v>
      </c>
      <c r="W68">
        <f>AVERAGE(H68:H70)</f>
        <v>0.60426666666666673</v>
      </c>
      <c r="X68">
        <f>MAX(S68:S70)</f>
        <v>744.37750000000028</v>
      </c>
      <c r="Y68">
        <f>AVERAGE(S68:S70)</f>
        <v>371.81125000000003</v>
      </c>
    </row>
    <row r="69" spans="1:25">
      <c r="A69">
        <v>96</v>
      </c>
      <c r="B69">
        <v>0</v>
      </c>
      <c r="C69">
        <v>0</v>
      </c>
      <c r="D69">
        <v>7.0000000000000001E-3</v>
      </c>
      <c r="E69">
        <v>0</v>
      </c>
      <c r="F69">
        <v>0</v>
      </c>
      <c r="G69">
        <v>0</v>
      </c>
      <c r="H69">
        <v>0.43830000000000002</v>
      </c>
      <c r="I69">
        <v>0.18179999999999999</v>
      </c>
      <c r="J69">
        <v>0.98319999999999996</v>
      </c>
      <c r="K69">
        <v>74.75</v>
      </c>
      <c r="L69">
        <v>0.2059</v>
      </c>
      <c r="M69">
        <v>6.9999999999999999E-4</v>
      </c>
      <c r="N69">
        <v>76.566999999999993</v>
      </c>
      <c r="O69" t="s">
        <v>458</v>
      </c>
      <c r="Q69">
        <f t="shared" si="4"/>
        <v>1818</v>
      </c>
      <c r="R69">
        <f t="shared" si="3"/>
        <v>2.4321070234113711E-3</v>
      </c>
      <c r="S69">
        <f>10000*(I69-(K69*Standards!I$15))</f>
        <v>164.15624999999989</v>
      </c>
      <c r="T69" t="s">
        <v>21</v>
      </c>
    </row>
    <row r="70" spans="1:25">
      <c r="A70">
        <v>81</v>
      </c>
      <c r="B70">
        <v>0</v>
      </c>
      <c r="C70">
        <v>0</v>
      </c>
      <c r="D70">
        <v>0</v>
      </c>
      <c r="E70">
        <v>0</v>
      </c>
      <c r="F70">
        <v>0</v>
      </c>
      <c r="G70">
        <v>0</v>
      </c>
      <c r="H70">
        <v>0.87670000000000003</v>
      </c>
      <c r="I70">
        <v>0.23980000000000001</v>
      </c>
      <c r="J70">
        <v>0</v>
      </c>
      <c r="K70">
        <v>74.739999999999995</v>
      </c>
      <c r="L70">
        <v>1.7000000000000001E-2</v>
      </c>
      <c r="M70">
        <v>0</v>
      </c>
      <c r="N70">
        <v>75.873599999999996</v>
      </c>
      <c r="O70" t="s">
        <v>459</v>
      </c>
      <c r="Q70">
        <f t="shared" si="4"/>
        <v>2398</v>
      </c>
      <c r="R70">
        <f t="shared" si="3"/>
        <v>3.2084559807332089E-3</v>
      </c>
      <c r="S70">
        <f>10000*(I70-(K70*Standards!I$15))</f>
        <v>744.37750000000028</v>
      </c>
      <c r="T70" t="s">
        <v>21</v>
      </c>
    </row>
    <row r="71" spans="1:25">
      <c r="A71">
        <v>79</v>
      </c>
      <c r="B71">
        <v>0</v>
      </c>
      <c r="C71">
        <v>0</v>
      </c>
      <c r="D71">
        <v>2.2000000000000001E-3</v>
      </c>
      <c r="E71">
        <v>0</v>
      </c>
      <c r="F71">
        <v>0</v>
      </c>
      <c r="G71">
        <v>0</v>
      </c>
      <c r="H71">
        <v>7.1000000000000004E-3</v>
      </c>
      <c r="I71">
        <v>0.19919999999999999</v>
      </c>
      <c r="J71">
        <v>0</v>
      </c>
      <c r="K71">
        <v>72.89</v>
      </c>
      <c r="L71">
        <v>0</v>
      </c>
      <c r="M71">
        <v>0</v>
      </c>
      <c r="N71">
        <v>73.098600000000005</v>
      </c>
      <c r="O71" t="s">
        <v>460</v>
      </c>
      <c r="Q71">
        <f t="shared" si="4"/>
        <v>1991.9999999999998</v>
      </c>
      <c r="R71">
        <f t="shared" si="3"/>
        <v>2.7328851694333927E-3</v>
      </c>
      <c r="S71">
        <f>10000*(I71-(K71*Standards!I$15))</f>
        <v>379.30874999999975</v>
      </c>
      <c r="T71" t="s">
        <v>17</v>
      </c>
      <c r="U71">
        <f>COUNT(S71:S76)</f>
        <v>6</v>
      </c>
      <c r="V71">
        <f>MAX(H71:H76)</f>
        <v>0.30320000000000003</v>
      </c>
      <c r="W71">
        <f>AVERAGE(H71:H76)</f>
        <v>0.14641666666666667</v>
      </c>
      <c r="X71">
        <f>MAX(S71:S76)</f>
        <v>426.19999999999993</v>
      </c>
      <c r="Y71">
        <f>AVERAGE(S71:S76)</f>
        <v>353.73937499999994</v>
      </c>
    </row>
    <row r="72" spans="1:25">
      <c r="A72">
        <v>38</v>
      </c>
      <c r="B72">
        <v>0</v>
      </c>
      <c r="C72">
        <v>0</v>
      </c>
      <c r="D72">
        <v>2E-3</v>
      </c>
      <c r="E72">
        <v>0</v>
      </c>
      <c r="F72">
        <v>0</v>
      </c>
      <c r="G72">
        <v>0</v>
      </c>
      <c r="H72">
        <v>0.30320000000000003</v>
      </c>
      <c r="I72">
        <v>0.20269999999999999</v>
      </c>
      <c r="J72">
        <v>2.3999999999999998E-3</v>
      </c>
      <c r="K72">
        <v>75.209999999999994</v>
      </c>
      <c r="L72">
        <v>0</v>
      </c>
      <c r="M72">
        <v>0</v>
      </c>
      <c r="N72">
        <v>75.720399999999998</v>
      </c>
      <c r="O72" t="s">
        <v>461</v>
      </c>
      <c r="Q72">
        <f t="shared" si="4"/>
        <v>2027</v>
      </c>
      <c r="R72">
        <f t="shared" si="3"/>
        <v>2.6951203297433854E-3</v>
      </c>
      <c r="S72">
        <f>10000*(I72-(K72*Standards!I$15))</f>
        <v>362.97875000000005</v>
      </c>
      <c r="T72" t="s">
        <v>17</v>
      </c>
    </row>
    <row r="73" spans="1:25">
      <c r="A73">
        <v>37</v>
      </c>
      <c r="B73">
        <v>0</v>
      </c>
      <c r="C73">
        <v>0</v>
      </c>
      <c r="D73">
        <v>3.5000000000000001E-3</v>
      </c>
      <c r="E73">
        <v>0</v>
      </c>
      <c r="F73">
        <v>0</v>
      </c>
      <c r="G73">
        <v>0</v>
      </c>
      <c r="H73">
        <v>0.23910000000000001</v>
      </c>
      <c r="I73">
        <v>0.20899999999999999</v>
      </c>
      <c r="J73">
        <v>0</v>
      </c>
      <c r="K73">
        <v>75.2</v>
      </c>
      <c r="L73">
        <v>0</v>
      </c>
      <c r="M73">
        <v>0</v>
      </c>
      <c r="N73">
        <v>75.651600000000002</v>
      </c>
      <c r="O73" t="s">
        <v>461</v>
      </c>
      <c r="Q73">
        <f t="shared" si="4"/>
        <v>2090</v>
      </c>
      <c r="R73">
        <f t="shared" si="3"/>
        <v>2.779255319148936E-3</v>
      </c>
      <c r="S73">
        <f>10000*(I73-(K73*Standards!I$15))</f>
        <v>426.19999999999993</v>
      </c>
      <c r="T73" t="s">
        <v>17</v>
      </c>
    </row>
    <row r="74" spans="1:25">
      <c r="A74">
        <v>36</v>
      </c>
      <c r="B74">
        <v>0</v>
      </c>
      <c r="C74">
        <v>0</v>
      </c>
      <c r="D74">
        <v>6.9999999999999999E-4</v>
      </c>
      <c r="E74">
        <v>0</v>
      </c>
      <c r="F74">
        <v>0</v>
      </c>
      <c r="G74">
        <v>0</v>
      </c>
      <c r="H74">
        <v>0.22520000000000001</v>
      </c>
      <c r="I74">
        <v>0.20300000000000001</v>
      </c>
      <c r="J74">
        <v>8.6E-3</v>
      </c>
      <c r="K74">
        <v>75</v>
      </c>
      <c r="L74">
        <v>0</v>
      </c>
      <c r="M74">
        <v>0</v>
      </c>
      <c r="N74">
        <v>75.437600000000003</v>
      </c>
      <c r="O74" t="s">
        <v>461</v>
      </c>
      <c r="Q74">
        <f t="shared" si="4"/>
        <v>2030.0000000000002</v>
      </c>
      <c r="R74">
        <f t="shared" si="3"/>
        <v>2.7066666666666667E-3</v>
      </c>
      <c r="S74">
        <f>10000*(I74-(K74*Standards!I$15))</f>
        <v>370.625</v>
      </c>
      <c r="T74" t="s">
        <v>17</v>
      </c>
    </row>
    <row r="75" spans="1:25">
      <c r="A75">
        <v>50</v>
      </c>
      <c r="B75">
        <v>0</v>
      </c>
      <c r="C75">
        <v>0</v>
      </c>
      <c r="D75">
        <v>2.3E-3</v>
      </c>
      <c r="E75">
        <v>0</v>
      </c>
      <c r="F75">
        <v>0</v>
      </c>
      <c r="G75">
        <v>0</v>
      </c>
      <c r="H75">
        <v>8.7999999999999995E-2</v>
      </c>
      <c r="I75">
        <v>0.1845</v>
      </c>
      <c r="J75">
        <v>4.0000000000000002E-4</v>
      </c>
      <c r="K75">
        <v>73.72</v>
      </c>
      <c r="L75">
        <v>0</v>
      </c>
      <c r="M75">
        <v>0</v>
      </c>
      <c r="N75">
        <v>73.9953</v>
      </c>
      <c r="O75" t="s">
        <v>461</v>
      </c>
      <c r="Q75">
        <f t="shared" si="4"/>
        <v>1845</v>
      </c>
      <c r="R75">
        <f t="shared" si="3"/>
        <v>2.5027129679869777E-3</v>
      </c>
      <c r="S75">
        <f>10000*(I75-(K75*Standards!I$15))</f>
        <v>213.94499999999982</v>
      </c>
      <c r="T75" t="s">
        <v>17</v>
      </c>
    </row>
    <row r="76" spans="1:25">
      <c r="A76">
        <v>35</v>
      </c>
      <c r="B76">
        <v>0</v>
      </c>
      <c r="C76">
        <v>0</v>
      </c>
      <c r="D76">
        <v>5.0000000000000001E-4</v>
      </c>
      <c r="E76">
        <v>0</v>
      </c>
      <c r="F76">
        <v>0</v>
      </c>
      <c r="G76">
        <v>0</v>
      </c>
      <c r="H76">
        <v>1.5900000000000001E-2</v>
      </c>
      <c r="I76">
        <v>0.19980000000000001</v>
      </c>
      <c r="J76">
        <v>0</v>
      </c>
      <c r="K76">
        <v>73.61</v>
      </c>
      <c r="L76">
        <v>0</v>
      </c>
      <c r="M76">
        <v>2.7000000000000001E-3</v>
      </c>
      <c r="N76">
        <v>73.828999999999994</v>
      </c>
      <c r="O76" t="s">
        <v>461</v>
      </c>
      <c r="Q76">
        <f t="shared" si="4"/>
        <v>1998</v>
      </c>
      <c r="R76">
        <f t="shared" si="3"/>
        <v>2.7143051215867409E-3</v>
      </c>
      <c r="S76">
        <f>10000*(I76-(K76*Standards!I$15))</f>
        <v>369.37875000000008</v>
      </c>
      <c r="T76" t="s">
        <v>17</v>
      </c>
    </row>
    <row r="77" spans="1:25">
      <c r="A77">
        <v>61</v>
      </c>
      <c r="B77">
        <v>0</v>
      </c>
      <c r="C77">
        <v>0</v>
      </c>
      <c r="D77">
        <v>1.4E-3</v>
      </c>
      <c r="E77">
        <v>0</v>
      </c>
      <c r="F77">
        <v>0</v>
      </c>
      <c r="G77">
        <v>0</v>
      </c>
      <c r="H77">
        <v>0.3634</v>
      </c>
      <c r="I77">
        <v>0.2135</v>
      </c>
      <c r="J77">
        <v>0</v>
      </c>
      <c r="K77">
        <v>75.8</v>
      </c>
      <c r="L77">
        <v>2.9999999999999997E-4</v>
      </c>
      <c r="M77">
        <v>0</v>
      </c>
      <c r="N77">
        <v>76.378699999999995</v>
      </c>
      <c r="O77" t="s">
        <v>462</v>
      </c>
      <c r="Q77">
        <f t="shared" si="4"/>
        <v>2135</v>
      </c>
      <c r="R77">
        <f t="shared" si="3"/>
        <v>2.8166226912928762E-3</v>
      </c>
      <c r="S77">
        <f>10000*(I77-(K77*Standards!I$15))</f>
        <v>457.92499999999984</v>
      </c>
      <c r="T77" t="s">
        <v>135</v>
      </c>
      <c r="U77">
        <f>COUNT(S77:S83)</f>
        <v>7</v>
      </c>
      <c r="V77">
        <f>MAX(H77:H83)</f>
        <v>0.80630000000000002</v>
      </c>
      <c r="W77">
        <f>AVERAGE(H77:H83)</f>
        <v>0.43062857142857142</v>
      </c>
      <c r="X77">
        <f>MAX(S77:S83)</f>
        <v>495.90749999999991</v>
      </c>
      <c r="Y77">
        <f>AVERAGE(S77:S83)</f>
        <v>465.48428571428559</v>
      </c>
    </row>
    <row r="78" spans="1:25">
      <c r="A78">
        <v>57</v>
      </c>
      <c r="B78">
        <v>0</v>
      </c>
      <c r="C78">
        <v>0</v>
      </c>
      <c r="D78">
        <v>0</v>
      </c>
      <c r="E78">
        <v>0</v>
      </c>
      <c r="F78">
        <v>0</v>
      </c>
      <c r="G78">
        <v>0</v>
      </c>
      <c r="H78">
        <v>0.47810000000000002</v>
      </c>
      <c r="I78">
        <v>0.21659999999999999</v>
      </c>
      <c r="J78">
        <v>0</v>
      </c>
      <c r="K78">
        <v>75.64</v>
      </c>
      <c r="L78">
        <v>0</v>
      </c>
      <c r="M78">
        <v>0</v>
      </c>
      <c r="N78">
        <v>76.334800000000001</v>
      </c>
      <c r="O78" t="s">
        <v>462</v>
      </c>
      <c r="Q78">
        <f t="shared" si="4"/>
        <v>2166</v>
      </c>
      <c r="R78">
        <f t="shared" si="3"/>
        <v>2.863564251718667E-3</v>
      </c>
      <c r="S78">
        <f>10000*(I78-(K78*Standards!I$15))</f>
        <v>492.46499999999969</v>
      </c>
      <c r="T78" t="s">
        <v>135</v>
      </c>
    </row>
    <row r="79" spans="1:25">
      <c r="A79">
        <v>58</v>
      </c>
      <c r="B79">
        <v>0</v>
      </c>
      <c r="C79">
        <v>0</v>
      </c>
      <c r="D79">
        <v>1E-3</v>
      </c>
      <c r="E79">
        <v>0</v>
      </c>
      <c r="F79">
        <v>0</v>
      </c>
      <c r="G79">
        <v>0</v>
      </c>
      <c r="H79">
        <v>0.56979999999999997</v>
      </c>
      <c r="I79">
        <v>0.21690000000000001</v>
      </c>
      <c r="J79">
        <v>0</v>
      </c>
      <c r="K79">
        <v>75.62</v>
      </c>
      <c r="L79">
        <v>0</v>
      </c>
      <c r="M79">
        <v>1.8E-3</v>
      </c>
      <c r="N79">
        <v>76.409599999999998</v>
      </c>
      <c r="O79" t="s">
        <v>462</v>
      </c>
      <c r="Q79">
        <f t="shared" si="4"/>
        <v>2169</v>
      </c>
      <c r="R79">
        <f t="shared" si="3"/>
        <v>2.8682888124834699E-3</v>
      </c>
      <c r="S79">
        <f>10000*(I79-(K79*Standards!I$15))</f>
        <v>495.90749999999991</v>
      </c>
      <c r="T79" t="s">
        <v>135</v>
      </c>
    </row>
    <row r="80" spans="1:25">
      <c r="A80">
        <v>59</v>
      </c>
      <c r="B80">
        <v>0</v>
      </c>
      <c r="C80">
        <v>0</v>
      </c>
      <c r="D80">
        <v>0</v>
      </c>
      <c r="E80">
        <v>0</v>
      </c>
      <c r="F80">
        <v>0</v>
      </c>
      <c r="G80">
        <v>0</v>
      </c>
      <c r="H80">
        <v>0.30020000000000002</v>
      </c>
      <c r="I80">
        <v>0.2147</v>
      </c>
      <c r="J80">
        <v>5.4000000000000003E-3</v>
      </c>
      <c r="K80">
        <v>75.56</v>
      </c>
      <c r="L80">
        <v>2.7400000000000001E-2</v>
      </c>
      <c r="M80">
        <v>0</v>
      </c>
      <c r="N80">
        <v>76.107699999999994</v>
      </c>
      <c r="O80" t="s">
        <v>462</v>
      </c>
      <c r="Q80">
        <f t="shared" si="4"/>
        <v>2147</v>
      </c>
      <c r="R80">
        <f t="shared" si="3"/>
        <v>2.8414505029115936E-3</v>
      </c>
      <c r="S80">
        <f>10000*(I80-(K80*Standards!I$15))</f>
        <v>475.23499999999996</v>
      </c>
      <c r="T80" t="s">
        <v>135</v>
      </c>
    </row>
    <row r="81" spans="1:25">
      <c r="A81">
        <v>55</v>
      </c>
      <c r="B81">
        <v>0</v>
      </c>
      <c r="C81">
        <v>0</v>
      </c>
      <c r="D81">
        <v>0</v>
      </c>
      <c r="E81">
        <v>0</v>
      </c>
      <c r="F81">
        <v>0</v>
      </c>
      <c r="G81">
        <v>0</v>
      </c>
      <c r="H81">
        <v>0.48909999999999998</v>
      </c>
      <c r="I81">
        <v>0.20979999999999999</v>
      </c>
      <c r="J81">
        <v>0</v>
      </c>
      <c r="K81">
        <v>75.400000000000006</v>
      </c>
      <c r="L81">
        <v>2E-3</v>
      </c>
      <c r="M81">
        <v>4.4999999999999997E-3</v>
      </c>
      <c r="N81">
        <v>76.105500000000006</v>
      </c>
      <c r="O81" t="s">
        <v>462</v>
      </c>
      <c r="Q81">
        <f t="shared" si="4"/>
        <v>2098</v>
      </c>
      <c r="R81">
        <f t="shared" si="3"/>
        <v>2.7824933687002648E-3</v>
      </c>
      <c r="S81">
        <f>10000*(I81-(K81*Standards!I$15))</f>
        <v>429.77499999999975</v>
      </c>
      <c r="T81" t="s">
        <v>135</v>
      </c>
    </row>
    <row r="82" spans="1:25">
      <c r="A82">
        <v>56</v>
      </c>
      <c r="B82">
        <v>0</v>
      </c>
      <c r="C82">
        <v>0</v>
      </c>
      <c r="D82">
        <v>3.7000000000000002E-3</v>
      </c>
      <c r="E82">
        <v>0</v>
      </c>
      <c r="F82">
        <v>0</v>
      </c>
      <c r="G82">
        <v>0</v>
      </c>
      <c r="H82">
        <v>0.80630000000000002</v>
      </c>
      <c r="I82">
        <v>0.2127</v>
      </c>
      <c r="J82">
        <v>0</v>
      </c>
      <c r="K82">
        <v>75.34</v>
      </c>
      <c r="L82">
        <v>0</v>
      </c>
      <c r="M82">
        <v>0</v>
      </c>
      <c r="N82">
        <v>76.362700000000004</v>
      </c>
      <c r="O82" t="s">
        <v>462</v>
      </c>
      <c r="Q82">
        <f t="shared" si="4"/>
        <v>2127</v>
      </c>
      <c r="R82">
        <f t="shared" si="3"/>
        <v>2.8232014865941066E-3</v>
      </c>
      <c r="S82">
        <f>10000*(I82-(K82*Standards!I$15))</f>
        <v>460.10249999999974</v>
      </c>
      <c r="T82" t="s">
        <v>135</v>
      </c>
    </row>
    <row r="83" spans="1:25">
      <c r="A83">
        <v>60</v>
      </c>
      <c r="B83">
        <v>0</v>
      </c>
      <c r="C83">
        <v>0</v>
      </c>
      <c r="D83">
        <v>1.2999999999999999E-3</v>
      </c>
      <c r="E83">
        <v>0</v>
      </c>
      <c r="F83">
        <v>0</v>
      </c>
      <c r="G83">
        <v>0</v>
      </c>
      <c r="H83">
        <v>7.4999999999999997E-3</v>
      </c>
      <c r="I83">
        <v>0.20860000000000001</v>
      </c>
      <c r="J83">
        <v>0</v>
      </c>
      <c r="K83">
        <v>74.08</v>
      </c>
      <c r="L83">
        <v>0</v>
      </c>
      <c r="M83">
        <v>0</v>
      </c>
      <c r="N83">
        <v>74.297499999999999</v>
      </c>
      <c r="O83" t="s">
        <v>462</v>
      </c>
      <c r="Q83">
        <f t="shared" si="4"/>
        <v>2086</v>
      </c>
      <c r="R83">
        <f t="shared" si="3"/>
        <v>2.8158747300215986E-3</v>
      </c>
      <c r="S83">
        <f>10000*(I83-(K83*Standards!I$15))</f>
        <v>446.98000000000013</v>
      </c>
      <c r="T83" t="s">
        <v>135</v>
      </c>
    </row>
    <row r="84" spans="1:25">
      <c r="A84">
        <v>26</v>
      </c>
      <c r="B84">
        <v>0</v>
      </c>
      <c r="C84">
        <v>0</v>
      </c>
      <c r="D84">
        <v>1.3299999999999999E-2</v>
      </c>
      <c r="E84">
        <v>0</v>
      </c>
      <c r="F84">
        <v>0</v>
      </c>
      <c r="G84">
        <v>0</v>
      </c>
      <c r="H84">
        <v>0.99119999999999997</v>
      </c>
      <c r="I84">
        <v>0.26269999999999999</v>
      </c>
      <c r="J84">
        <v>0</v>
      </c>
      <c r="K84">
        <v>74.91</v>
      </c>
      <c r="L84">
        <v>0</v>
      </c>
      <c r="M84">
        <v>4.4000000000000003E-3</v>
      </c>
      <c r="N84">
        <v>76.181700000000006</v>
      </c>
      <c r="O84" t="s">
        <v>463</v>
      </c>
      <c r="Q84">
        <f t="shared" si="4"/>
        <v>2627</v>
      </c>
      <c r="R84">
        <f t="shared" si="3"/>
        <v>3.5068749165665467E-3</v>
      </c>
      <c r="S84">
        <f>10000*(I84-(K84*Standards!I$15))</f>
        <v>969.61624999999992</v>
      </c>
      <c r="T84" t="s">
        <v>131</v>
      </c>
      <c r="U84">
        <f>COUNT(S84)</f>
        <v>1</v>
      </c>
      <c r="V84">
        <f>MAX(H84)</f>
        <v>0.99119999999999997</v>
      </c>
      <c r="W84">
        <f>AVERAGE(H84)</f>
        <v>0.99119999999999997</v>
      </c>
      <c r="X84">
        <f>MAX(S84)</f>
        <v>969.61624999999992</v>
      </c>
      <c r="Y84">
        <f>AVERAGE(S84)</f>
        <v>969.61624999999992</v>
      </c>
    </row>
    <row r="85" spans="1:25">
      <c r="A85">
        <v>126</v>
      </c>
      <c r="B85">
        <v>0</v>
      </c>
      <c r="C85">
        <v>0</v>
      </c>
      <c r="D85">
        <v>2.3999999999999998E-3</v>
      </c>
      <c r="E85">
        <v>0</v>
      </c>
      <c r="F85">
        <v>0</v>
      </c>
      <c r="G85">
        <v>0</v>
      </c>
      <c r="H85">
        <v>0.13139999999999999</v>
      </c>
      <c r="I85">
        <v>0.22239999999999999</v>
      </c>
      <c r="J85">
        <v>0</v>
      </c>
      <c r="K85">
        <v>75.569999999999993</v>
      </c>
      <c r="L85">
        <v>0</v>
      </c>
      <c r="M85">
        <v>0</v>
      </c>
      <c r="N85">
        <v>75.926299999999998</v>
      </c>
      <c r="O85" t="s">
        <v>63</v>
      </c>
      <c r="Q85">
        <f t="shared" si="4"/>
        <v>2224</v>
      </c>
      <c r="R85">
        <f t="shared" si="3"/>
        <v>2.9429667857615457E-3</v>
      </c>
      <c r="S85">
        <f>10000*(I85-(K85*Standards!I$15))</f>
        <v>552.01374999999996</v>
      </c>
      <c r="T85" t="s">
        <v>44</v>
      </c>
    </row>
    <row r="86" spans="1:25">
      <c r="A86">
        <v>125</v>
      </c>
      <c r="B86">
        <v>0</v>
      </c>
      <c r="C86">
        <v>0</v>
      </c>
      <c r="D86">
        <v>4.0000000000000002E-4</v>
      </c>
      <c r="E86">
        <v>0</v>
      </c>
      <c r="F86">
        <v>0</v>
      </c>
      <c r="G86">
        <v>0</v>
      </c>
      <c r="H86">
        <v>3.4000000000000002E-2</v>
      </c>
      <c r="I86">
        <v>0.22489999999999999</v>
      </c>
      <c r="J86">
        <v>4.1999999999999997E-3</v>
      </c>
      <c r="K86">
        <v>74.709999999999994</v>
      </c>
      <c r="L86">
        <v>0</v>
      </c>
      <c r="M86">
        <v>0</v>
      </c>
      <c r="N86">
        <v>74.973500000000001</v>
      </c>
      <c r="O86" t="s">
        <v>63</v>
      </c>
      <c r="Q86">
        <f t="shared" si="4"/>
        <v>2249</v>
      </c>
      <c r="R86">
        <f t="shared" si="3"/>
        <v>3.0103065185383485E-3</v>
      </c>
      <c r="S86">
        <f>10000*(I86-(K86*Standards!I$15))</f>
        <v>596.0412500000001</v>
      </c>
      <c r="T86" t="s">
        <v>44</v>
      </c>
    </row>
    <row r="87" spans="1:25">
      <c r="A87">
        <v>50</v>
      </c>
      <c r="B87">
        <v>0</v>
      </c>
      <c r="C87">
        <v>0</v>
      </c>
      <c r="D87">
        <v>1.38E-2</v>
      </c>
      <c r="E87">
        <v>0</v>
      </c>
      <c r="F87">
        <v>0</v>
      </c>
      <c r="G87">
        <v>0</v>
      </c>
      <c r="H87">
        <v>0.92100000000000004</v>
      </c>
      <c r="I87">
        <v>0.16539999999999999</v>
      </c>
      <c r="J87">
        <v>0</v>
      </c>
      <c r="K87">
        <v>75.3</v>
      </c>
      <c r="L87">
        <v>0.20610000000000001</v>
      </c>
      <c r="M87">
        <v>2.0000000000000001E-4</v>
      </c>
      <c r="N87">
        <v>76.6066</v>
      </c>
      <c r="O87" t="s">
        <v>464</v>
      </c>
      <c r="Q87">
        <f t="shared" si="4"/>
        <v>1654</v>
      </c>
      <c r="R87">
        <f t="shared" si="3"/>
        <v>2.1965471447543163E-3</v>
      </c>
      <c r="S87">
        <f>10000*(I87-(K87*Standards!I$15))</f>
        <v>-12.012500000000149</v>
      </c>
      <c r="T87" t="s">
        <v>290</v>
      </c>
      <c r="U87">
        <f>COUNT(S87:S88)</f>
        <v>2</v>
      </c>
      <c r="V87">
        <f>MAX(H87:H88)</f>
        <v>0.92100000000000004</v>
      </c>
      <c r="W87">
        <f>AVERAGE(H87:H88)</f>
        <v>0.57235000000000003</v>
      </c>
      <c r="X87">
        <f>MAX(S87:S88)</f>
        <v>18.872499999999793</v>
      </c>
      <c r="Y87">
        <f>AVERAGE(S87:S88)</f>
        <v>3.4299999999998221</v>
      </c>
    </row>
    <row r="88" spans="1:25">
      <c r="A88">
        <v>59</v>
      </c>
      <c r="B88">
        <v>0</v>
      </c>
      <c r="C88">
        <v>0</v>
      </c>
      <c r="D88">
        <v>1.4500000000000001E-2</v>
      </c>
      <c r="E88">
        <v>0</v>
      </c>
      <c r="F88">
        <v>0</v>
      </c>
      <c r="G88">
        <v>0</v>
      </c>
      <c r="H88">
        <v>0.22370000000000001</v>
      </c>
      <c r="I88">
        <v>0.16839999999999999</v>
      </c>
      <c r="J88">
        <v>0</v>
      </c>
      <c r="K88">
        <v>75.260000000000005</v>
      </c>
      <c r="L88">
        <v>8.3400000000000002E-2</v>
      </c>
      <c r="M88">
        <v>0</v>
      </c>
      <c r="N88">
        <v>75.750100000000003</v>
      </c>
      <c r="O88" t="s">
        <v>464</v>
      </c>
      <c r="Q88">
        <f t="shared" si="4"/>
        <v>1684</v>
      </c>
      <c r="R88">
        <f t="shared" si="3"/>
        <v>2.2375764018070688E-3</v>
      </c>
      <c r="S88">
        <f>10000*(I88-(K88*Standards!I$15))</f>
        <v>18.872499999999793</v>
      </c>
      <c r="T88" t="s">
        <v>290</v>
      </c>
    </row>
    <row r="89" spans="1:25">
      <c r="Q89">
        <f t="shared" si="4"/>
        <v>0</v>
      </c>
    </row>
  </sheetData>
  <phoneticPr fontId="1" type="noConversion"/>
  <pageMargins left="0.75" right="0.75" top="1" bottom="1" header="0.5" footer="0.5"/>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A3A1C-CDA1-435F-9DB2-6B76C9A996B4}">
  <dimension ref="A1:P42"/>
  <sheetViews>
    <sheetView workbookViewId="0">
      <selection activeCell="N10" sqref="N10"/>
    </sheetView>
  </sheetViews>
  <sheetFormatPr defaultRowHeight="12.75"/>
  <sheetData>
    <row r="1" spans="1:16">
      <c r="A1" t="s">
        <v>0</v>
      </c>
      <c r="B1" t="s">
        <v>1</v>
      </c>
      <c r="C1" t="s">
        <v>2</v>
      </c>
      <c r="D1" t="s">
        <v>3</v>
      </c>
      <c r="E1" t="s">
        <v>4</v>
      </c>
      <c r="F1" t="s">
        <v>5</v>
      </c>
      <c r="G1" t="s">
        <v>6</v>
      </c>
      <c r="H1" t="s">
        <v>7</v>
      </c>
      <c r="I1" t="s">
        <v>8</v>
      </c>
      <c r="J1" t="s">
        <v>9</v>
      </c>
      <c r="K1" t="s">
        <v>10</v>
      </c>
      <c r="L1" t="s">
        <v>11</v>
      </c>
      <c r="M1" t="s">
        <v>12</v>
      </c>
      <c r="N1" t="s">
        <v>13</v>
      </c>
      <c r="O1" t="s">
        <v>47</v>
      </c>
      <c r="P1" t="s">
        <v>15</v>
      </c>
    </row>
    <row r="2" spans="1:16">
      <c r="A2">
        <v>169</v>
      </c>
      <c r="B2">
        <v>0</v>
      </c>
      <c r="C2">
        <v>0</v>
      </c>
      <c r="D2">
        <v>13.38</v>
      </c>
      <c r="E2">
        <v>0</v>
      </c>
      <c r="F2">
        <v>4.5999999999999999E-3</v>
      </c>
      <c r="G2">
        <v>4.8599999999999997E-2</v>
      </c>
      <c r="H2">
        <v>4.4499999999999998E-2</v>
      </c>
      <c r="I2">
        <v>0</v>
      </c>
      <c r="J2">
        <v>1.17E-2</v>
      </c>
      <c r="K2">
        <v>0</v>
      </c>
      <c r="L2">
        <v>5.96E-2</v>
      </c>
      <c r="M2">
        <v>86.35</v>
      </c>
      <c r="N2">
        <v>99.899100000000004</v>
      </c>
      <c r="O2" t="s">
        <v>465</v>
      </c>
      <c r="P2" t="s">
        <v>81</v>
      </c>
    </row>
    <row r="3" spans="1:16">
      <c r="A3">
        <v>71</v>
      </c>
      <c r="B3">
        <v>0</v>
      </c>
      <c r="C3">
        <v>0</v>
      </c>
      <c r="D3">
        <v>14.02</v>
      </c>
      <c r="E3">
        <v>2.99</v>
      </c>
      <c r="F3">
        <v>0</v>
      </c>
      <c r="G3">
        <v>7.7999999999999996E-3</v>
      </c>
      <c r="H3">
        <v>4.0500000000000001E-2</v>
      </c>
      <c r="I3">
        <v>0</v>
      </c>
      <c r="J3">
        <v>2.5999999999999999E-3</v>
      </c>
      <c r="K3">
        <v>0</v>
      </c>
      <c r="L3">
        <v>0.88149999999999995</v>
      </c>
      <c r="M3">
        <v>78.989999999999995</v>
      </c>
      <c r="N3">
        <v>96.932400000000001</v>
      </c>
      <c r="O3" t="s">
        <v>466</v>
      </c>
      <c r="P3" t="s">
        <v>81</v>
      </c>
    </row>
    <row r="4" spans="1:16">
      <c r="A4">
        <v>152</v>
      </c>
      <c r="B4">
        <v>0</v>
      </c>
      <c r="C4">
        <v>0</v>
      </c>
      <c r="D4">
        <v>13.5</v>
      </c>
      <c r="E4">
        <v>0</v>
      </c>
      <c r="F4">
        <v>1.6999999999999999E-3</v>
      </c>
      <c r="G4">
        <v>5.2699999999999997E-2</v>
      </c>
      <c r="H4">
        <v>1.09E-2</v>
      </c>
      <c r="I4">
        <v>0</v>
      </c>
      <c r="J4">
        <v>3.0000000000000001E-3</v>
      </c>
      <c r="K4">
        <v>0</v>
      </c>
      <c r="L4">
        <v>1.3899999999999999E-2</v>
      </c>
      <c r="M4">
        <v>86</v>
      </c>
      <c r="N4">
        <v>99.582300000000004</v>
      </c>
      <c r="O4" t="s">
        <v>465</v>
      </c>
      <c r="P4" t="s">
        <v>81</v>
      </c>
    </row>
    <row r="5" spans="1:16">
      <c r="A5">
        <v>122</v>
      </c>
      <c r="B5">
        <v>0</v>
      </c>
      <c r="C5">
        <v>0</v>
      </c>
      <c r="D5">
        <v>13.58</v>
      </c>
      <c r="E5">
        <v>0</v>
      </c>
      <c r="F5">
        <v>3.7000000000000002E-3</v>
      </c>
      <c r="G5">
        <v>5.4399999999999997E-2</v>
      </c>
      <c r="H5">
        <v>6.8999999999999999E-3</v>
      </c>
      <c r="I5">
        <v>0</v>
      </c>
      <c r="J5">
        <v>0</v>
      </c>
      <c r="K5">
        <v>0</v>
      </c>
      <c r="L5">
        <v>0</v>
      </c>
      <c r="M5">
        <v>86.3</v>
      </c>
      <c r="N5">
        <v>99.945099999999996</v>
      </c>
      <c r="O5" t="s">
        <v>465</v>
      </c>
      <c r="P5" t="s">
        <v>81</v>
      </c>
    </row>
    <row r="6" spans="1:16">
      <c r="A6">
        <v>153</v>
      </c>
      <c r="B6">
        <v>0</v>
      </c>
      <c r="C6">
        <v>0</v>
      </c>
      <c r="D6">
        <v>13.6</v>
      </c>
      <c r="E6">
        <v>0</v>
      </c>
      <c r="F6">
        <v>7.4000000000000003E-3</v>
      </c>
      <c r="G6">
        <v>4.5699999999999998E-2</v>
      </c>
      <c r="H6">
        <v>5.1999999999999998E-3</v>
      </c>
      <c r="I6">
        <v>0</v>
      </c>
      <c r="J6">
        <v>1.24E-2</v>
      </c>
      <c r="K6">
        <v>0</v>
      </c>
      <c r="L6">
        <v>1.46E-2</v>
      </c>
      <c r="M6">
        <v>86.07</v>
      </c>
      <c r="N6">
        <v>99.755399999999995</v>
      </c>
      <c r="O6" t="s">
        <v>465</v>
      </c>
      <c r="P6" t="s">
        <v>81</v>
      </c>
    </row>
    <row r="7" spans="1:16">
      <c r="A7">
        <v>168</v>
      </c>
      <c r="B7">
        <v>0</v>
      </c>
      <c r="C7">
        <v>0</v>
      </c>
      <c r="D7">
        <v>13.82</v>
      </c>
      <c r="E7">
        <v>0</v>
      </c>
      <c r="F7">
        <v>0</v>
      </c>
      <c r="G7">
        <v>4.4400000000000002E-2</v>
      </c>
      <c r="H7">
        <v>2E-3</v>
      </c>
      <c r="I7">
        <v>0</v>
      </c>
      <c r="J7">
        <v>0</v>
      </c>
      <c r="K7">
        <v>0</v>
      </c>
      <c r="L7">
        <v>0</v>
      </c>
      <c r="M7">
        <v>85.67</v>
      </c>
      <c r="N7">
        <v>99.536500000000004</v>
      </c>
      <c r="O7" t="s">
        <v>465</v>
      </c>
      <c r="P7" t="s">
        <v>81</v>
      </c>
    </row>
    <row r="8" spans="1:16">
      <c r="A8">
        <v>77</v>
      </c>
      <c r="B8">
        <v>0</v>
      </c>
      <c r="C8">
        <v>0</v>
      </c>
      <c r="D8">
        <v>13.56</v>
      </c>
      <c r="E8">
        <v>0.75790000000000002</v>
      </c>
      <c r="F8">
        <v>0</v>
      </c>
      <c r="G8">
        <v>3.5700000000000003E-2</v>
      </c>
      <c r="H8">
        <v>3.2399999999999998E-2</v>
      </c>
      <c r="I8">
        <v>0</v>
      </c>
      <c r="J8">
        <v>2.18E-2</v>
      </c>
      <c r="K8">
        <v>0</v>
      </c>
      <c r="L8">
        <v>0</v>
      </c>
      <c r="M8">
        <v>80.28</v>
      </c>
      <c r="N8">
        <v>94.687899999999999</v>
      </c>
      <c r="O8" t="s">
        <v>467</v>
      </c>
      <c r="P8" t="s">
        <v>83</v>
      </c>
    </row>
    <row r="9" spans="1:16">
      <c r="A9">
        <v>103</v>
      </c>
      <c r="B9">
        <v>0</v>
      </c>
      <c r="C9">
        <v>0</v>
      </c>
      <c r="D9">
        <v>13.66</v>
      </c>
      <c r="E9">
        <v>4.07E-2</v>
      </c>
      <c r="F9">
        <v>0.2041</v>
      </c>
      <c r="G9">
        <v>4.6899999999999997E-2</v>
      </c>
      <c r="H9">
        <v>8.9999999999999993E-3</v>
      </c>
      <c r="I9">
        <v>0</v>
      </c>
      <c r="J9">
        <v>1.54E-2</v>
      </c>
      <c r="K9">
        <v>0</v>
      </c>
      <c r="L9">
        <v>0</v>
      </c>
      <c r="M9">
        <v>84.18</v>
      </c>
      <c r="N9">
        <v>98.156199999999998</v>
      </c>
      <c r="O9" t="s">
        <v>468</v>
      </c>
      <c r="P9" t="s">
        <v>240</v>
      </c>
    </row>
    <row r="10" spans="1:16">
      <c r="A10">
        <v>107</v>
      </c>
      <c r="B10">
        <v>0</v>
      </c>
      <c r="C10">
        <v>0</v>
      </c>
      <c r="D10">
        <v>13.57</v>
      </c>
      <c r="E10">
        <v>0.26450000000000001</v>
      </c>
      <c r="F10">
        <v>0</v>
      </c>
      <c r="G10">
        <v>3.32E-2</v>
      </c>
      <c r="H10">
        <v>6.7999999999999996E-3</v>
      </c>
      <c r="I10">
        <v>0</v>
      </c>
      <c r="J10">
        <v>0</v>
      </c>
      <c r="K10">
        <v>0</v>
      </c>
      <c r="L10">
        <v>0</v>
      </c>
      <c r="M10">
        <v>83.09</v>
      </c>
      <c r="N10">
        <v>96.964500000000001</v>
      </c>
      <c r="O10" t="s">
        <v>469</v>
      </c>
      <c r="P10" t="s">
        <v>240</v>
      </c>
    </row>
    <row r="11" spans="1:16">
      <c r="A11">
        <v>78</v>
      </c>
      <c r="B11">
        <v>0</v>
      </c>
      <c r="C11">
        <v>0</v>
      </c>
      <c r="D11">
        <v>13.58</v>
      </c>
      <c r="E11">
        <v>0.76519999999999999</v>
      </c>
      <c r="F11">
        <v>0</v>
      </c>
      <c r="G11">
        <v>2.0299999999999999E-2</v>
      </c>
      <c r="H11">
        <v>0</v>
      </c>
      <c r="I11">
        <v>0</v>
      </c>
      <c r="J11">
        <v>2.69E-2</v>
      </c>
      <c r="K11">
        <v>0</v>
      </c>
      <c r="L11">
        <v>2.3599999999999999E-2</v>
      </c>
      <c r="M11">
        <v>79.95</v>
      </c>
      <c r="N11">
        <v>94.366100000000003</v>
      </c>
      <c r="O11" t="s">
        <v>467</v>
      </c>
      <c r="P11" t="s">
        <v>83</v>
      </c>
    </row>
    <row r="12" spans="1:16">
      <c r="A12">
        <v>88</v>
      </c>
      <c r="B12">
        <v>0</v>
      </c>
      <c r="C12">
        <v>0</v>
      </c>
      <c r="D12">
        <v>13.7</v>
      </c>
      <c r="E12">
        <v>0</v>
      </c>
      <c r="F12">
        <v>0</v>
      </c>
      <c r="G12">
        <v>2.93E-2</v>
      </c>
      <c r="H12">
        <v>0.17449999999999999</v>
      </c>
      <c r="I12">
        <v>0</v>
      </c>
      <c r="J12">
        <v>2.41E-2</v>
      </c>
      <c r="K12">
        <v>0</v>
      </c>
      <c r="L12">
        <v>0</v>
      </c>
      <c r="M12">
        <v>81.319999999999993</v>
      </c>
      <c r="N12">
        <v>95.248000000000005</v>
      </c>
      <c r="O12" t="s">
        <v>470</v>
      </c>
      <c r="P12" t="s">
        <v>44</v>
      </c>
    </row>
    <row r="13" spans="1:16">
      <c r="A13">
        <v>124</v>
      </c>
      <c r="B13">
        <v>0</v>
      </c>
      <c r="C13">
        <v>0</v>
      </c>
      <c r="D13">
        <v>13.61</v>
      </c>
      <c r="E13">
        <v>0</v>
      </c>
      <c r="F13">
        <v>0</v>
      </c>
      <c r="G13">
        <v>3.27E-2</v>
      </c>
      <c r="H13">
        <v>0.15</v>
      </c>
      <c r="I13">
        <v>0</v>
      </c>
      <c r="J13">
        <v>0</v>
      </c>
      <c r="K13">
        <v>0</v>
      </c>
      <c r="L13">
        <v>1.9300000000000001E-2</v>
      </c>
      <c r="M13">
        <v>82.37</v>
      </c>
      <c r="N13">
        <v>96.182100000000005</v>
      </c>
      <c r="O13" t="s">
        <v>470</v>
      </c>
      <c r="P13" t="s">
        <v>44</v>
      </c>
    </row>
    <row r="14" spans="1:16">
      <c r="A14">
        <v>89</v>
      </c>
      <c r="B14">
        <v>0</v>
      </c>
      <c r="C14">
        <v>0</v>
      </c>
      <c r="D14">
        <v>13.57</v>
      </c>
      <c r="E14">
        <v>0</v>
      </c>
      <c r="F14">
        <v>0</v>
      </c>
      <c r="G14">
        <v>3.7900000000000003E-2</v>
      </c>
      <c r="H14">
        <v>0.12820000000000001</v>
      </c>
      <c r="I14">
        <v>0</v>
      </c>
      <c r="J14">
        <v>0</v>
      </c>
      <c r="K14">
        <v>0</v>
      </c>
      <c r="L14">
        <v>0</v>
      </c>
      <c r="M14">
        <v>81.290000000000006</v>
      </c>
      <c r="N14">
        <v>95.026200000000003</v>
      </c>
      <c r="O14" t="s">
        <v>470</v>
      </c>
      <c r="P14" t="s">
        <v>44</v>
      </c>
    </row>
    <row r="15" spans="1:16">
      <c r="A15">
        <v>50</v>
      </c>
      <c r="B15">
        <v>0</v>
      </c>
      <c r="C15">
        <v>0</v>
      </c>
      <c r="D15">
        <v>13.58</v>
      </c>
      <c r="E15">
        <v>0</v>
      </c>
      <c r="F15">
        <v>6.6699999999999995E-2</v>
      </c>
      <c r="G15">
        <v>6.5699999999999995E-2</v>
      </c>
      <c r="H15">
        <v>5.3499999999999999E-2</v>
      </c>
      <c r="I15">
        <v>0</v>
      </c>
      <c r="J15">
        <v>0</v>
      </c>
      <c r="K15">
        <v>0</v>
      </c>
      <c r="L15">
        <v>3.8800000000000001E-2</v>
      </c>
      <c r="M15">
        <v>87.67</v>
      </c>
      <c r="N15">
        <v>101.4746</v>
      </c>
      <c r="O15" t="s">
        <v>471</v>
      </c>
      <c r="P15" t="s">
        <v>131</v>
      </c>
    </row>
    <row r="16" spans="1:16">
      <c r="A16">
        <v>201</v>
      </c>
      <c r="B16">
        <v>0</v>
      </c>
      <c r="C16">
        <v>0</v>
      </c>
      <c r="D16">
        <v>13.48</v>
      </c>
      <c r="E16">
        <v>0</v>
      </c>
      <c r="F16">
        <v>0</v>
      </c>
      <c r="G16">
        <v>5.4300000000000001E-2</v>
      </c>
      <c r="H16">
        <v>1.6500000000000001E-2</v>
      </c>
      <c r="I16">
        <v>0</v>
      </c>
      <c r="J16">
        <v>1.1299999999999999E-2</v>
      </c>
      <c r="K16">
        <v>0</v>
      </c>
      <c r="L16">
        <v>6.5699999999999995E-2</v>
      </c>
      <c r="M16">
        <v>86.68</v>
      </c>
      <c r="N16">
        <v>100.3077</v>
      </c>
      <c r="O16" t="s">
        <v>472</v>
      </c>
      <c r="P16" t="s">
        <v>38</v>
      </c>
    </row>
    <row r="17" spans="1:16">
      <c r="A17">
        <v>20</v>
      </c>
      <c r="B17">
        <v>0</v>
      </c>
      <c r="C17">
        <v>0</v>
      </c>
      <c r="D17">
        <v>13.55</v>
      </c>
      <c r="E17">
        <v>0</v>
      </c>
      <c r="F17">
        <v>0</v>
      </c>
      <c r="G17">
        <v>7.2499999999999995E-2</v>
      </c>
      <c r="H17">
        <v>5.0000000000000001E-4</v>
      </c>
      <c r="I17">
        <v>0</v>
      </c>
      <c r="J17">
        <v>3.0000000000000001E-3</v>
      </c>
      <c r="K17">
        <v>0</v>
      </c>
      <c r="L17">
        <v>1.9E-3</v>
      </c>
      <c r="M17">
        <v>87.4</v>
      </c>
      <c r="N17">
        <v>101.0278</v>
      </c>
      <c r="O17" t="s">
        <v>473</v>
      </c>
      <c r="P17" t="s">
        <v>157</v>
      </c>
    </row>
    <row r="18" spans="1:16">
      <c r="A18">
        <v>21</v>
      </c>
      <c r="B18">
        <v>0</v>
      </c>
      <c r="C18">
        <v>0</v>
      </c>
      <c r="D18">
        <v>13.68</v>
      </c>
      <c r="E18">
        <v>0</v>
      </c>
      <c r="F18">
        <v>5.3E-3</v>
      </c>
      <c r="G18">
        <v>6.59E-2</v>
      </c>
      <c r="H18">
        <v>0</v>
      </c>
      <c r="I18">
        <v>0</v>
      </c>
      <c r="J18">
        <v>0</v>
      </c>
      <c r="K18">
        <v>0</v>
      </c>
      <c r="L18">
        <v>0</v>
      </c>
      <c r="M18">
        <v>87.27</v>
      </c>
      <c r="N18">
        <v>101.0211</v>
      </c>
      <c r="O18" t="s">
        <v>473</v>
      </c>
      <c r="P18" t="s">
        <v>157</v>
      </c>
    </row>
    <row r="19" spans="1:16">
      <c r="A19">
        <v>5</v>
      </c>
      <c r="B19">
        <v>0</v>
      </c>
      <c r="C19">
        <v>0</v>
      </c>
      <c r="D19">
        <v>13.53</v>
      </c>
      <c r="E19">
        <v>0</v>
      </c>
      <c r="F19">
        <v>1.54E-2</v>
      </c>
      <c r="G19">
        <v>7.3800000000000004E-2</v>
      </c>
      <c r="H19">
        <v>5.4000000000000003E-3</v>
      </c>
      <c r="I19">
        <v>0</v>
      </c>
      <c r="J19">
        <v>1.0999999999999999E-2</v>
      </c>
      <c r="K19">
        <v>0</v>
      </c>
      <c r="L19">
        <v>4.3E-3</v>
      </c>
      <c r="M19">
        <v>87.11</v>
      </c>
      <c r="N19">
        <v>100.74979999999999</v>
      </c>
      <c r="O19" t="s">
        <v>473</v>
      </c>
      <c r="P19" t="s">
        <v>157</v>
      </c>
    </row>
    <row r="20" spans="1:16">
      <c r="A20">
        <v>68</v>
      </c>
      <c r="B20">
        <v>0</v>
      </c>
      <c r="C20">
        <v>0</v>
      </c>
      <c r="D20">
        <v>13.48</v>
      </c>
      <c r="E20">
        <v>0</v>
      </c>
      <c r="F20">
        <v>0</v>
      </c>
      <c r="G20">
        <v>6.8400000000000002E-2</v>
      </c>
      <c r="H20">
        <v>0</v>
      </c>
      <c r="I20">
        <v>0</v>
      </c>
      <c r="J20">
        <v>6.4000000000000003E-3</v>
      </c>
      <c r="K20">
        <v>0</v>
      </c>
      <c r="L20">
        <v>0</v>
      </c>
      <c r="M20">
        <v>86.03</v>
      </c>
      <c r="N20">
        <v>99.584900000000005</v>
      </c>
      <c r="O20" t="s">
        <v>474</v>
      </c>
      <c r="P20" t="s">
        <v>157</v>
      </c>
    </row>
    <row r="21" spans="1:16">
      <c r="A21">
        <v>66</v>
      </c>
      <c r="B21">
        <v>0</v>
      </c>
      <c r="C21">
        <v>0</v>
      </c>
      <c r="D21">
        <v>13.58</v>
      </c>
      <c r="E21">
        <v>0</v>
      </c>
      <c r="F21">
        <v>0</v>
      </c>
      <c r="G21">
        <v>5.8900000000000001E-2</v>
      </c>
      <c r="H21">
        <v>4.41E-2</v>
      </c>
      <c r="I21">
        <v>0</v>
      </c>
      <c r="J21">
        <v>7.1900000000000006E-2</v>
      </c>
      <c r="K21">
        <v>0</v>
      </c>
      <c r="L21">
        <v>1.04E-2</v>
      </c>
      <c r="M21">
        <v>85.89</v>
      </c>
      <c r="N21">
        <v>99.655299999999997</v>
      </c>
      <c r="O21" t="s">
        <v>474</v>
      </c>
      <c r="P21" t="s">
        <v>157</v>
      </c>
    </row>
    <row r="22" spans="1:16">
      <c r="A22">
        <v>67</v>
      </c>
      <c r="B22">
        <v>0</v>
      </c>
      <c r="C22">
        <v>0</v>
      </c>
      <c r="D22">
        <v>13.59</v>
      </c>
      <c r="E22">
        <v>0</v>
      </c>
      <c r="F22">
        <v>2.93E-2</v>
      </c>
      <c r="G22">
        <v>5.5500000000000001E-2</v>
      </c>
      <c r="H22">
        <v>0</v>
      </c>
      <c r="I22">
        <v>0</v>
      </c>
      <c r="J22">
        <v>0</v>
      </c>
      <c r="K22">
        <v>0</v>
      </c>
      <c r="L22">
        <v>0</v>
      </c>
      <c r="M22">
        <v>85.66</v>
      </c>
      <c r="N22">
        <v>99.334900000000005</v>
      </c>
      <c r="O22" t="s">
        <v>474</v>
      </c>
      <c r="P22" t="s">
        <v>157</v>
      </c>
    </row>
    <row r="23" spans="1:16">
      <c r="A23">
        <v>60</v>
      </c>
      <c r="B23">
        <v>0</v>
      </c>
      <c r="C23">
        <v>0</v>
      </c>
      <c r="D23">
        <v>13.83</v>
      </c>
      <c r="E23">
        <v>0</v>
      </c>
      <c r="F23">
        <v>8.8000000000000005E-3</v>
      </c>
      <c r="G23">
        <v>5.6000000000000001E-2</v>
      </c>
      <c r="H23">
        <v>0.30869999999999997</v>
      </c>
      <c r="I23">
        <v>0</v>
      </c>
      <c r="J23">
        <v>1.67</v>
      </c>
      <c r="K23">
        <v>0</v>
      </c>
      <c r="L23">
        <v>0</v>
      </c>
      <c r="M23">
        <v>83.17</v>
      </c>
      <c r="N23">
        <v>99.043499999999995</v>
      </c>
      <c r="O23" t="s">
        <v>474</v>
      </c>
      <c r="P23" t="s">
        <v>157</v>
      </c>
    </row>
    <row r="24" spans="1:16">
      <c r="A24" s="27">
        <v>98</v>
      </c>
      <c r="B24" s="27">
        <v>0</v>
      </c>
      <c r="C24" s="27">
        <v>0</v>
      </c>
      <c r="D24" s="27">
        <v>13.94</v>
      </c>
      <c r="E24" s="27">
        <v>0</v>
      </c>
      <c r="F24" s="27">
        <v>0.1011</v>
      </c>
      <c r="G24" s="27">
        <v>7.1199999999999999E-2</v>
      </c>
      <c r="H24" s="27">
        <v>0.1782</v>
      </c>
      <c r="I24" s="27">
        <v>1.5E-3</v>
      </c>
      <c r="J24" s="27">
        <v>0</v>
      </c>
      <c r="K24" s="27">
        <v>0</v>
      </c>
      <c r="L24" s="27">
        <v>0</v>
      </c>
      <c r="M24" s="27">
        <v>88.94</v>
      </c>
      <c r="N24" s="27">
        <v>103.2319</v>
      </c>
      <c r="O24" s="27" t="s">
        <v>475</v>
      </c>
      <c r="P24" t="s">
        <v>191</v>
      </c>
    </row>
    <row r="25" spans="1:16">
      <c r="A25" s="27">
        <v>99</v>
      </c>
      <c r="B25" s="27">
        <v>0</v>
      </c>
      <c r="C25" s="27">
        <v>0</v>
      </c>
      <c r="D25" s="27">
        <v>13.96</v>
      </c>
      <c r="E25" s="27">
        <v>0</v>
      </c>
      <c r="F25" s="27">
        <v>8.8999999999999999E-3</v>
      </c>
      <c r="G25" s="27">
        <v>6.8000000000000005E-2</v>
      </c>
      <c r="H25" s="27">
        <v>0.53410000000000002</v>
      </c>
      <c r="I25" s="27">
        <v>0</v>
      </c>
      <c r="J25" s="27">
        <v>2.8E-3</v>
      </c>
      <c r="K25" s="27">
        <v>0</v>
      </c>
      <c r="L25" s="27">
        <v>0</v>
      </c>
      <c r="M25" s="27">
        <v>89.48</v>
      </c>
      <c r="N25" s="27">
        <v>104.05370000000001</v>
      </c>
      <c r="O25" s="27" t="s">
        <v>475</v>
      </c>
      <c r="P25" t="s">
        <v>191</v>
      </c>
    </row>
    <row r="26" spans="1:16">
      <c r="A26" s="27">
        <v>41</v>
      </c>
      <c r="B26" s="27">
        <v>0</v>
      </c>
      <c r="C26" s="27">
        <v>0</v>
      </c>
      <c r="D26" s="27">
        <v>13.71</v>
      </c>
      <c r="E26" s="27">
        <v>0.92969999999999997</v>
      </c>
      <c r="F26" s="27">
        <v>0</v>
      </c>
      <c r="G26" s="27">
        <v>3.5200000000000002E-2</v>
      </c>
      <c r="H26" s="27">
        <v>1.5900000000000001E-2</v>
      </c>
      <c r="I26" s="27">
        <v>0</v>
      </c>
      <c r="J26" s="27">
        <v>0</v>
      </c>
      <c r="K26" s="27">
        <v>0</v>
      </c>
      <c r="L26" s="27">
        <v>0</v>
      </c>
      <c r="M26" s="27">
        <v>84.47</v>
      </c>
      <c r="N26" s="27">
        <v>99.160899999999998</v>
      </c>
      <c r="O26" s="27" t="s">
        <v>476</v>
      </c>
      <c r="P26" t="s">
        <v>426</v>
      </c>
    </row>
    <row r="27" spans="1:16">
      <c r="A27" s="27">
        <v>42</v>
      </c>
      <c r="B27" s="27">
        <v>0</v>
      </c>
      <c r="C27" s="27">
        <v>0</v>
      </c>
      <c r="D27" s="27">
        <v>13.77</v>
      </c>
      <c r="E27" s="27">
        <v>0.66080000000000005</v>
      </c>
      <c r="F27" s="27">
        <v>0</v>
      </c>
      <c r="G27" s="27">
        <v>4.4999999999999998E-2</v>
      </c>
      <c r="H27" s="27">
        <v>5.0900000000000001E-2</v>
      </c>
      <c r="I27" s="27">
        <v>0</v>
      </c>
      <c r="J27" s="27">
        <v>0</v>
      </c>
      <c r="K27" s="27">
        <v>0</v>
      </c>
      <c r="L27" s="27">
        <v>0</v>
      </c>
      <c r="M27" s="27">
        <v>85.47</v>
      </c>
      <c r="N27" s="27">
        <v>99.996799999999993</v>
      </c>
      <c r="O27" s="27" t="s">
        <v>476</v>
      </c>
      <c r="P27" t="s">
        <v>426</v>
      </c>
    </row>
    <row r="28" spans="1:16">
      <c r="A28" s="27">
        <v>43</v>
      </c>
      <c r="B28" s="27">
        <v>0</v>
      </c>
      <c r="C28" s="27">
        <v>0</v>
      </c>
      <c r="D28" s="27">
        <v>13.59</v>
      </c>
      <c r="E28" s="27">
        <v>0.91059999999999997</v>
      </c>
      <c r="F28" s="27">
        <v>0</v>
      </c>
      <c r="G28" s="27">
        <v>3.27E-2</v>
      </c>
      <c r="H28" s="27">
        <v>2.8000000000000001E-2</v>
      </c>
      <c r="I28" s="27">
        <v>0</v>
      </c>
      <c r="J28" s="27">
        <v>0.35639999999999999</v>
      </c>
      <c r="K28" s="27">
        <v>0</v>
      </c>
      <c r="L28" s="27">
        <v>4.9099999999999998E-2</v>
      </c>
      <c r="M28" s="27">
        <v>84.32</v>
      </c>
      <c r="N28" s="27">
        <v>99.286900000000003</v>
      </c>
      <c r="O28" s="27" t="s">
        <v>476</v>
      </c>
      <c r="P28" t="s">
        <v>426</v>
      </c>
    </row>
    <row r="29" spans="1:16">
      <c r="A29">
        <v>44</v>
      </c>
      <c r="B29">
        <v>0</v>
      </c>
      <c r="C29">
        <v>0</v>
      </c>
      <c r="D29">
        <v>13.7</v>
      </c>
      <c r="E29">
        <v>0</v>
      </c>
      <c r="F29">
        <v>0</v>
      </c>
      <c r="G29">
        <v>5.3699999999999998E-2</v>
      </c>
      <c r="H29">
        <v>2.3800000000000002E-2</v>
      </c>
      <c r="I29">
        <v>0</v>
      </c>
      <c r="J29">
        <v>2.1499999999999998E-2</v>
      </c>
      <c r="K29">
        <v>0</v>
      </c>
      <c r="L29">
        <v>0.64949999999999997</v>
      </c>
      <c r="M29">
        <v>85.61</v>
      </c>
      <c r="N29">
        <v>100.05840000000001</v>
      </c>
      <c r="O29" t="s">
        <v>477</v>
      </c>
      <c r="P29" t="s">
        <v>123</v>
      </c>
    </row>
    <row r="30" spans="1:16">
      <c r="A30">
        <v>45</v>
      </c>
      <c r="B30">
        <v>0</v>
      </c>
      <c r="C30">
        <v>0</v>
      </c>
      <c r="D30">
        <v>13.67</v>
      </c>
      <c r="E30">
        <v>0</v>
      </c>
      <c r="F30">
        <v>0</v>
      </c>
      <c r="G30">
        <v>6.4299999999999996E-2</v>
      </c>
      <c r="H30">
        <v>9.8799999999999999E-2</v>
      </c>
      <c r="I30">
        <v>0</v>
      </c>
      <c r="J30">
        <v>6.7400000000000002E-2</v>
      </c>
      <c r="K30">
        <v>0</v>
      </c>
      <c r="L30">
        <v>2.04</v>
      </c>
      <c r="M30">
        <v>85.6</v>
      </c>
      <c r="N30">
        <v>101.54040000000001</v>
      </c>
      <c r="O30" t="s">
        <v>477</v>
      </c>
      <c r="P30" t="s">
        <v>123</v>
      </c>
    </row>
    <row r="31" spans="1:16">
      <c r="A31">
        <v>102</v>
      </c>
      <c r="B31">
        <v>0</v>
      </c>
      <c r="C31">
        <v>0</v>
      </c>
      <c r="D31">
        <v>13.71</v>
      </c>
      <c r="E31">
        <v>0</v>
      </c>
      <c r="F31">
        <v>0</v>
      </c>
      <c r="G31">
        <v>3.95E-2</v>
      </c>
      <c r="H31">
        <v>0</v>
      </c>
      <c r="I31">
        <v>0</v>
      </c>
      <c r="J31">
        <v>0</v>
      </c>
      <c r="K31">
        <v>0.13339999999999999</v>
      </c>
      <c r="L31">
        <v>0.82279999999999998</v>
      </c>
      <c r="M31">
        <v>85.5</v>
      </c>
      <c r="N31">
        <v>100.20569999999999</v>
      </c>
      <c r="O31" t="s">
        <v>478</v>
      </c>
      <c r="P31" t="s">
        <v>123</v>
      </c>
    </row>
    <row r="32" spans="1:16">
      <c r="A32">
        <v>106</v>
      </c>
      <c r="B32">
        <v>0</v>
      </c>
      <c r="C32">
        <v>0</v>
      </c>
      <c r="D32">
        <v>13.45</v>
      </c>
      <c r="E32">
        <v>0</v>
      </c>
      <c r="F32">
        <v>0</v>
      </c>
      <c r="G32">
        <v>3.6900000000000002E-2</v>
      </c>
      <c r="H32">
        <v>0</v>
      </c>
      <c r="I32">
        <v>0</v>
      </c>
      <c r="J32">
        <v>0</v>
      </c>
      <c r="K32">
        <v>0.12239999999999999</v>
      </c>
      <c r="L32">
        <v>0</v>
      </c>
      <c r="M32">
        <v>85.25</v>
      </c>
      <c r="N32">
        <v>98.859399999999994</v>
      </c>
      <c r="O32" t="s">
        <v>479</v>
      </c>
      <c r="P32" t="s">
        <v>123</v>
      </c>
    </row>
    <row r="33" spans="1:16">
      <c r="A33">
        <v>80</v>
      </c>
      <c r="B33">
        <v>0</v>
      </c>
      <c r="C33">
        <v>0</v>
      </c>
      <c r="D33">
        <v>13.71</v>
      </c>
      <c r="E33">
        <v>0</v>
      </c>
      <c r="F33">
        <v>0</v>
      </c>
      <c r="G33">
        <v>4.5699999999999998E-2</v>
      </c>
      <c r="H33">
        <v>2.18E-2</v>
      </c>
      <c r="I33">
        <v>0</v>
      </c>
      <c r="J33">
        <v>3.4799999999999998E-2</v>
      </c>
      <c r="K33">
        <v>3.3999999999999998E-3</v>
      </c>
      <c r="L33">
        <v>2.2200000000000002</v>
      </c>
      <c r="M33">
        <v>85.24</v>
      </c>
      <c r="N33">
        <v>101.2756</v>
      </c>
      <c r="O33" t="s">
        <v>478</v>
      </c>
      <c r="P33" t="s">
        <v>123</v>
      </c>
    </row>
    <row r="34" spans="1:16">
      <c r="A34">
        <v>103</v>
      </c>
      <c r="B34">
        <v>0</v>
      </c>
      <c r="C34">
        <v>0</v>
      </c>
      <c r="D34">
        <v>13.61</v>
      </c>
      <c r="E34">
        <v>0</v>
      </c>
      <c r="F34">
        <v>0</v>
      </c>
      <c r="G34">
        <v>3.8399999999999997E-2</v>
      </c>
      <c r="H34">
        <v>0</v>
      </c>
      <c r="I34">
        <v>5.9999999999999995E-4</v>
      </c>
      <c r="J34">
        <v>6.6E-3</v>
      </c>
      <c r="K34">
        <v>0.1065</v>
      </c>
      <c r="L34">
        <v>0</v>
      </c>
      <c r="M34">
        <v>85.22</v>
      </c>
      <c r="N34">
        <v>98.982200000000006</v>
      </c>
      <c r="O34" t="s">
        <v>479</v>
      </c>
      <c r="P34" t="s">
        <v>123</v>
      </c>
    </row>
    <row r="35" spans="1:16">
      <c r="A35">
        <v>105</v>
      </c>
      <c r="B35">
        <v>0</v>
      </c>
      <c r="C35">
        <v>0</v>
      </c>
      <c r="D35">
        <v>13.54</v>
      </c>
      <c r="E35">
        <v>0</v>
      </c>
      <c r="F35">
        <v>0</v>
      </c>
      <c r="G35">
        <v>4.3700000000000003E-2</v>
      </c>
      <c r="H35">
        <v>0</v>
      </c>
      <c r="I35">
        <v>1.6999999999999999E-3</v>
      </c>
      <c r="J35">
        <v>0</v>
      </c>
      <c r="K35">
        <v>0.1225</v>
      </c>
      <c r="L35">
        <v>0</v>
      </c>
      <c r="M35">
        <v>85.2</v>
      </c>
      <c r="N35">
        <v>98.908000000000001</v>
      </c>
      <c r="O35" t="s">
        <v>479</v>
      </c>
      <c r="P35" t="s">
        <v>123</v>
      </c>
    </row>
    <row r="36" spans="1:16">
      <c r="A36">
        <v>82</v>
      </c>
      <c r="B36">
        <v>0</v>
      </c>
      <c r="C36">
        <v>0</v>
      </c>
      <c r="D36">
        <v>13.65</v>
      </c>
      <c r="E36">
        <v>0</v>
      </c>
      <c r="F36">
        <v>0</v>
      </c>
      <c r="G36">
        <v>7.1999999999999995E-2</v>
      </c>
      <c r="H36">
        <v>0</v>
      </c>
      <c r="I36">
        <v>0</v>
      </c>
      <c r="J36">
        <v>0</v>
      </c>
      <c r="K36">
        <v>3.27E-2</v>
      </c>
      <c r="L36">
        <v>1.58</v>
      </c>
      <c r="M36">
        <v>85.09</v>
      </c>
      <c r="N36">
        <v>100.4246</v>
      </c>
      <c r="O36" t="s">
        <v>478</v>
      </c>
      <c r="P36" t="s">
        <v>123</v>
      </c>
    </row>
    <row r="37" spans="1:16">
      <c r="A37">
        <v>104</v>
      </c>
      <c r="B37">
        <v>0</v>
      </c>
      <c r="C37">
        <v>0</v>
      </c>
      <c r="D37">
        <v>13.55</v>
      </c>
      <c r="E37">
        <v>0</v>
      </c>
      <c r="F37">
        <v>0</v>
      </c>
      <c r="G37">
        <v>3.7600000000000001E-2</v>
      </c>
      <c r="H37">
        <v>0</v>
      </c>
      <c r="I37">
        <v>0</v>
      </c>
      <c r="J37">
        <v>1.9E-3</v>
      </c>
      <c r="K37">
        <v>0.1313</v>
      </c>
      <c r="L37">
        <v>0</v>
      </c>
      <c r="M37">
        <v>84.94</v>
      </c>
      <c r="N37">
        <v>98.660899999999998</v>
      </c>
      <c r="O37" t="s">
        <v>479</v>
      </c>
      <c r="P37" t="s">
        <v>123</v>
      </c>
    </row>
    <row r="38" spans="1:16">
      <c r="A38">
        <v>83</v>
      </c>
      <c r="B38">
        <v>0</v>
      </c>
      <c r="C38">
        <v>0</v>
      </c>
      <c r="D38">
        <v>13.61</v>
      </c>
      <c r="E38">
        <v>0</v>
      </c>
      <c r="F38">
        <v>0</v>
      </c>
      <c r="G38">
        <v>3.5900000000000001E-2</v>
      </c>
      <c r="H38">
        <v>0</v>
      </c>
      <c r="I38">
        <v>0</v>
      </c>
      <c r="J38">
        <v>1.5E-3</v>
      </c>
      <c r="K38">
        <v>0.13270000000000001</v>
      </c>
      <c r="L38">
        <v>6.2600000000000003E-2</v>
      </c>
      <c r="M38">
        <v>84.82</v>
      </c>
      <c r="N38">
        <v>98.662800000000004</v>
      </c>
      <c r="O38" t="s">
        <v>478</v>
      </c>
      <c r="P38" t="s">
        <v>123</v>
      </c>
    </row>
    <row r="39" spans="1:16">
      <c r="A39">
        <v>85</v>
      </c>
      <c r="B39">
        <v>0</v>
      </c>
      <c r="C39">
        <v>0</v>
      </c>
      <c r="D39">
        <v>13.42</v>
      </c>
      <c r="E39">
        <v>0</v>
      </c>
      <c r="F39">
        <v>0</v>
      </c>
      <c r="G39">
        <v>4.2500000000000003E-2</v>
      </c>
      <c r="H39">
        <v>0</v>
      </c>
      <c r="I39">
        <v>5.9999999999999995E-4</v>
      </c>
      <c r="J39">
        <v>0</v>
      </c>
      <c r="K39">
        <v>0.13059999999999999</v>
      </c>
      <c r="L39">
        <v>0.35980000000000001</v>
      </c>
      <c r="M39">
        <v>84.65</v>
      </c>
      <c r="N39">
        <v>98.6036</v>
      </c>
      <c r="O39" t="s">
        <v>478</v>
      </c>
      <c r="P39" t="s">
        <v>123</v>
      </c>
    </row>
    <row r="40" spans="1:16">
      <c r="A40">
        <v>84</v>
      </c>
      <c r="B40">
        <v>0</v>
      </c>
      <c r="C40">
        <v>0</v>
      </c>
      <c r="D40">
        <v>13.6</v>
      </c>
      <c r="E40">
        <v>0</v>
      </c>
      <c r="F40">
        <v>0</v>
      </c>
      <c r="G40">
        <v>4.0099999999999997E-2</v>
      </c>
      <c r="H40">
        <v>0</v>
      </c>
      <c r="I40">
        <v>0</v>
      </c>
      <c r="J40">
        <v>0</v>
      </c>
      <c r="K40">
        <v>0.12740000000000001</v>
      </c>
      <c r="L40">
        <v>0.28139999999999998</v>
      </c>
      <c r="M40">
        <v>84.16</v>
      </c>
      <c r="N40">
        <v>98.209000000000003</v>
      </c>
      <c r="O40" t="s">
        <v>478</v>
      </c>
      <c r="P40" t="s">
        <v>123</v>
      </c>
    </row>
    <row r="41" spans="1:16">
      <c r="A41">
        <v>81</v>
      </c>
      <c r="B41">
        <v>0</v>
      </c>
      <c r="C41">
        <v>0</v>
      </c>
      <c r="D41">
        <v>13.72</v>
      </c>
      <c r="E41">
        <v>0</v>
      </c>
      <c r="F41">
        <v>0</v>
      </c>
      <c r="G41">
        <v>5.7700000000000001E-2</v>
      </c>
      <c r="H41">
        <v>1.2E-2</v>
      </c>
      <c r="I41">
        <v>0</v>
      </c>
      <c r="J41">
        <v>3.0499999999999999E-2</v>
      </c>
      <c r="K41">
        <v>5.4999999999999997E-3</v>
      </c>
      <c r="L41">
        <v>2.17</v>
      </c>
      <c r="M41">
        <v>84.14</v>
      </c>
      <c r="N41">
        <v>100.1356</v>
      </c>
      <c r="O41" t="s">
        <v>478</v>
      </c>
      <c r="P41" t="s">
        <v>123</v>
      </c>
    </row>
    <row r="42" spans="1:16">
      <c r="A42">
        <v>43</v>
      </c>
      <c r="B42">
        <v>0</v>
      </c>
      <c r="C42">
        <v>0</v>
      </c>
      <c r="D42">
        <v>13.86</v>
      </c>
      <c r="E42">
        <v>0</v>
      </c>
      <c r="F42">
        <v>0.53600000000000003</v>
      </c>
      <c r="G42">
        <v>8.9899999999999994E-2</v>
      </c>
      <c r="H42">
        <v>3.2199999999999999E-2</v>
      </c>
      <c r="I42">
        <v>0</v>
      </c>
      <c r="J42">
        <v>0.77259999999999995</v>
      </c>
      <c r="K42">
        <v>0</v>
      </c>
      <c r="L42">
        <v>1.21</v>
      </c>
      <c r="M42">
        <v>83.38</v>
      </c>
      <c r="N42">
        <v>99.880799999999994</v>
      </c>
      <c r="O42" t="s">
        <v>429</v>
      </c>
      <c r="P42" t="s">
        <v>123</v>
      </c>
    </row>
  </sheetData>
  <phoneticPr fontId="1" type="noConversion"/>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5AEE7-20E8-4817-B9C2-B88462ACFF14}">
  <dimension ref="A1:P20"/>
  <sheetViews>
    <sheetView workbookViewId="0">
      <selection activeCell="P2" sqref="P2"/>
    </sheetView>
  </sheetViews>
  <sheetFormatPr defaultRowHeight="12.75"/>
  <sheetData>
    <row r="1" spans="1:16">
      <c r="A1" t="s">
        <v>0</v>
      </c>
      <c r="B1" t="s">
        <v>1</v>
      </c>
      <c r="C1" t="s">
        <v>2</v>
      </c>
      <c r="D1" t="s">
        <v>3</v>
      </c>
      <c r="E1" t="s">
        <v>4</v>
      </c>
      <c r="F1" t="s">
        <v>5</v>
      </c>
      <c r="G1" t="s">
        <v>6</v>
      </c>
      <c r="H1" t="s">
        <v>7</v>
      </c>
      <c r="I1" t="s">
        <v>8</v>
      </c>
      <c r="J1" t="s">
        <v>9</v>
      </c>
      <c r="K1" t="s">
        <v>10</v>
      </c>
      <c r="L1" t="s">
        <v>11</v>
      </c>
      <c r="M1" t="s">
        <v>12</v>
      </c>
      <c r="N1" t="s">
        <v>13</v>
      </c>
      <c r="O1" t="s">
        <v>47</v>
      </c>
      <c r="P1" t="s">
        <v>15</v>
      </c>
    </row>
    <row r="2" spans="1:16">
      <c r="A2">
        <v>45</v>
      </c>
      <c r="B2">
        <v>39.33</v>
      </c>
      <c r="C2">
        <v>0</v>
      </c>
      <c r="D2">
        <v>5.0000000000000001E-3</v>
      </c>
      <c r="E2">
        <v>0</v>
      </c>
      <c r="F2">
        <v>0</v>
      </c>
      <c r="G2">
        <v>0</v>
      </c>
      <c r="H2">
        <v>25.45</v>
      </c>
      <c r="I2">
        <v>1E-4</v>
      </c>
      <c r="J2">
        <v>0.34539999999999998</v>
      </c>
      <c r="K2">
        <v>0</v>
      </c>
      <c r="L2">
        <v>1.55E-2</v>
      </c>
      <c r="M2">
        <v>2.23E-2</v>
      </c>
      <c r="N2">
        <v>65.168400000000005</v>
      </c>
      <c r="O2" t="s">
        <v>480</v>
      </c>
      <c r="P2" t="s">
        <v>17</v>
      </c>
    </row>
    <row r="3" spans="1:16">
      <c r="A3">
        <v>46</v>
      </c>
      <c r="B3">
        <v>39.57</v>
      </c>
      <c r="C3">
        <v>9.9000000000000008E-3</v>
      </c>
      <c r="D3">
        <v>2E-3</v>
      </c>
      <c r="E3">
        <v>0</v>
      </c>
      <c r="F3">
        <v>3.0200000000000001E-2</v>
      </c>
      <c r="G3">
        <v>5.9999999999999995E-4</v>
      </c>
      <c r="H3">
        <v>23.62</v>
      </c>
      <c r="I3">
        <v>2.3999999999999998E-3</v>
      </c>
      <c r="J3">
        <v>0.15379999999999999</v>
      </c>
      <c r="K3">
        <v>0</v>
      </c>
      <c r="L3">
        <v>2.3099999999999999E-2</v>
      </c>
      <c r="M3">
        <v>1.8499999999999999E-2</v>
      </c>
      <c r="N3">
        <v>63.430500000000002</v>
      </c>
      <c r="O3" t="s">
        <v>480</v>
      </c>
      <c r="P3" t="s">
        <v>17</v>
      </c>
    </row>
    <row r="4" spans="1:16">
      <c r="A4">
        <v>47</v>
      </c>
      <c r="B4">
        <v>39.85</v>
      </c>
      <c r="C4">
        <v>3.2500000000000001E-2</v>
      </c>
      <c r="D4">
        <v>5.8999999999999999E-3</v>
      </c>
      <c r="E4">
        <v>0</v>
      </c>
      <c r="F4">
        <v>0</v>
      </c>
      <c r="G4">
        <v>0</v>
      </c>
      <c r="H4">
        <v>23.47</v>
      </c>
      <c r="I4">
        <v>0</v>
      </c>
      <c r="J4">
        <v>0.1731</v>
      </c>
      <c r="K4">
        <v>0</v>
      </c>
      <c r="L4">
        <v>2.0999999999999999E-3</v>
      </c>
      <c r="M4">
        <v>2.64E-2</v>
      </c>
      <c r="N4">
        <v>63.560099999999998</v>
      </c>
      <c r="O4" t="s">
        <v>480</v>
      </c>
      <c r="P4" t="s">
        <v>17</v>
      </c>
    </row>
    <row r="5" spans="1:16">
      <c r="A5">
        <v>31</v>
      </c>
      <c r="B5">
        <v>0.1938</v>
      </c>
      <c r="C5">
        <v>0</v>
      </c>
      <c r="D5">
        <v>15.56</v>
      </c>
      <c r="E5">
        <v>69.52</v>
      </c>
      <c r="F5">
        <v>10.76</v>
      </c>
      <c r="G5">
        <v>0</v>
      </c>
      <c r="H5">
        <v>9.7000000000000003E-3</v>
      </c>
      <c r="I5">
        <v>0</v>
      </c>
      <c r="J5">
        <v>0.16259999999999999</v>
      </c>
      <c r="K5">
        <v>0</v>
      </c>
      <c r="L5">
        <v>2.06E-2</v>
      </c>
      <c r="M5">
        <v>5.04E-2</v>
      </c>
      <c r="N5">
        <v>96.277100000000004</v>
      </c>
      <c r="O5" t="s">
        <v>481</v>
      </c>
      <c r="P5" t="s">
        <v>302</v>
      </c>
    </row>
    <row r="6" spans="1:16">
      <c r="A6">
        <v>32</v>
      </c>
      <c r="B6">
        <v>0.22770000000000001</v>
      </c>
      <c r="C6">
        <v>0</v>
      </c>
      <c r="D6">
        <v>16.14</v>
      </c>
      <c r="E6">
        <v>67.87</v>
      </c>
      <c r="F6">
        <v>14.57</v>
      </c>
      <c r="G6">
        <v>0</v>
      </c>
      <c r="H6">
        <v>2.3199999999999998E-2</v>
      </c>
      <c r="I6">
        <v>0</v>
      </c>
      <c r="J6">
        <v>0.15740000000000001</v>
      </c>
      <c r="K6">
        <v>0</v>
      </c>
      <c r="L6">
        <v>2.0199999999999999E-2</v>
      </c>
      <c r="M6">
        <v>6.6900000000000001E-2</v>
      </c>
      <c r="N6">
        <v>99.075500000000005</v>
      </c>
      <c r="O6" t="s">
        <v>481</v>
      </c>
      <c r="P6" t="s">
        <v>302</v>
      </c>
    </row>
    <row r="7" spans="1:16">
      <c r="A7">
        <v>33</v>
      </c>
      <c r="B7">
        <v>0.24049999999999999</v>
      </c>
      <c r="C7">
        <v>0</v>
      </c>
      <c r="D7">
        <v>15.94</v>
      </c>
      <c r="E7">
        <v>68.760000000000005</v>
      </c>
      <c r="F7">
        <v>12.61</v>
      </c>
      <c r="G7">
        <v>0</v>
      </c>
      <c r="H7">
        <v>2.5700000000000001E-2</v>
      </c>
      <c r="I7">
        <v>0</v>
      </c>
      <c r="J7">
        <v>0.14319999999999999</v>
      </c>
      <c r="K7">
        <v>0</v>
      </c>
      <c r="L7">
        <v>0</v>
      </c>
      <c r="M7">
        <v>3.8300000000000001E-2</v>
      </c>
      <c r="N7">
        <v>97.757800000000003</v>
      </c>
      <c r="O7" t="s">
        <v>481</v>
      </c>
      <c r="P7" t="s">
        <v>302</v>
      </c>
    </row>
    <row r="8" spans="1:16">
      <c r="A8">
        <v>34</v>
      </c>
      <c r="B8">
        <v>0.8952</v>
      </c>
      <c r="C8">
        <v>0</v>
      </c>
      <c r="D8">
        <v>16.010000000000002</v>
      </c>
      <c r="E8">
        <v>67.52</v>
      </c>
      <c r="F8">
        <v>13.36</v>
      </c>
      <c r="G8">
        <v>0</v>
      </c>
      <c r="H8">
        <v>0.31969999999999998</v>
      </c>
      <c r="I8">
        <v>0</v>
      </c>
      <c r="J8">
        <v>0.18129999999999999</v>
      </c>
      <c r="K8">
        <v>0</v>
      </c>
      <c r="L8">
        <v>0</v>
      </c>
      <c r="M8">
        <v>5.45E-2</v>
      </c>
      <c r="N8">
        <v>98.340800000000002</v>
      </c>
      <c r="O8" t="s">
        <v>481</v>
      </c>
      <c r="P8" t="s">
        <v>302</v>
      </c>
    </row>
    <row r="9" spans="1:16">
      <c r="A9">
        <v>35</v>
      </c>
      <c r="B9">
        <v>0.43070000000000003</v>
      </c>
      <c r="C9">
        <v>0</v>
      </c>
      <c r="D9">
        <v>16.32</v>
      </c>
      <c r="E9">
        <v>68.37</v>
      </c>
      <c r="F9">
        <v>14.7</v>
      </c>
      <c r="G9">
        <v>0</v>
      </c>
      <c r="H9">
        <v>5.8999999999999999E-3</v>
      </c>
      <c r="I9">
        <v>0</v>
      </c>
      <c r="J9">
        <v>9.2200000000000004E-2</v>
      </c>
      <c r="K9">
        <v>0</v>
      </c>
      <c r="L9">
        <v>3.1199999999999999E-2</v>
      </c>
      <c r="M9">
        <v>5.7299999999999997E-2</v>
      </c>
      <c r="N9">
        <v>100.0072</v>
      </c>
      <c r="O9" t="s">
        <v>481</v>
      </c>
      <c r="P9" t="s">
        <v>302</v>
      </c>
    </row>
    <row r="10" spans="1:16">
      <c r="A10">
        <v>36</v>
      </c>
      <c r="B10">
        <v>0.24030000000000001</v>
      </c>
      <c r="C10">
        <v>0</v>
      </c>
      <c r="D10">
        <v>16.2</v>
      </c>
      <c r="E10">
        <v>67.569999999999993</v>
      </c>
      <c r="F10">
        <v>16.23</v>
      </c>
      <c r="G10">
        <v>0</v>
      </c>
      <c r="H10">
        <v>3.6900000000000002E-2</v>
      </c>
      <c r="I10">
        <v>0</v>
      </c>
      <c r="J10">
        <v>0.15429999999999999</v>
      </c>
      <c r="K10">
        <v>0</v>
      </c>
      <c r="L10">
        <v>2.7300000000000001E-2</v>
      </c>
      <c r="M10">
        <v>7.5499999999999998E-2</v>
      </c>
      <c r="N10">
        <v>100.5342</v>
      </c>
      <c r="O10" t="s">
        <v>481</v>
      </c>
      <c r="P10" t="s">
        <v>302</v>
      </c>
    </row>
    <row r="11" spans="1:16">
      <c r="A11">
        <v>42</v>
      </c>
      <c r="B11">
        <v>1.95</v>
      </c>
      <c r="C11">
        <v>0</v>
      </c>
      <c r="D11">
        <v>23.63</v>
      </c>
      <c r="E11">
        <v>20.32</v>
      </c>
      <c r="F11">
        <v>24.37</v>
      </c>
      <c r="G11">
        <v>0</v>
      </c>
      <c r="H11">
        <v>1.57</v>
      </c>
      <c r="I11">
        <v>0</v>
      </c>
      <c r="J11">
        <v>23.87</v>
      </c>
      <c r="K11">
        <v>0</v>
      </c>
      <c r="L11">
        <v>5.64</v>
      </c>
      <c r="M11">
        <v>8.3400000000000002E-2</v>
      </c>
      <c r="N11">
        <v>101.4333</v>
      </c>
      <c r="O11" t="s">
        <v>482</v>
      </c>
      <c r="P11" t="s">
        <v>302</v>
      </c>
    </row>
    <row r="12" spans="1:16">
      <c r="A12">
        <v>43</v>
      </c>
      <c r="B12">
        <v>1.0900000000000001</v>
      </c>
      <c r="C12">
        <v>0</v>
      </c>
      <c r="D12">
        <v>23.39</v>
      </c>
      <c r="E12">
        <v>21.94</v>
      </c>
      <c r="F12">
        <v>24.58</v>
      </c>
      <c r="G12">
        <v>0</v>
      </c>
      <c r="H12">
        <v>3.76</v>
      </c>
      <c r="I12">
        <v>0</v>
      </c>
      <c r="J12">
        <v>22.59</v>
      </c>
      <c r="K12">
        <v>0</v>
      </c>
      <c r="L12">
        <v>3.04</v>
      </c>
      <c r="M12">
        <v>0.1293</v>
      </c>
      <c r="N12">
        <v>100.5193</v>
      </c>
      <c r="O12" t="s">
        <v>482</v>
      </c>
      <c r="P12" t="s">
        <v>302</v>
      </c>
    </row>
    <row r="13" spans="1:16">
      <c r="A13">
        <v>44</v>
      </c>
      <c r="B13">
        <v>2.16</v>
      </c>
      <c r="C13">
        <v>0</v>
      </c>
      <c r="D13">
        <v>22.87</v>
      </c>
      <c r="E13">
        <v>20.45</v>
      </c>
      <c r="F13">
        <v>22.94</v>
      </c>
      <c r="G13">
        <v>0</v>
      </c>
      <c r="H13">
        <v>1.46</v>
      </c>
      <c r="I13">
        <v>0</v>
      </c>
      <c r="J13">
        <v>22.86</v>
      </c>
      <c r="K13">
        <v>0</v>
      </c>
      <c r="L13">
        <v>5.97</v>
      </c>
      <c r="M13">
        <v>7.5499999999999998E-2</v>
      </c>
      <c r="N13">
        <v>98.785600000000002</v>
      </c>
      <c r="O13" t="s">
        <v>482</v>
      </c>
      <c r="P13" t="s">
        <v>302</v>
      </c>
    </row>
    <row r="14" spans="1:16">
      <c r="A14">
        <v>45</v>
      </c>
      <c r="B14">
        <v>0.73440000000000005</v>
      </c>
      <c r="C14">
        <v>0</v>
      </c>
      <c r="D14">
        <v>23.24</v>
      </c>
      <c r="E14">
        <v>22</v>
      </c>
      <c r="F14">
        <v>24.2</v>
      </c>
      <c r="G14">
        <v>0</v>
      </c>
      <c r="H14">
        <v>4.82</v>
      </c>
      <c r="I14">
        <v>0</v>
      </c>
      <c r="J14">
        <v>22.65</v>
      </c>
      <c r="K14">
        <v>0</v>
      </c>
      <c r="L14">
        <v>1.92</v>
      </c>
      <c r="M14">
        <v>0.06</v>
      </c>
      <c r="N14">
        <v>99.624499999999998</v>
      </c>
      <c r="O14" t="s">
        <v>482</v>
      </c>
      <c r="P14" t="s">
        <v>302</v>
      </c>
    </row>
    <row r="15" spans="1:16">
      <c r="A15">
        <v>46</v>
      </c>
      <c r="B15">
        <v>0.86650000000000005</v>
      </c>
      <c r="C15">
        <v>0</v>
      </c>
      <c r="D15">
        <v>23.52</v>
      </c>
      <c r="E15">
        <v>22.45</v>
      </c>
      <c r="F15">
        <v>23.72</v>
      </c>
      <c r="G15">
        <v>0</v>
      </c>
      <c r="H15">
        <v>3.72</v>
      </c>
      <c r="I15">
        <v>0</v>
      </c>
      <c r="J15">
        <v>22.52</v>
      </c>
      <c r="K15">
        <v>0</v>
      </c>
      <c r="L15">
        <v>3.15</v>
      </c>
      <c r="M15">
        <v>5.4100000000000002E-2</v>
      </c>
      <c r="N15">
        <v>100.00060000000001</v>
      </c>
      <c r="O15" t="s">
        <v>482</v>
      </c>
      <c r="P15" t="s">
        <v>302</v>
      </c>
    </row>
    <row r="16" spans="1:16">
      <c r="A16">
        <v>47</v>
      </c>
      <c r="B16">
        <v>1.24</v>
      </c>
      <c r="C16">
        <v>0</v>
      </c>
      <c r="D16">
        <v>23.41</v>
      </c>
      <c r="E16">
        <v>18.73</v>
      </c>
      <c r="F16">
        <v>23.98</v>
      </c>
      <c r="G16">
        <v>0</v>
      </c>
      <c r="H16">
        <v>3.1</v>
      </c>
      <c r="I16">
        <v>0</v>
      </c>
      <c r="J16">
        <v>24.68</v>
      </c>
      <c r="K16">
        <v>0</v>
      </c>
      <c r="L16">
        <v>3.77</v>
      </c>
      <c r="M16">
        <v>6.6699999999999995E-2</v>
      </c>
      <c r="N16">
        <v>98.976799999999997</v>
      </c>
      <c r="O16" t="s">
        <v>482</v>
      </c>
      <c r="P16" t="s">
        <v>302</v>
      </c>
    </row>
    <row r="17" spans="1:16">
      <c r="A17">
        <v>48</v>
      </c>
      <c r="B17">
        <v>0.81369999999999998</v>
      </c>
      <c r="C17">
        <v>0</v>
      </c>
      <c r="D17">
        <v>23.71</v>
      </c>
      <c r="E17">
        <v>18.72</v>
      </c>
      <c r="F17">
        <v>24.69</v>
      </c>
      <c r="G17">
        <v>0</v>
      </c>
      <c r="H17">
        <v>4.26</v>
      </c>
      <c r="I17">
        <v>0</v>
      </c>
      <c r="J17">
        <v>24.87</v>
      </c>
      <c r="K17">
        <v>0.82740000000000002</v>
      </c>
      <c r="L17">
        <v>2.2200000000000002</v>
      </c>
      <c r="M17">
        <v>7.22E-2</v>
      </c>
      <c r="N17">
        <v>100.1833</v>
      </c>
      <c r="O17" t="s">
        <v>482</v>
      </c>
      <c r="P17" t="s">
        <v>302</v>
      </c>
    </row>
    <row r="18" spans="1:16">
      <c r="A18">
        <v>49</v>
      </c>
      <c r="B18">
        <v>2.54</v>
      </c>
      <c r="C18">
        <v>0</v>
      </c>
      <c r="D18">
        <v>23.85</v>
      </c>
      <c r="E18">
        <v>16.329999999999998</v>
      </c>
      <c r="F18">
        <v>22.55</v>
      </c>
      <c r="G18">
        <v>0</v>
      </c>
      <c r="H18">
        <v>2.4300000000000002</v>
      </c>
      <c r="I18">
        <v>0</v>
      </c>
      <c r="J18">
        <v>26.19</v>
      </c>
      <c r="K18">
        <v>0.69550000000000001</v>
      </c>
      <c r="L18">
        <v>4.88</v>
      </c>
      <c r="M18">
        <v>6.4899999999999999E-2</v>
      </c>
      <c r="N18">
        <v>99.530500000000004</v>
      </c>
      <c r="O18" t="s">
        <v>482</v>
      </c>
      <c r="P18" t="s">
        <v>302</v>
      </c>
    </row>
    <row r="19" spans="1:16">
      <c r="A19">
        <v>50</v>
      </c>
      <c r="B19">
        <v>0.96440000000000003</v>
      </c>
      <c r="C19">
        <v>0</v>
      </c>
      <c r="D19">
        <v>23.63</v>
      </c>
      <c r="E19">
        <v>18.57</v>
      </c>
      <c r="F19">
        <v>24.39</v>
      </c>
      <c r="G19">
        <v>0</v>
      </c>
      <c r="H19">
        <v>3.45</v>
      </c>
      <c r="I19">
        <v>0</v>
      </c>
      <c r="J19">
        <v>24.8</v>
      </c>
      <c r="K19">
        <v>0.82669999999999999</v>
      </c>
      <c r="L19">
        <v>3.45</v>
      </c>
      <c r="M19">
        <v>6.1899999999999997E-2</v>
      </c>
      <c r="N19">
        <v>100.1429</v>
      </c>
      <c r="O19" t="s">
        <v>482</v>
      </c>
      <c r="P19" t="s">
        <v>302</v>
      </c>
    </row>
    <row r="20" spans="1:16">
      <c r="A20">
        <v>51</v>
      </c>
      <c r="B20">
        <v>2.5099999999999998</v>
      </c>
      <c r="C20">
        <v>0</v>
      </c>
      <c r="D20">
        <v>24.09</v>
      </c>
      <c r="E20">
        <v>15.89</v>
      </c>
      <c r="F20">
        <v>22.58</v>
      </c>
      <c r="G20">
        <v>0</v>
      </c>
      <c r="H20">
        <v>2.4300000000000002</v>
      </c>
      <c r="I20">
        <v>0</v>
      </c>
      <c r="J20">
        <v>26.39</v>
      </c>
      <c r="K20">
        <v>0.65629999999999999</v>
      </c>
      <c r="L20">
        <v>4.93</v>
      </c>
      <c r="M20">
        <v>5.8900000000000001E-2</v>
      </c>
      <c r="N20">
        <v>99.535300000000007</v>
      </c>
      <c r="O20" t="s">
        <v>482</v>
      </c>
      <c r="P20" t="s">
        <v>302</v>
      </c>
    </row>
  </sheetData>
  <phoneticPr fontId="1" type="noConversion"/>
  <pageMargins left="0.75" right="0.75" top="1" bottom="1" header="0.5" footer="0.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32AF7-EB4C-409C-8245-4CA466DBC03E}">
  <dimension ref="A1:O15"/>
  <sheetViews>
    <sheetView workbookViewId="0">
      <pane ySplit="510" activePane="bottomLeft"/>
      <selection pane="bottomLeft" activeCell="I17" sqref="I17"/>
      <selection activeCell="A2" sqref="A2:O65536"/>
    </sheetView>
  </sheetViews>
  <sheetFormatPr defaultRowHeight="12.7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1</v>
      </c>
      <c r="B2">
        <v>0</v>
      </c>
      <c r="C2">
        <v>0</v>
      </c>
      <c r="D2">
        <v>2.8999999999999998E-3</v>
      </c>
      <c r="E2">
        <v>0</v>
      </c>
      <c r="F2">
        <v>0</v>
      </c>
      <c r="G2">
        <v>0</v>
      </c>
      <c r="H2">
        <v>2.5999999999999999E-3</v>
      </c>
      <c r="I2">
        <v>0.32400000000000001</v>
      </c>
      <c r="J2">
        <v>3.2899999999999999E-2</v>
      </c>
      <c r="K2">
        <v>97.94</v>
      </c>
      <c r="L2">
        <v>1.9400000000000001E-2</v>
      </c>
      <c r="M2">
        <v>1.7999999999999999E-2</v>
      </c>
      <c r="N2">
        <v>98.3399</v>
      </c>
      <c r="O2" t="s">
        <v>436</v>
      </c>
    </row>
    <row r="3" spans="1:15">
      <c r="A3">
        <v>2</v>
      </c>
      <c r="B3">
        <v>40.22</v>
      </c>
      <c r="C3">
        <v>2.91</v>
      </c>
      <c r="D3">
        <v>2.7000000000000001E-3</v>
      </c>
      <c r="E3">
        <v>0</v>
      </c>
      <c r="F3">
        <v>0</v>
      </c>
      <c r="G3">
        <v>4.2000000000000003E-2</v>
      </c>
      <c r="H3">
        <v>0</v>
      </c>
      <c r="I3">
        <v>61.09</v>
      </c>
      <c r="J3">
        <v>2.5000000000000001E-3</v>
      </c>
      <c r="K3">
        <v>0</v>
      </c>
      <c r="L3">
        <v>4.3700000000000003E-2</v>
      </c>
      <c r="M3">
        <v>0</v>
      </c>
      <c r="N3">
        <v>104.3109</v>
      </c>
      <c r="O3" t="s">
        <v>483</v>
      </c>
    </row>
    <row r="4" spans="1:15">
      <c r="A4">
        <v>2</v>
      </c>
      <c r="B4">
        <v>0</v>
      </c>
      <c r="C4">
        <v>0</v>
      </c>
      <c r="D4">
        <v>4.5999999999999999E-3</v>
      </c>
      <c r="E4">
        <v>0</v>
      </c>
      <c r="F4">
        <v>0</v>
      </c>
      <c r="G4">
        <v>0</v>
      </c>
      <c r="H4">
        <v>1.66E-2</v>
      </c>
      <c r="I4">
        <v>0.32379999999999998</v>
      </c>
      <c r="J4">
        <v>7.6899999999999996E-2</v>
      </c>
      <c r="K4">
        <v>98.66</v>
      </c>
      <c r="L4">
        <v>0.12039999999999999</v>
      </c>
      <c r="M4">
        <v>1.89E-2</v>
      </c>
      <c r="N4">
        <v>99.221299999999999</v>
      </c>
      <c r="O4" t="s">
        <v>435</v>
      </c>
    </row>
    <row r="5" spans="1:15">
      <c r="A5">
        <v>3</v>
      </c>
      <c r="B5">
        <v>0</v>
      </c>
      <c r="C5">
        <v>0</v>
      </c>
      <c r="D5">
        <v>1.5E-3</v>
      </c>
      <c r="E5">
        <v>0</v>
      </c>
      <c r="F5">
        <v>0</v>
      </c>
      <c r="G5">
        <v>0</v>
      </c>
      <c r="H5">
        <v>7.4999999999999997E-3</v>
      </c>
      <c r="I5">
        <v>0.29499999999999998</v>
      </c>
      <c r="J5">
        <v>6.3700000000000007E-2</v>
      </c>
      <c r="K5">
        <v>98.47</v>
      </c>
      <c r="L5">
        <v>9.06E-2</v>
      </c>
      <c r="M5">
        <v>6.1000000000000004E-3</v>
      </c>
      <c r="N5">
        <v>98.9345</v>
      </c>
      <c r="O5" t="s">
        <v>435</v>
      </c>
    </row>
    <row r="6" spans="1:15">
      <c r="A6">
        <v>6</v>
      </c>
      <c r="B6">
        <v>0</v>
      </c>
      <c r="C6">
        <v>0</v>
      </c>
      <c r="D6">
        <v>2.3999999999999998E-3</v>
      </c>
      <c r="E6">
        <v>0</v>
      </c>
      <c r="F6">
        <v>0</v>
      </c>
      <c r="G6">
        <v>0</v>
      </c>
      <c r="H6">
        <v>4.8999999999999998E-3</v>
      </c>
      <c r="I6">
        <v>0.2737</v>
      </c>
      <c r="J6">
        <v>1.5900000000000001E-2</v>
      </c>
      <c r="K6">
        <v>94.6</v>
      </c>
      <c r="L6">
        <v>5.1499999999999997E-2</v>
      </c>
      <c r="M6">
        <v>2.6100000000000002E-2</v>
      </c>
      <c r="N6">
        <v>94.974500000000006</v>
      </c>
      <c r="O6" t="s">
        <v>435</v>
      </c>
    </row>
    <row r="7" spans="1:15">
      <c r="A7">
        <v>1</v>
      </c>
      <c r="B7">
        <v>0</v>
      </c>
      <c r="C7">
        <v>0</v>
      </c>
      <c r="D7">
        <v>1.9E-3</v>
      </c>
      <c r="E7">
        <v>0</v>
      </c>
      <c r="F7">
        <v>0</v>
      </c>
      <c r="G7">
        <v>0</v>
      </c>
      <c r="H7">
        <v>1.6000000000000001E-3</v>
      </c>
      <c r="I7">
        <v>0.31950000000000001</v>
      </c>
      <c r="J7">
        <v>5.3999999999999999E-2</v>
      </c>
      <c r="K7">
        <v>98.6</v>
      </c>
      <c r="L7">
        <v>4.4200000000000003E-2</v>
      </c>
      <c r="M7">
        <v>0</v>
      </c>
      <c r="N7">
        <v>99.021199999999993</v>
      </c>
      <c r="O7" t="s">
        <v>435</v>
      </c>
    </row>
    <row r="8" spans="1:15">
      <c r="A8">
        <v>8</v>
      </c>
      <c r="B8">
        <v>0</v>
      </c>
      <c r="C8">
        <v>0</v>
      </c>
      <c r="D8">
        <v>0</v>
      </c>
      <c r="E8">
        <v>0</v>
      </c>
      <c r="F8">
        <v>0</v>
      </c>
      <c r="G8">
        <v>0</v>
      </c>
      <c r="H8">
        <v>5.9999999999999995E-4</v>
      </c>
      <c r="I8">
        <v>0.2878</v>
      </c>
      <c r="J8">
        <v>3.1300000000000001E-2</v>
      </c>
      <c r="K8">
        <v>97.64</v>
      </c>
      <c r="L8">
        <v>8.7999999999999995E-2</v>
      </c>
      <c r="M8">
        <v>0</v>
      </c>
      <c r="N8">
        <v>98.047799999999995</v>
      </c>
      <c r="O8" t="s">
        <v>435</v>
      </c>
    </row>
    <row r="9" spans="1:15">
      <c r="A9">
        <v>4</v>
      </c>
      <c r="B9">
        <v>0</v>
      </c>
      <c r="C9">
        <v>0</v>
      </c>
      <c r="D9">
        <v>1.3299999999999999E-2</v>
      </c>
      <c r="E9">
        <v>0</v>
      </c>
      <c r="F9">
        <v>0</v>
      </c>
      <c r="G9">
        <v>0</v>
      </c>
      <c r="H9">
        <v>0</v>
      </c>
      <c r="I9">
        <v>0.28660000000000002</v>
      </c>
      <c r="J9">
        <v>0.10290000000000001</v>
      </c>
      <c r="K9">
        <v>98.18</v>
      </c>
      <c r="L9">
        <v>0.13550000000000001</v>
      </c>
      <c r="M9">
        <v>1.15E-2</v>
      </c>
      <c r="N9">
        <v>98.729900000000001</v>
      </c>
      <c r="O9" t="s">
        <v>435</v>
      </c>
    </row>
    <row r="10" spans="1:15">
      <c r="A10">
        <v>7</v>
      </c>
      <c r="B10">
        <v>0</v>
      </c>
      <c r="C10">
        <v>0</v>
      </c>
      <c r="D10">
        <v>2.0999999999999999E-3</v>
      </c>
      <c r="E10">
        <v>0</v>
      </c>
      <c r="F10">
        <v>0</v>
      </c>
      <c r="G10">
        <v>0</v>
      </c>
      <c r="H10">
        <v>0</v>
      </c>
      <c r="I10">
        <v>0.28079999999999999</v>
      </c>
      <c r="J10">
        <v>5.9700000000000003E-2</v>
      </c>
      <c r="K10">
        <v>97.96</v>
      </c>
      <c r="L10">
        <v>6.6799999999999998E-2</v>
      </c>
      <c r="M10">
        <v>2.4799999999999999E-2</v>
      </c>
      <c r="N10">
        <v>98.394300000000001</v>
      </c>
      <c r="O10" t="s">
        <v>435</v>
      </c>
    </row>
    <row r="11" spans="1:15">
      <c r="A11">
        <v>10</v>
      </c>
      <c r="B11">
        <v>0</v>
      </c>
      <c r="C11">
        <v>0</v>
      </c>
      <c r="D11">
        <v>4.4000000000000003E-3</v>
      </c>
      <c r="E11">
        <v>0</v>
      </c>
      <c r="F11">
        <v>0</v>
      </c>
      <c r="G11">
        <v>0</v>
      </c>
      <c r="H11">
        <v>0</v>
      </c>
      <c r="I11">
        <v>0.28849999999999998</v>
      </c>
      <c r="J11">
        <v>3.8800000000000001E-2</v>
      </c>
      <c r="K11">
        <v>97.79</v>
      </c>
      <c r="L11">
        <v>5.7500000000000002E-2</v>
      </c>
      <c r="M11">
        <v>1.1000000000000001E-3</v>
      </c>
      <c r="N11">
        <v>98.180400000000006</v>
      </c>
      <c r="O11" t="s">
        <v>435</v>
      </c>
    </row>
    <row r="12" spans="1:15">
      <c r="A12">
        <v>9</v>
      </c>
      <c r="B12">
        <v>0</v>
      </c>
      <c r="C12">
        <v>0</v>
      </c>
      <c r="D12">
        <v>2.2000000000000001E-3</v>
      </c>
      <c r="E12">
        <v>0</v>
      </c>
      <c r="F12">
        <v>0</v>
      </c>
      <c r="G12">
        <v>0</v>
      </c>
      <c r="H12">
        <v>0</v>
      </c>
      <c r="I12">
        <v>0.29260000000000003</v>
      </c>
      <c r="J12">
        <v>2.2200000000000001E-2</v>
      </c>
      <c r="K12">
        <v>97.95</v>
      </c>
      <c r="L12">
        <v>3.9399999999999998E-2</v>
      </c>
      <c r="M12">
        <v>0</v>
      </c>
      <c r="N12">
        <v>98.306399999999996</v>
      </c>
      <c r="O12" t="s">
        <v>435</v>
      </c>
    </row>
    <row r="13" spans="1:15">
      <c r="A13">
        <v>5</v>
      </c>
      <c r="B13">
        <v>0</v>
      </c>
      <c r="C13">
        <v>0</v>
      </c>
      <c r="D13">
        <v>0</v>
      </c>
      <c r="E13">
        <v>0</v>
      </c>
      <c r="F13">
        <v>0</v>
      </c>
      <c r="G13">
        <v>0</v>
      </c>
      <c r="H13">
        <v>0</v>
      </c>
      <c r="I13">
        <v>0.29759999999999998</v>
      </c>
      <c r="J13">
        <v>4.3999999999999997E-2</v>
      </c>
      <c r="K13">
        <v>98.36</v>
      </c>
      <c r="L13">
        <v>2.8899999999999999E-2</v>
      </c>
      <c r="M13">
        <v>1.55E-2</v>
      </c>
      <c r="N13">
        <v>98.746099999999998</v>
      </c>
      <c r="O13" t="s">
        <v>435</v>
      </c>
    </row>
    <row r="14" spans="1:15" ht="13.5" thickBot="1"/>
    <row r="15" spans="1:15" ht="13.5" thickBot="1">
      <c r="H15" s="22" t="s">
        <v>484</v>
      </c>
      <c r="I15" s="23">
        <f>0.177/80</f>
        <v>2.2125000000000001E-3</v>
      </c>
      <c r="J15" t="s">
        <v>485</v>
      </c>
    </row>
  </sheetData>
  <phoneticPr fontId="1" type="noConversion"/>
  <pageMargins left="0.75" right="0.75" top="1" bottom="1" header="0.5" footer="0.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6BFB-9051-497D-9D00-079A134C5922}">
  <dimension ref="A1:I56"/>
  <sheetViews>
    <sheetView topLeftCell="A31" zoomScaleNormal="100" workbookViewId="0">
      <selection activeCell="I53" sqref="A1:I53"/>
    </sheetView>
  </sheetViews>
  <sheetFormatPr defaultRowHeight="12.75"/>
  <cols>
    <col min="1" max="1" width="9.28515625" style="5" customWidth="1"/>
    <col min="2" max="2" width="20.28515625" style="5" customWidth="1"/>
    <col min="3" max="3" width="10.28515625" style="10" customWidth="1"/>
    <col min="4" max="4" width="10.140625" style="10" bestFit="1" customWidth="1"/>
    <col min="5" max="5" width="9.7109375" style="5" customWidth="1"/>
    <col min="6" max="6" width="32.42578125" style="5" customWidth="1"/>
    <col min="7" max="7" width="25.5703125" style="5" customWidth="1"/>
    <col min="8" max="8" width="21.140625" style="5" customWidth="1"/>
    <col min="9" max="9" width="59.140625" style="5" customWidth="1"/>
    <col min="10" max="16384" width="9.140625" style="5"/>
  </cols>
  <sheetData>
    <row r="1" spans="1:9" ht="25.5">
      <c r="A1" s="32" t="s">
        <v>15</v>
      </c>
      <c r="B1" s="32" t="s">
        <v>486</v>
      </c>
      <c r="C1" s="9" t="s">
        <v>487</v>
      </c>
      <c r="D1" s="9" t="s">
        <v>488</v>
      </c>
      <c r="E1" s="1" t="s">
        <v>489</v>
      </c>
      <c r="F1" s="32" t="s">
        <v>490</v>
      </c>
      <c r="G1" s="1" t="s">
        <v>491</v>
      </c>
      <c r="H1" s="1" t="s">
        <v>492</v>
      </c>
      <c r="I1" s="32" t="s">
        <v>493</v>
      </c>
    </row>
    <row r="2" spans="1:9">
      <c r="A2" s="35" t="s">
        <v>494</v>
      </c>
      <c r="B2" s="35"/>
      <c r="C2" s="9"/>
      <c r="D2" s="9"/>
      <c r="E2" s="1"/>
      <c r="F2" s="32"/>
      <c r="G2" s="1"/>
      <c r="H2" s="1"/>
      <c r="I2" s="32"/>
    </row>
    <row r="3" spans="1:9" ht="38.25">
      <c r="A3" s="7">
        <v>1</v>
      </c>
      <c r="B3" s="7" t="s">
        <v>36</v>
      </c>
      <c r="C3" s="28">
        <v>50.357726</v>
      </c>
      <c r="D3" s="28">
        <v>-5.1029470000000003</v>
      </c>
      <c r="E3" s="2" t="s">
        <v>495</v>
      </c>
      <c r="F3" s="7" t="s">
        <v>496</v>
      </c>
      <c r="G3" s="2" t="s">
        <v>497</v>
      </c>
      <c r="H3" s="2" t="s">
        <v>498</v>
      </c>
      <c r="I3" s="26" t="s">
        <v>499</v>
      </c>
    </row>
    <row r="4" spans="1:9" ht="25.5">
      <c r="A4" s="2">
        <v>2</v>
      </c>
      <c r="B4" s="2" t="s">
        <v>191</v>
      </c>
      <c r="C4" s="28">
        <v>50.671233000000001</v>
      </c>
      <c r="D4" s="28">
        <v>-4.577439</v>
      </c>
      <c r="E4" s="2" t="s">
        <v>500</v>
      </c>
      <c r="F4" s="2" t="s">
        <v>501</v>
      </c>
      <c r="G4" s="2" t="s">
        <v>502</v>
      </c>
      <c r="H4" s="7" t="s">
        <v>503</v>
      </c>
      <c r="I4" s="26" t="s">
        <v>504</v>
      </c>
    </row>
    <row r="5" spans="1:9" ht="63.75">
      <c r="A5" s="2">
        <v>3</v>
      </c>
      <c r="B5" s="2" t="s">
        <v>119</v>
      </c>
      <c r="C5" s="28">
        <v>50.641382</v>
      </c>
      <c r="D5" s="28">
        <v>-4.43</v>
      </c>
      <c r="E5" s="2" t="s">
        <v>500</v>
      </c>
      <c r="F5" s="2" t="s">
        <v>505</v>
      </c>
      <c r="G5" s="2" t="s">
        <v>506</v>
      </c>
      <c r="H5" s="2" t="s">
        <v>507</v>
      </c>
      <c r="I5" s="26" t="s">
        <v>508</v>
      </c>
    </row>
    <row r="6" spans="1:9" ht="51">
      <c r="A6" s="2">
        <v>4</v>
      </c>
      <c r="B6" s="2" t="s">
        <v>426</v>
      </c>
      <c r="C6" s="28">
        <v>51.162999999999997</v>
      </c>
      <c r="D6" s="28">
        <v>-4.6580000000000004</v>
      </c>
      <c r="E6" s="2" t="s">
        <v>500</v>
      </c>
      <c r="F6" s="2" t="s">
        <v>509</v>
      </c>
      <c r="G6" s="2" t="s">
        <v>510</v>
      </c>
      <c r="H6" s="2" t="s">
        <v>511</v>
      </c>
      <c r="I6" s="26" t="s">
        <v>512</v>
      </c>
    </row>
    <row r="7" spans="1:9">
      <c r="A7" s="35" t="s">
        <v>513</v>
      </c>
      <c r="B7" s="36"/>
      <c r="C7" s="28"/>
      <c r="D7" s="28"/>
      <c r="E7" s="2"/>
      <c r="F7" s="2"/>
      <c r="G7" s="2"/>
      <c r="H7" s="2"/>
      <c r="I7" s="33"/>
    </row>
    <row r="8" spans="1:9" ht="38.25">
      <c r="A8" s="7">
        <v>5</v>
      </c>
      <c r="B8" s="33" t="s">
        <v>514</v>
      </c>
      <c r="C8" s="28">
        <v>50.142229999999998</v>
      </c>
      <c r="D8" s="28">
        <v>-5.6908050000000001</v>
      </c>
      <c r="E8" s="2" t="s">
        <v>515</v>
      </c>
      <c r="F8" s="2" t="s">
        <v>516</v>
      </c>
      <c r="G8" s="2" t="s">
        <v>517</v>
      </c>
      <c r="H8" s="2" t="s">
        <v>518</v>
      </c>
      <c r="I8" s="26" t="s">
        <v>519</v>
      </c>
    </row>
    <row r="9" spans="1:9" ht="25.5">
      <c r="A9" s="7">
        <v>6</v>
      </c>
      <c r="B9" s="7" t="s">
        <v>520</v>
      </c>
      <c r="C9" s="28">
        <v>50.196389000000003</v>
      </c>
      <c r="D9" s="28">
        <v>-5.1319439999999998</v>
      </c>
      <c r="E9" s="2" t="s">
        <v>515</v>
      </c>
      <c r="F9" s="7" t="s">
        <v>521</v>
      </c>
      <c r="G9" s="2" t="s">
        <v>517</v>
      </c>
      <c r="H9" s="2" t="s">
        <v>522</v>
      </c>
      <c r="I9" s="26" t="s">
        <v>523</v>
      </c>
    </row>
    <row r="10" spans="1:9" ht="25.5">
      <c r="A10" s="2">
        <v>7</v>
      </c>
      <c r="B10" s="2" t="s">
        <v>121</v>
      </c>
      <c r="C10" s="28">
        <v>50.583182999999998</v>
      </c>
      <c r="D10" s="28">
        <v>-3.736612</v>
      </c>
      <c r="E10" s="2" t="s">
        <v>515</v>
      </c>
      <c r="F10" s="2" t="s">
        <v>524</v>
      </c>
      <c r="G10" s="2" t="s">
        <v>525</v>
      </c>
      <c r="H10" s="2" t="s">
        <v>526</v>
      </c>
      <c r="I10" s="26" t="s">
        <v>527</v>
      </c>
    </row>
    <row r="11" spans="1:9" ht="63.75">
      <c r="A11" s="2">
        <v>8</v>
      </c>
      <c r="B11" s="2" t="s">
        <v>60</v>
      </c>
      <c r="C11" s="28">
        <v>50.706667000000003</v>
      </c>
      <c r="D11" s="28">
        <v>-4.0266669999999998</v>
      </c>
      <c r="E11" s="2" t="s">
        <v>528</v>
      </c>
      <c r="F11" s="2" t="s">
        <v>529</v>
      </c>
      <c r="G11" s="2" t="s">
        <v>530</v>
      </c>
      <c r="H11" s="2" t="s">
        <v>531</v>
      </c>
      <c r="I11" s="26" t="s">
        <v>532</v>
      </c>
    </row>
    <row r="12" spans="1:9" ht="25.5">
      <c r="A12" s="2">
        <v>9</v>
      </c>
      <c r="B12" s="2" t="s">
        <v>533</v>
      </c>
      <c r="C12" s="28">
        <v>50.720880000000001</v>
      </c>
      <c r="D12" s="28">
        <v>-3.9139789999999999</v>
      </c>
      <c r="E12" s="2" t="s">
        <v>528</v>
      </c>
      <c r="F12" s="2" t="s">
        <v>534</v>
      </c>
      <c r="G12" s="2" t="s">
        <v>535</v>
      </c>
      <c r="H12" s="2" t="s">
        <v>531</v>
      </c>
      <c r="I12" s="26" t="s">
        <v>536</v>
      </c>
    </row>
    <row r="13" spans="1:9" ht="51">
      <c r="A13" s="2">
        <v>10</v>
      </c>
      <c r="B13" s="2" t="s">
        <v>171</v>
      </c>
      <c r="C13" s="28">
        <v>50.339221999999999</v>
      </c>
      <c r="D13" s="28">
        <v>-5.1759430000000002</v>
      </c>
      <c r="E13" s="2" t="s">
        <v>528</v>
      </c>
      <c r="F13" s="2" t="s">
        <v>537</v>
      </c>
      <c r="G13" s="2" t="s">
        <v>538</v>
      </c>
      <c r="H13" s="2" t="s">
        <v>539</v>
      </c>
      <c r="I13" s="26" t="s">
        <v>540</v>
      </c>
    </row>
    <row r="14" spans="1:9" ht="25.5">
      <c r="A14" s="7">
        <v>11</v>
      </c>
      <c r="B14" s="7" t="s">
        <v>17</v>
      </c>
      <c r="C14" s="28">
        <v>50.33925</v>
      </c>
      <c r="D14" s="28">
        <v>-5.1792870000000004</v>
      </c>
      <c r="E14" s="2" t="s">
        <v>541</v>
      </c>
      <c r="F14" s="2" t="s">
        <v>542</v>
      </c>
      <c r="G14" s="2" t="s">
        <v>543</v>
      </c>
      <c r="H14" s="2" t="s">
        <v>544</v>
      </c>
      <c r="I14" s="26" t="s">
        <v>545</v>
      </c>
    </row>
    <row r="15" spans="1:9" ht="38.25">
      <c r="A15" s="7">
        <v>12</v>
      </c>
      <c r="B15" s="7" t="s">
        <v>44</v>
      </c>
      <c r="C15" s="28">
        <v>50.516843000000001</v>
      </c>
      <c r="D15" s="28">
        <v>-4.3193140000000003</v>
      </c>
      <c r="E15" s="2" t="s">
        <v>546</v>
      </c>
      <c r="F15" s="2" t="s">
        <v>547</v>
      </c>
      <c r="G15" s="2" t="s">
        <v>548</v>
      </c>
      <c r="H15" s="2" t="s">
        <v>544</v>
      </c>
      <c r="I15" s="26" t="s">
        <v>549</v>
      </c>
    </row>
    <row r="16" spans="1:9" ht="25.5">
      <c r="A16" s="7">
        <v>13</v>
      </c>
      <c r="B16" s="7" t="s">
        <v>550</v>
      </c>
      <c r="C16" s="28">
        <v>50.154161999999999</v>
      </c>
      <c r="D16" s="28">
        <v>-5.592994</v>
      </c>
      <c r="E16" s="2" t="s">
        <v>551</v>
      </c>
      <c r="F16" s="2" t="s">
        <v>552</v>
      </c>
      <c r="G16" s="2" t="s">
        <v>553</v>
      </c>
      <c r="H16" s="2" t="s">
        <v>554</v>
      </c>
      <c r="I16" s="26" t="s">
        <v>555</v>
      </c>
    </row>
    <row r="17" spans="1:9" ht="38.25">
      <c r="A17" s="7">
        <v>14</v>
      </c>
      <c r="B17" s="7" t="s">
        <v>556</v>
      </c>
      <c r="C17" s="28">
        <v>50.380833000000003</v>
      </c>
      <c r="D17" s="28">
        <v>-4.9202779999999997</v>
      </c>
      <c r="E17" s="2" t="s">
        <v>551</v>
      </c>
      <c r="F17" s="2" t="s">
        <v>557</v>
      </c>
      <c r="G17" s="2" t="s">
        <v>558</v>
      </c>
      <c r="H17" s="2" t="s">
        <v>554</v>
      </c>
      <c r="I17" s="26" t="s">
        <v>559</v>
      </c>
    </row>
    <row r="18" spans="1:9" ht="25.5">
      <c r="A18" s="7">
        <v>15</v>
      </c>
      <c r="B18" s="7" t="s">
        <v>560</v>
      </c>
      <c r="C18" s="28">
        <v>50.613</v>
      </c>
      <c r="D18" s="28">
        <v>-3.8650000000000002</v>
      </c>
      <c r="E18" s="2" t="s">
        <v>551</v>
      </c>
      <c r="F18" s="2" t="s">
        <v>561</v>
      </c>
      <c r="G18" s="2" t="s">
        <v>553</v>
      </c>
      <c r="H18" s="2" t="s">
        <v>554</v>
      </c>
      <c r="I18" s="26" t="s">
        <v>555</v>
      </c>
    </row>
    <row r="19" spans="1:9" ht="25.5">
      <c r="A19" s="7">
        <v>16</v>
      </c>
      <c r="B19" s="2" t="s">
        <v>38</v>
      </c>
      <c r="C19" s="28">
        <v>50.153649000000001</v>
      </c>
      <c r="D19" s="28">
        <v>-5.6782659999999998</v>
      </c>
      <c r="E19" s="2" t="s">
        <v>562</v>
      </c>
      <c r="F19" s="2" t="s">
        <v>563</v>
      </c>
      <c r="G19" s="2" t="s">
        <v>564</v>
      </c>
      <c r="H19" s="2" t="s">
        <v>565</v>
      </c>
      <c r="I19" s="26" t="s">
        <v>566</v>
      </c>
    </row>
    <row r="20" spans="1:9" ht="25.5">
      <c r="A20" s="7">
        <v>17</v>
      </c>
      <c r="B20" s="2" t="s">
        <v>49</v>
      </c>
      <c r="C20" s="28">
        <v>50.137816000000001</v>
      </c>
      <c r="D20" s="28">
        <v>-5.6918769999999999</v>
      </c>
      <c r="E20" s="2" t="s">
        <v>562</v>
      </c>
      <c r="F20" s="2" t="s">
        <v>567</v>
      </c>
      <c r="G20" s="2" t="s">
        <v>568</v>
      </c>
      <c r="H20" s="2" t="s">
        <v>569</v>
      </c>
      <c r="I20" s="26" t="s">
        <v>570</v>
      </c>
    </row>
    <row r="21" spans="1:9" ht="38.25">
      <c r="A21" s="7">
        <v>18</v>
      </c>
      <c r="B21" s="7" t="s">
        <v>24</v>
      </c>
      <c r="C21" s="28">
        <v>50.217407999999999</v>
      </c>
      <c r="D21" s="28">
        <v>-5.2806949999999997</v>
      </c>
      <c r="E21" s="2" t="s">
        <v>562</v>
      </c>
      <c r="F21" s="7" t="s">
        <v>571</v>
      </c>
      <c r="G21" s="2" t="s">
        <v>572</v>
      </c>
      <c r="H21" s="2" t="s">
        <v>573</v>
      </c>
      <c r="I21" s="26" t="s">
        <v>574</v>
      </c>
    </row>
    <row r="22" spans="1:9" ht="76.5">
      <c r="A22" s="7">
        <v>19</v>
      </c>
      <c r="B22" s="2" t="s">
        <v>46</v>
      </c>
      <c r="C22" s="28">
        <v>50.206667000000003</v>
      </c>
      <c r="D22" s="28">
        <v>-5.2797219999999996</v>
      </c>
      <c r="E22" s="2" t="s">
        <v>562</v>
      </c>
      <c r="F22" s="2" t="s">
        <v>575</v>
      </c>
      <c r="G22" s="2" t="s">
        <v>576</v>
      </c>
      <c r="H22" s="2" t="s">
        <v>577</v>
      </c>
      <c r="I22" s="26" t="s">
        <v>578</v>
      </c>
    </row>
    <row r="23" spans="1:9" ht="25.5">
      <c r="A23" s="7">
        <v>20</v>
      </c>
      <c r="B23" s="7" t="s">
        <v>579</v>
      </c>
      <c r="C23" s="28">
        <v>50.183864999999997</v>
      </c>
      <c r="D23" s="28">
        <v>-5.2832600000000003</v>
      </c>
      <c r="E23" s="2" t="s">
        <v>580</v>
      </c>
      <c r="F23" s="2"/>
      <c r="G23" s="2" t="s">
        <v>581</v>
      </c>
      <c r="H23" s="2" t="s">
        <v>582</v>
      </c>
      <c r="I23" s="26" t="s">
        <v>583</v>
      </c>
    </row>
    <row r="24" spans="1:9" ht="25.5">
      <c r="A24" s="7">
        <v>21</v>
      </c>
      <c r="B24" s="7" t="s">
        <v>53</v>
      </c>
      <c r="C24" s="28">
        <v>50.296944000000003</v>
      </c>
      <c r="D24" s="28">
        <v>-5.2338889999999996</v>
      </c>
      <c r="E24" s="2" t="s">
        <v>562</v>
      </c>
      <c r="F24" s="7" t="s">
        <v>584</v>
      </c>
      <c r="G24" s="2" t="s">
        <v>585</v>
      </c>
      <c r="H24" s="2" t="s">
        <v>586</v>
      </c>
      <c r="I24" s="26" t="s">
        <v>587</v>
      </c>
    </row>
    <row r="25" spans="1:9" ht="25.5">
      <c r="A25" s="7">
        <v>22</v>
      </c>
      <c r="B25" s="7" t="s">
        <v>135</v>
      </c>
      <c r="C25" s="28">
        <v>50.320734000000002</v>
      </c>
      <c r="D25" s="28">
        <v>-5.196993</v>
      </c>
      <c r="E25" s="2" t="s">
        <v>562</v>
      </c>
      <c r="F25" s="2" t="s">
        <v>588</v>
      </c>
      <c r="G25" s="2" t="s">
        <v>589</v>
      </c>
      <c r="H25" s="2" t="s">
        <v>590</v>
      </c>
      <c r="I25" s="26" t="s">
        <v>587</v>
      </c>
    </row>
    <row r="26" spans="1:9" ht="25.5">
      <c r="A26" s="7">
        <v>23</v>
      </c>
      <c r="B26" s="2" t="s">
        <v>187</v>
      </c>
      <c r="C26" s="28">
        <v>50.321855999999997</v>
      </c>
      <c r="D26" s="28">
        <v>-5.1927659999999998</v>
      </c>
      <c r="E26" s="2" t="s">
        <v>562</v>
      </c>
      <c r="F26" s="2" t="s">
        <v>591</v>
      </c>
      <c r="G26" s="2" t="s">
        <v>592</v>
      </c>
      <c r="H26" s="2" t="s">
        <v>586</v>
      </c>
      <c r="I26" s="26" t="s">
        <v>587</v>
      </c>
    </row>
    <row r="27" spans="1:9">
      <c r="A27" s="7">
        <v>24</v>
      </c>
      <c r="B27" s="7" t="s">
        <v>171</v>
      </c>
      <c r="C27" s="28">
        <v>50.339221999999999</v>
      </c>
      <c r="D27" s="28">
        <v>-5.1759430000000002</v>
      </c>
      <c r="E27" s="2" t="s">
        <v>562</v>
      </c>
      <c r="F27" s="7" t="s">
        <v>593</v>
      </c>
      <c r="G27" s="2" t="s">
        <v>594</v>
      </c>
      <c r="H27" s="2" t="s">
        <v>595</v>
      </c>
      <c r="I27" s="26" t="s">
        <v>596</v>
      </c>
    </row>
    <row r="28" spans="1:9" ht="25.5">
      <c r="A28" s="7">
        <v>25</v>
      </c>
      <c r="B28" s="7" t="s">
        <v>189</v>
      </c>
      <c r="C28" s="28">
        <v>50.270860999999996</v>
      </c>
      <c r="D28" s="28">
        <v>-5.1903610000000002</v>
      </c>
      <c r="E28" s="2" t="s">
        <v>562</v>
      </c>
      <c r="F28" s="7" t="s">
        <v>597</v>
      </c>
      <c r="G28" s="2" t="s">
        <v>598</v>
      </c>
      <c r="H28" s="2" t="s">
        <v>586</v>
      </c>
      <c r="I28" s="26" t="s">
        <v>599</v>
      </c>
    </row>
    <row r="29" spans="1:9" ht="25.5">
      <c r="A29" s="7">
        <v>26</v>
      </c>
      <c r="B29" s="7" t="s">
        <v>83</v>
      </c>
      <c r="C29" s="28">
        <v>50.248139000000002</v>
      </c>
      <c r="D29" s="28">
        <v>-5.1635090000000003</v>
      </c>
      <c r="E29" s="2" t="s">
        <v>562</v>
      </c>
      <c r="F29" s="7" t="s">
        <v>600</v>
      </c>
      <c r="G29" s="2" t="s">
        <v>601</v>
      </c>
      <c r="H29" s="2" t="s">
        <v>602</v>
      </c>
      <c r="I29" s="26" t="s">
        <v>603</v>
      </c>
    </row>
    <row r="30" spans="1:9" ht="38.25">
      <c r="A30" s="7">
        <v>27</v>
      </c>
      <c r="B30" s="7" t="s">
        <v>131</v>
      </c>
      <c r="C30" s="28">
        <v>50.236910000000002</v>
      </c>
      <c r="D30" s="28">
        <v>-5.1490340000000003</v>
      </c>
      <c r="E30" s="2" t="s">
        <v>562</v>
      </c>
      <c r="F30" s="7" t="s">
        <v>604</v>
      </c>
      <c r="G30" s="2" t="s">
        <v>605</v>
      </c>
      <c r="H30" s="2" t="s">
        <v>606</v>
      </c>
      <c r="I30" s="26" t="s">
        <v>607</v>
      </c>
    </row>
    <row r="31" spans="1:9" ht="25.5">
      <c r="A31" s="7">
        <v>28</v>
      </c>
      <c r="B31" s="7" t="s">
        <v>71</v>
      </c>
      <c r="C31" s="28">
        <v>50.238047000000002</v>
      </c>
      <c r="D31" s="28">
        <v>-5.1255550000000003</v>
      </c>
      <c r="E31" s="2" t="s">
        <v>562</v>
      </c>
      <c r="F31" s="7" t="s">
        <v>608</v>
      </c>
      <c r="G31" s="26" t="s">
        <v>609</v>
      </c>
      <c r="H31" s="26" t="s">
        <v>610</v>
      </c>
      <c r="I31" s="33" t="s">
        <v>611</v>
      </c>
    </row>
    <row r="32" spans="1:9" ht="25.5">
      <c r="A32" s="7">
        <v>29</v>
      </c>
      <c r="B32" s="7" t="s">
        <v>81</v>
      </c>
      <c r="C32" s="28">
        <v>50.234715000000001</v>
      </c>
      <c r="D32" s="28">
        <v>-5.1371039999999999</v>
      </c>
      <c r="E32" s="2" t="s">
        <v>562</v>
      </c>
      <c r="F32" s="7" t="s">
        <v>612</v>
      </c>
      <c r="G32" s="2" t="s">
        <v>613</v>
      </c>
      <c r="H32" s="2" t="s">
        <v>586</v>
      </c>
      <c r="I32" s="33" t="s">
        <v>611</v>
      </c>
    </row>
    <row r="33" spans="1:9" ht="25.5">
      <c r="A33" s="7">
        <v>30</v>
      </c>
      <c r="B33" s="7" t="s">
        <v>138</v>
      </c>
      <c r="C33" s="28">
        <v>50.317839999999997</v>
      </c>
      <c r="D33" s="28">
        <v>-5.1011899999999999</v>
      </c>
      <c r="E33" s="2" t="s">
        <v>562</v>
      </c>
      <c r="F33" s="7" t="s">
        <v>614</v>
      </c>
      <c r="G33" s="2" t="s">
        <v>615</v>
      </c>
      <c r="H33" s="2" t="s">
        <v>616</v>
      </c>
      <c r="I33" s="33" t="s">
        <v>617</v>
      </c>
    </row>
    <row r="34" spans="1:9" ht="25.5">
      <c r="A34" s="7">
        <v>31</v>
      </c>
      <c r="B34" s="7" t="s">
        <v>380</v>
      </c>
      <c r="C34" s="28">
        <v>50.362226</v>
      </c>
      <c r="D34" s="28">
        <v>-5.0405350000000002</v>
      </c>
      <c r="E34" s="2" t="s">
        <v>562</v>
      </c>
      <c r="F34" s="7" t="s">
        <v>618</v>
      </c>
      <c r="G34" s="2" t="s">
        <v>619</v>
      </c>
      <c r="H34" s="2" t="s">
        <v>620</v>
      </c>
      <c r="I34" s="33" t="s">
        <v>621</v>
      </c>
    </row>
    <row r="35" spans="1:9" ht="25.5">
      <c r="A35" s="2">
        <v>32</v>
      </c>
      <c r="B35" s="7" t="s">
        <v>112</v>
      </c>
      <c r="C35" s="28">
        <v>50.507956999999998</v>
      </c>
      <c r="D35" s="28">
        <v>-4.4532920000000003</v>
      </c>
      <c r="E35" s="2" t="s">
        <v>562</v>
      </c>
      <c r="F35" s="7" t="s">
        <v>622</v>
      </c>
      <c r="G35" s="2" t="s">
        <v>623</v>
      </c>
      <c r="H35" s="2" t="s">
        <v>606</v>
      </c>
      <c r="I35" s="33" t="s">
        <v>624</v>
      </c>
    </row>
    <row r="36" spans="1:9" ht="39" customHeight="1">
      <c r="A36" s="2">
        <v>33</v>
      </c>
      <c r="B36" s="7" t="s">
        <v>104</v>
      </c>
      <c r="C36" s="28">
        <v>50.503537000000001</v>
      </c>
      <c r="D36" s="28">
        <v>-4.4501489999999997</v>
      </c>
      <c r="E36" s="2" t="s">
        <v>562</v>
      </c>
      <c r="F36" s="7" t="s">
        <v>625</v>
      </c>
      <c r="G36" s="2" t="s">
        <v>626</v>
      </c>
      <c r="H36" s="2" t="s">
        <v>627</v>
      </c>
      <c r="I36" s="33" t="s">
        <v>628</v>
      </c>
    </row>
    <row r="37" spans="1:9" ht="53.25" customHeight="1">
      <c r="A37" s="2">
        <v>34</v>
      </c>
      <c r="B37" s="7" t="s">
        <v>21</v>
      </c>
      <c r="C37" s="28">
        <v>50.503312999999999</v>
      </c>
      <c r="D37" s="28">
        <v>-4.4351989999999999</v>
      </c>
      <c r="E37" s="2" t="s">
        <v>562</v>
      </c>
      <c r="F37" s="7" t="s">
        <v>629</v>
      </c>
      <c r="G37" s="2" t="s">
        <v>630</v>
      </c>
      <c r="H37" s="2" t="s">
        <v>595</v>
      </c>
      <c r="I37" s="33" t="s">
        <v>631</v>
      </c>
    </row>
    <row r="38" spans="1:9" ht="38.25">
      <c r="A38" s="7">
        <v>35</v>
      </c>
      <c r="B38" s="7" t="s">
        <v>33</v>
      </c>
      <c r="C38" s="28">
        <v>50.525990999999998</v>
      </c>
      <c r="D38" s="28">
        <v>-4.2450890000000001</v>
      </c>
      <c r="E38" s="2" t="s">
        <v>562</v>
      </c>
      <c r="F38" s="7" t="s">
        <v>632</v>
      </c>
      <c r="G38" s="2" t="s">
        <v>633</v>
      </c>
      <c r="H38" s="2" t="s">
        <v>634</v>
      </c>
      <c r="I38" s="26" t="s">
        <v>635</v>
      </c>
    </row>
    <row r="39" spans="1:9" ht="38.25">
      <c r="A39" s="7">
        <v>36</v>
      </c>
      <c r="B39" s="7" t="s">
        <v>299</v>
      </c>
      <c r="C39" s="28">
        <v>50.546996</v>
      </c>
      <c r="D39" s="28">
        <v>-4.2462030000000004</v>
      </c>
      <c r="E39" s="2" t="s">
        <v>636</v>
      </c>
      <c r="F39" s="2" t="s">
        <v>637</v>
      </c>
      <c r="G39" s="2" t="s">
        <v>638</v>
      </c>
      <c r="H39" s="2" t="s">
        <v>639</v>
      </c>
      <c r="I39" s="26" t="s">
        <v>640</v>
      </c>
    </row>
    <row r="40" spans="1:9" ht="25.5">
      <c r="A40" s="7">
        <v>37</v>
      </c>
      <c r="B40" s="7" t="s">
        <v>297</v>
      </c>
      <c r="C40" s="28">
        <v>50.539703000000003</v>
      </c>
      <c r="D40" s="28">
        <v>-4.2982779999999998</v>
      </c>
      <c r="E40" s="2" t="s">
        <v>562</v>
      </c>
      <c r="F40" s="2" t="s">
        <v>641</v>
      </c>
      <c r="G40" s="2" t="s">
        <v>642</v>
      </c>
      <c r="H40" s="2" t="s">
        <v>643</v>
      </c>
      <c r="I40" s="33" t="s">
        <v>644</v>
      </c>
    </row>
    <row r="41" spans="1:9" ht="38.25">
      <c r="A41" s="2">
        <v>38</v>
      </c>
      <c r="B41" s="7" t="s">
        <v>102</v>
      </c>
      <c r="C41" s="28">
        <v>50.539689000000003</v>
      </c>
      <c r="D41" s="28">
        <v>-4.2222989999999996</v>
      </c>
      <c r="E41" s="2" t="s">
        <v>580</v>
      </c>
      <c r="F41" s="7" t="s">
        <v>645</v>
      </c>
      <c r="G41" s="2" t="s">
        <v>646</v>
      </c>
      <c r="H41" s="2" t="s">
        <v>647</v>
      </c>
      <c r="I41" s="33" t="s">
        <v>648</v>
      </c>
    </row>
    <row r="42" spans="1:9" ht="25.5">
      <c r="A42" s="7">
        <v>39</v>
      </c>
      <c r="B42" s="7" t="s">
        <v>405</v>
      </c>
      <c r="C42" s="28">
        <v>50.502595999999997</v>
      </c>
      <c r="D42" s="28">
        <v>-4.2254230000000002</v>
      </c>
      <c r="E42" s="2" t="s">
        <v>562</v>
      </c>
      <c r="F42" s="2" t="s">
        <v>649</v>
      </c>
      <c r="G42" s="2" t="s">
        <v>650</v>
      </c>
      <c r="H42" s="2" t="s">
        <v>651</v>
      </c>
      <c r="I42" s="33" t="s">
        <v>644</v>
      </c>
    </row>
    <row r="43" spans="1:9" ht="25.5">
      <c r="A43" s="7">
        <v>40</v>
      </c>
      <c r="B43" s="7" t="s">
        <v>652</v>
      </c>
      <c r="C43" s="28">
        <v>50.499510000000001</v>
      </c>
      <c r="D43" s="28">
        <v>-4.1930750000000003</v>
      </c>
      <c r="E43" s="2" t="s">
        <v>562</v>
      </c>
      <c r="F43" s="2" t="s">
        <v>653</v>
      </c>
      <c r="G43" s="2" t="s">
        <v>654</v>
      </c>
      <c r="H43" s="29" t="s">
        <v>655</v>
      </c>
      <c r="I43" s="33" t="s">
        <v>644</v>
      </c>
    </row>
    <row r="44" spans="1:9" ht="25.5">
      <c r="A44" s="7">
        <v>41</v>
      </c>
      <c r="B44" s="7" t="s">
        <v>656</v>
      </c>
      <c r="C44" s="28">
        <v>50.510278</v>
      </c>
      <c r="D44" s="28">
        <v>-4.1694440000000004</v>
      </c>
      <c r="E44" s="2" t="s">
        <v>562</v>
      </c>
      <c r="F44" s="2" t="s">
        <v>657</v>
      </c>
      <c r="G44" s="29" t="s">
        <v>658</v>
      </c>
      <c r="H44" s="29" t="s">
        <v>659</v>
      </c>
      <c r="I44" s="33" t="s">
        <v>644</v>
      </c>
    </row>
    <row r="45" spans="1:9" ht="25.5">
      <c r="A45" s="7">
        <v>42</v>
      </c>
      <c r="B45" s="7" t="s">
        <v>290</v>
      </c>
      <c r="C45" s="28">
        <v>50.498333000000002</v>
      </c>
      <c r="D45" s="28">
        <v>-4.1602779999999999</v>
      </c>
      <c r="E45" s="2" t="s">
        <v>562</v>
      </c>
      <c r="F45" s="2" t="s">
        <v>660</v>
      </c>
      <c r="G45" s="2" t="s">
        <v>661</v>
      </c>
      <c r="H45" s="2" t="s">
        <v>662</v>
      </c>
      <c r="I45" s="33" t="s">
        <v>644</v>
      </c>
    </row>
    <row r="46" spans="1:9">
      <c r="A46" s="35" t="s">
        <v>663</v>
      </c>
      <c r="B46" s="36"/>
      <c r="C46" s="28"/>
      <c r="D46" s="28"/>
      <c r="E46" s="2"/>
      <c r="F46" s="2"/>
      <c r="G46" s="2"/>
      <c r="H46" s="2"/>
      <c r="I46" s="33"/>
    </row>
    <row r="47" spans="1:9" ht="25.5">
      <c r="A47" s="7">
        <v>43</v>
      </c>
      <c r="B47" s="2" t="s">
        <v>240</v>
      </c>
      <c r="C47" s="28">
        <v>50.077080000000002</v>
      </c>
      <c r="D47" s="28">
        <v>-5.3053869999999996</v>
      </c>
      <c r="E47" s="2" t="s">
        <v>664</v>
      </c>
      <c r="F47" s="2" t="s">
        <v>665</v>
      </c>
      <c r="G47" s="2" t="s">
        <v>666</v>
      </c>
      <c r="H47" s="2" t="s">
        <v>667</v>
      </c>
      <c r="I47" s="26" t="s">
        <v>668</v>
      </c>
    </row>
    <row r="48" spans="1:9" ht="27.75" customHeight="1">
      <c r="A48" s="7">
        <v>44</v>
      </c>
      <c r="B48" s="7" t="s">
        <v>669</v>
      </c>
      <c r="C48" s="28">
        <v>50.469166999999999</v>
      </c>
      <c r="D48" s="28">
        <v>-4.3986109999999998</v>
      </c>
      <c r="E48" s="2" t="s">
        <v>664</v>
      </c>
      <c r="F48" s="7" t="s">
        <v>670</v>
      </c>
      <c r="G48" s="2" t="s">
        <v>671</v>
      </c>
      <c r="H48" s="2" t="s">
        <v>672</v>
      </c>
      <c r="I48" s="33" t="s">
        <v>673</v>
      </c>
    </row>
    <row r="49" spans="1:9" s="7" customFormat="1" ht="26.25" customHeight="1">
      <c r="A49" s="7">
        <v>45</v>
      </c>
      <c r="B49" s="7" t="s">
        <v>674</v>
      </c>
      <c r="C49" s="11">
        <v>50.524721999999997</v>
      </c>
      <c r="D49" s="11">
        <v>-4.3177779999999997</v>
      </c>
      <c r="E49" s="2" t="s">
        <v>664</v>
      </c>
      <c r="F49" s="7" t="s">
        <v>675</v>
      </c>
      <c r="G49" s="2" t="s">
        <v>676</v>
      </c>
      <c r="H49" s="2" t="s">
        <v>616</v>
      </c>
      <c r="I49" s="33" t="s">
        <v>677</v>
      </c>
    </row>
    <row r="50" spans="1:9" s="7" customFormat="1" ht="25.5">
      <c r="A50" s="7">
        <v>46</v>
      </c>
      <c r="B50" s="2" t="s">
        <v>678</v>
      </c>
      <c r="C50" s="28">
        <v>50.601101999999997</v>
      </c>
      <c r="D50" s="28">
        <v>-4.3141100000000003</v>
      </c>
      <c r="E50" s="2" t="s">
        <v>664</v>
      </c>
      <c r="F50" s="2" t="s">
        <v>679</v>
      </c>
      <c r="G50" s="2" t="s">
        <v>680</v>
      </c>
      <c r="H50" s="2" t="s">
        <v>616</v>
      </c>
      <c r="I50" s="33" t="s">
        <v>681</v>
      </c>
    </row>
    <row r="51" spans="1:9" s="7" customFormat="1" ht="38.25">
      <c r="A51" s="7">
        <v>47</v>
      </c>
      <c r="B51" s="7" t="s">
        <v>682</v>
      </c>
      <c r="C51" s="11">
        <v>50.489992000000001</v>
      </c>
      <c r="D51" s="11">
        <v>-4.2044969999999999</v>
      </c>
      <c r="E51" s="2" t="s">
        <v>664</v>
      </c>
      <c r="F51" s="7" t="s">
        <v>683</v>
      </c>
      <c r="G51" s="2" t="s">
        <v>684</v>
      </c>
      <c r="H51" s="2" t="s">
        <v>685</v>
      </c>
      <c r="I51" s="33" t="s">
        <v>686</v>
      </c>
    </row>
    <row r="52" spans="1:9" ht="51">
      <c r="A52" s="7">
        <v>48</v>
      </c>
      <c r="B52" s="7" t="s">
        <v>292</v>
      </c>
      <c r="C52" s="11">
        <v>50.613078999999999</v>
      </c>
      <c r="D52" s="11">
        <v>-4.1066929999999999</v>
      </c>
      <c r="E52" s="2" t="s">
        <v>687</v>
      </c>
      <c r="F52" s="7" t="s">
        <v>688</v>
      </c>
      <c r="G52" s="2" t="s">
        <v>689</v>
      </c>
      <c r="H52" s="2" t="s">
        <v>690</v>
      </c>
      <c r="I52" s="26" t="s">
        <v>691</v>
      </c>
    </row>
    <row r="53" spans="1:9" s="7" customFormat="1" ht="25.5">
      <c r="A53" s="7">
        <v>49</v>
      </c>
      <c r="B53" s="7" t="s">
        <v>123</v>
      </c>
      <c r="C53" s="11">
        <v>50.635236999999996</v>
      </c>
      <c r="D53" s="11">
        <v>-3.6396470000000001</v>
      </c>
      <c r="E53" s="2" t="s">
        <v>664</v>
      </c>
      <c r="F53" s="7" t="s">
        <v>692</v>
      </c>
      <c r="G53" s="2" t="s">
        <v>693</v>
      </c>
      <c r="H53" s="2" t="s">
        <v>694</v>
      </c>
      <c r="I53" s="7" t="s">
        <v>695</v>
      </c>
    </row>
    <row r="54" spans="1:9">
      <c r="A54" s="7"/>
      <c r="E54" s="6"/>
      <c r="G54" s="6"/>
      <c r="H54" s="6"/>
    </row>
    <row r="55" spans="1:9">
      <c r="C55" s="11"/>
      <c r="D55" s="11"/>
      <c r="E55" s="2"/>
      <c r="F55" s="7"/>
      <c r="G55" s="2"/>
      <c r="H55" s="2"/>
      <c r="I55" s="7"/>
    </row>
    <row r="56" spans="1:9">
      <c r="A56" s="7"/>
    </row>
  </sheetData>
  <mergeCells count="3">
    <mergeCell ref="A2:B2"/>
    <mergeCell ref="A7:B7"/>
    <mergeCell ref="A46:B46"/>
  </mergeCells>
  <phoneticPr fontId="1" type="noConversion"/>
  <pageMargins left="0.75" right="0.75" top="1" bottom="1" header="0.5" footer="0.5"/>
  <pageSetup paperSize="9" orientation="portrait" horizontalDpi="1200" verticalDpi="12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17183-DFC7-428D-B00C-E9A4B0CC8061}">
  <sheetPr>
    <pageSetUpPr fitToPage="1"/>
  </sheetPr>
  <dimension ref="A1:AC56"/>
  <sheetViews>
    <sheetView topLeftCell="P1" workbookViewId="0">
      <pane xSplit="5280" ySplit="780" topLeftCell="A10" activePane="bottomRight"/>
      <selection pane="bottomRight" activeCell="N53" sqref="A2:N53"/>
      <selection pane="bottomLeft" activeCell="A54" sqref="A54"/>
      <selection pane="topRight" activeCell="A54" sqref="A54"/>
    </sheetView>
  </sheetViews>
  <sheetFormatPr defaultRowHeight="12.75"/>
  <cols>
    <col min="1" max="1" width="11.85546875" style="5" customWidth="1"/>
    <col min="2" max="2" width="20.28515625" style="5" customWidth="1"/>
    <col min="3" max="3" width="14.42578125" style="3" bestFit="1" customWidth="1"/>
    <col min="4" max="4" width="11.140625" style="16" customWidth="1"/>
    <col min="5" max="7" width="8.28515625" style="16" customWidth="1"/>
    <col min="8" max="17" width="8.28515625" style="12" customWidth="1"/>
    <col min="18" max="18" width="9.140625" style="12"/>
    <col min="19" max="20" width="9.140625" style="17"/>
    <col min="21" max="22" width="9.140625" style="12"/>
    <col min="23" max="23" width="9.140625" style="3"/>
    <col min="24" max="25" width="9.140625" style="17"/>
    <col min="26" max="27" width="9.140625" style="12"/>
    <col min="28" max="16384" width="9.140625" style="3"/>
  </cols>
  <sheetData>
    <row r="1" spans="1:29" ht="15.75" customHeight="1">
      <c r="C1" s="1" t="s">
        <v>489</v>
      </c>
      <c r="D1" s="1" t="s">
        <v>696</v>
      </c>
      <c r="E1" s="1"/>
      <c r="F1" s="15"/>
      <c r="G1" s="15"/>
      <c r="H1" s="15"/>
      <c r="I1" s="15"/>
      <c r="N1" s="20"/>
      <c r="O1" s="8" t="s">
        <v>697</v>
      </c>
      <c r="P1" s="8"/>
      <c r="Q1" s="8"/>
      <c r="S1" s="20"/>
      <c r="T1" s="19" t="s">
        <v>698</v>
      </c>
      <c r="U1" s="21"/>
      <c r="V1" s="21"/>
      <c r="W1" s="12"/>
      <c r="X1" s="20"/>
      <c r="Y1" s="8" t="s">
        <v>699</v>
      </c>
      <c r="Z1" s="21"/>
      <c r="AA1" s="21"/>
      <c r="AB1" s="12"/>
      <c r="AC1" s="12"/>
    </row>
    <row r="2" spans="1:29" ht="13.5" customHeight="1">
      <c r="A2" s="32" t="s">
        <v>494</v>
      </c>
      <c r="C2" s="1"/>
      <c r="D2" s="4" t="s">
        <v>314</v>
      </c>
      <c r="E2" s="16" t="s">
        <v>328</v>
      </c>
      <c r="F2" s="15" t="s">
        <v>329</v>
      </c>
      <c r="G2" s="15" t="s">
        <v>330</v>
      </c>
      <c r="H2" s="15" t="s">
        <v>331</v>
      </c>
      <c r="I2" s="13" t="s">
        <v>205</v>
      </c>
      <c r="J2" s="12" t="s">
        <v>206</v>
      </c>
      <c r="K2" s="13" t="s">
        <v>332</v>
      </c>
      <c r="L2" s="14" t="s">
        <v>333</v>
      </c>
      <c r="M2" s="12" t="s">
        <v>334</v>
      </c>
      <c r="N2" s="20" t="s">
        <v>335</v>
      </c>
      <c r="O2" s="3" t="s">
        <v>314</v>
      </c>
      <c r="P2" s="3" t="s">
        <v>203</v>
      </c>
      <c r="Q2" s="3" t="s">
        <v>204</v>
      </c>
      <c r="R2" s="12" t="s">
        <v>205</v>
      </c>
      <c r="S2" s="20" t="s">
        <v>206</v>
      </c>
      <c r="T2" s="3" t="s">
        <v>314</v>
      </c>
      <c r="U2" s="17" t="s">
        <v>203</v>
      </c>
      <c r="V2" s="17" t="s">
        <v>204</v>
      </c>
      <c r="W2" s="12" t="s">
        <v>205</v>
      </c>
      <c r="X2" s="20" t="s">
        <v>206</v>
      </c>
      <c r="Y2" s="3" t="s">
        <v>314</v>
      </c>
      <c r="Z2" s="17" t="s">
        <v>328</v>
      </c>
      <c r="AA2" s="17" t="s">
        <v>329</v>
      </c>
      <c r="AB2" s="12" t="s">
        <v>205</v>
      </c>
      <c r="AC2" s="12" t="s">
        <v>206</v>
      </c>
    </row>
    <row r="3" spans="1:29">
      <c r="A3" s="5">
        <v>1</v>
      </c>
      <c r="B3" s="5" t="s">
        <v>36</v>
      </c>
      <c r="C3" s="6" t="str">
        <f>'Table 2'!E3</f>
        <v>bv</v>
      </c>
      <c r="D3" s="3">
        <f>Sphalerite!U151</f>
        <v>31</v>
      </c>
      <c r="E3" s="17">
        <f>Sphalerite!V151</f>
        <v>5.78</v>
      </c>
      <c r="F3" s="17">
        <f>Sphalerite!W151</f>
        <v>2.4458064516129037</v>
      </c>
      <c r="G3" s="17">
        <f>Sphalerite!X151</f>
        <v>0.52710000000000001</v>
      </c>
      <c r="H3" s="17">
        <f>Sphalerite!Y151</f>
        <v>0.15783870967741936</v>
      </c>
      <c r="I3" s="12">
        <f>Sphalerite!Z151</f>
        <v>34</v>
      </c>
      <c r="J3" s="12">
        <f>Sphalerite!AA151</f>
        <v>7.2510620967741941</v>
      </c>
      <c r="K3" s="12">
        <f>Sphalerite!AB151</f>
        <v>6892</v>
      </c>
      <c r="L3" s="12">
        <f>Sphalerite!AC151</f>
        <v>2311.322580645161</v>
      </c>
      <c r="M3" s="12">
        <f>Sphalerite!AD151</f>
        <v>583.90000000000009</v>
      </c>
      <c r="N3" s="20">
        <f>Sphalerite!AE151</f>
        <v>490.59677419354847</v>
      </c>
      <c r="O3" s="3">
        <f>Chalcopyrite!S220</f>
        <v>13</v>
      </c>
      <c r="P3" s="17">
        <f>Chalcopyrite!T220</f>
        <v>7.1199999999999999E-2</v>
      </c>
      <c r="Q3" s="17">
        <f>Chalcopyrite!U220</f>
        <v>4.2030769230769233E-2</v>
      </c>
      <c r="R3" s="12">
        <f>Chalcopyrite!V220</f>
        <v>21</v>
      </c>
      <c r="S3" s="20">
        <f>Chalcopyrite!W220</f>
        <v>2.8461538461538463</v>
      </c>
      <c r="T3" s="3"/>
      <c r="U3" s="17"/>
      <c r="V3" s="17"/>
      <c r="W3" s="12"/>
      <c r="X3" s="20"/>
      <c r="Y3" s="3"/>
      <c r="Z3" s="17"/>
      <c r="AA3" s="17"/>
      <c r="AB3" s="12"/>
      <c r="AC3" s="12"/>
    </row>
    <row r="4" spans="1:29">
      <c r="A4" s="6">
        <v>2</v>
      </c>
      <c r="B4" s="6" t="s">
        <v>191</v>
      </c>
      <c r="C4" s="6" t="str">
        <f>'Table 2'!E4</f>
        <v>sts</v>
      </c>
      <c r="D4" s="3">
        <f>Sphalerite!U892</f>
        <v>9</v>
      </c>
      <c r="E4" s="17">
        <f>Sphalerite!V892</f>
        <v>8.82</v>
      </c>
      <c r="F4" s="17">
        <f>Sphalerite!W892</f>
        <v>7.6900000000000013</v>
      </c>
      <c r="G4" s="17">
        <f>Sphalerite!X892</f>
        <v>0.21579999999999999</v>
      </c>
      <c r="H4" s="17">
        <f>Sphalerite!Y892</f>
        <v>5.8833333333333328E-2</v>
      </c>
      <c r="I4" s="12">
        <f>10000*Sphalerite!Z892</f>
        <v>82</v>
      </c>
      <c r="J4" s="12">
        <f>10000*Sphalerite!AA892</f>
        <v>16.333333333333336</v>
      </c>
      <c r="K4" s="12">
        <f>10000*Sphalerite!AB892</f>
        <v>10700</v>
      </c>
      <c r="L4" s="12">
        <f>10000*Sphalerite!AC892</f>
        <v>9804.2222222222226</v>
      </c>
      <c r="M4" s="12">
        <f>10000*Sphalerite!AD892</f>
        <v>1004</v>
      </c>
      <c r="N4" s="20">
        <f>10000*Sphalerite!AE892</f>
        <v>865.51666666666665</v>
      </c>
      <c r="O4" s="3">
        <f>Chalcopyrite!S1129</f>
        <v>12</v>
      </c>
      <c r="P4" s="17">
        <f>Chalcopyrite!T1129</f>
        <v>9.5500000000000002E-2</v>
      </c>
      <c r="Q4" s="17">
        <f>Chalcopyrite!U1129</f>
        <v>5.3824999999999991E-2</v>
      </c>
      <c r="R4" s="12">
        <f>Chalcopyrite!V1129</f>
        <v>42</v>
      </c>
      <c r="S4" s="20">
        <f>Chalcopyrite!W1129</f>
        <v>8.8333333333333357</v>
      </c>
      <c r="T4" s="3"/>
      <c r="U4" s="17"/>
      <c r="V4" s="17"/>
      <c r="W4" s="12"/>
      <c r="X4" s="20"/>
      <c r="Y4" s="3"/>
      <c r="Z4" s="17"/>
      <c r="AA4" s="17"/>
      <c r="AB4" s="12"/>
      <c r="AC4" s="12"/>
    </row>
    <row r="5" spans="1:29">
      <c r="A5" s="6">
        <v>3</v>
      </c>
      <c r="B5" s="6" t="s">
        <v>119</v>
      </c>
      <c r="C5" s="6" t="str">
        <f>'Table 2'!E5</f>
        <v>sts</v>
      </c>
      <c r="D5" s="3">
        <f>Sphalerite!U829</f>
        <v>63</v>
      </c>
      <c r="E5" s="17">
        <f>Sphalerite!V829</f>
        <v>4.38</v>
      </c>
      <c r="F5" s="17">
        <f>Sphalerite!W829</f>
        <v>3.5077777777777781</v>
      </c>
      <c r="G5" s="17">
        <f>Sphalerite!X829</f>
        <v>0.96819999999999995</v>
      </c>
      <c r="H5" s="17">
        <f>Sphalerite!Y829</f>
        <v>9.318095238095235E-2</v>
      </c>
      <c r="I5" s="12">
        <f>10000*Sphalerite!Z829</f>
        <v>107</v>
      </c>
      <c r="J5" s="12">
        <f>10000*Sphalerite!AA829</f>
        <v>21.760710714285715</v>
      </c>
      <c r="K5" s="12">
        <f>10000*Sphalerite!AB829</f>
        <v>2153</v>
      </c>
      <c r="L5" s="12">
        <f>10000*Sphalerite!AC829</f>
        <v>869.11111111111074</v>
      </c>
      <c r="M5" s="12">
        <f>10000*Sphalerite!AD829</f>
        <v>1045.7</v>
      </c>
      <c r="N5" s="20">
        <f>10000*Sphalerite!AE829</f>
        <v>880.18174603174566</v>
      </c>
      <c r="O5" s="3"/>
      <c r="P5" s="17"/>
      <c r="Q5" s="17"/>
      <c r="S5" s="20"/>
      <c r="T5" s="3"/>
      <c r="U5" s="17"/>
      <c r="V5" s="17"/>
      <c r="W5" s="12"/>
      <c r="X5" s="20"/>
      <c r="Y5" s="3"/>
      <c r="Z5" s="17"/>
      <c r="AA5" s="17"/>
      <c r="AB5" s="12"/>
      <c r="AC5" s="12"/>
    </row>
    <row r="6" spans="1:29">
      <c r="A6" s="6">
        <v>4</v>
      </c>
      <c r="B6" s="6" t="s">
        <v>426</v>
      </c>
      <c r="C6" s="6" t="str">
        <f>'Table 2'!E6</f>
        <v>sts</v>
      </c>
      <c r="D6" s="3">
        <f>Sphalerite!U911</f>
        <v>18</v>
      </c>
      <c r="E6" s="17">
        <f>Sphalerite!V911</f>
        <v>2.86</v>
      </c>
      <c r="F6" s="17">
        <f>Sphalerite!W911</f>
        <v>1.5422666666666669</v>
      </c>
      <c r="G6" s="17">
        <f>Sphalerite!X911</f>
        <v>2.3099999999999999E-2</v>
      </c>
      <c r="H6" s="17">
        <f>Sphalerite!Y911</f>
        <v>1.4499999999999999E-3</v>
      </c>
      <c r="I6" s="12">
        <f>10000*Sphalerite!Z911</f>
        <v>242</v>
      </c>
      <c r="J6" s="12">
        <f>10000*Sphalerite!AA911</f>
        <v>86.222222222222214</v>
      </c>
      <c r="K6" s="12">
        <f>10000*Sphalerite!AB911</f>
        <v>13899.999999999998</v>
      </c>
      <c r="L6" s="12">
        <f>10000*Sphalerite!AC911</f>
        <v>11555.555555555555</v>
      </c>
      <c r="M6" s="12">
        <f>10000*Sphalerite!AD911</f>
        <v>1082.75</v>
      </c>
      <c r="N6" s="12">
        <f>10000*Sphalerite!AE911</f>
        <v>878.1333333333331</v>
      </c>
      <c r="O6" s="3"/>
      <c r="P6" s="17"/>
      <c r="Q6" s="17"/>
      <c r="S6" s="20"/>
      <c r="T6" s="3"/>
      <c r="U6" s="17"/>
      <c r="V6" s="17"/>
      <c r="W6" s="12"/>
      <c r="X6" s="20"/>
      <c r="Y6" s="3"/>
      <c r="Z6" s="17"/>
      <c r="AA6" s="17"/>
      <c r="AB6" s="12"/>
      <c r="AC6" s="12"/>
    </row>
    <row r="7" spans="1:29">
      <c r="A7" s="35" t="s">
        <v>513</v>
      </c>
      <c r="B7" s="37"/>
      <c r="C7" s="6"/>
      <c r="D7" s="3"/>
      <c r="H7" s="16"/>
      <c r="N7" s="20"/>
      <c r="O7" s="3"/>
      <c r="P7" s="17"/>
      <c r="Q7" s="17"/>
      <c r="S7" s="20"/>
      <c r="T7" s="3"/>
      <c r="U7" s="17"/>
      <c r="V7" s="17"/>
      <c r="W7" s="12"/>
      <c r="X7" s="20"/>
      <c r="Y7" s="3"/>
      <c r="Z7" s="17"/>
      <c r="AA7" s="17"/>
      <c r="AB7" s="12"/>
      <c r="AC7" s="12"/>
    </row>
    <row r="8" spans="1:29">
      <c r="A8" s="7">
        <v>5</v>
      </c>
      <c r="B8" s="34" t="s">
        <v>514</v>
      </c>
      <c r="C8" s="6" t="str">
        <f>'Table 2'!E8</f>
        <v>msk</v>
      </c>
      <c r="D8" s="3"/>
      <c r="H8" s="16"/>
      <c r="N8" s="20"/>
      <c r="O8" s="3"/>
      <c r="P8" s="17"/>
      <c r="Q8" s="17"/>
      <c r="S8" s="20"/>
      <c r="T8" s="3"/>
      <c r="U8" s="17"/>
      <c r="V8" s="17"/>
      <c r="W8" s="12"/>
      <c r="X8" s="20"/>
      <c r="Y8" s="3"/>
      <c r="Z8" s="17"/>
      <c r="AA8" s="17"/>
      <c r="AB8" s="12"/>
      <c r="AC8" s="12"/>
    </row>
    <row r="9" spans="1:29">
      <c r="A9" s="5">
        <v>6</v>
      </c>
      <c r="B9" s="5" t="s">
        <v>520</v>
      </c>
      <c r="C9" s="6" t="str">
        <f>'Table 2'!E9</f>
        <v>msk</v>
      </c>
      <c r="D9" s="3"/>
      <c r="H9" s="16"/>
      <c r="N9" s="20"/>
      <c r="O9" s="3"/>
      <c r="P9" s="17"/>
      <c r="Q9" s="17"/>
      <c r="S9" s="20"/>
      <c r="T9" s="3"/>
      <c r="U9" s="17"/>
      <c r="V9" s="17"/>
      <c r="W9" s="12"/>
      <c r="X9" s="20"/>
      <c r="Y9" s="3"/>
      <c r="Z9" s="17"/>
      <c r="AA9" s="17"/>
      <c r="AB9" s="12"/>
      <c r="AC9" s="12"/>
    </row>
    <row r="10" spans="1:29">
      <c r="A10" s="6">
        <v>7</v>
      </c>
      <c r="B10" s="6" t="s">
        <v>121</v>
      </c>
      <c r="C10" s="6" t="str">
        <f>'Table 2'!E10</f>
        <v>msk</v>
      </c>
      <c r="D10" s="3">
        <f>Sphalerite!U901</f>
        <v>10</v>
      </c>
      <c r="E10" s="17">
        <f>Sphalerite!V901</f>
        <v>5.29</v>
      </c>
      <c r="F10" s="17">
        <f>Sphalerite!W901</f>
        <v>3.9740000000000002</v>
      </c>
      <c r="G10" s="17">
        <f>Sphalerite!X901</f>
        <v>0.87380000000000002</v>
      </c>
      <c r="H10" s="17">
        <f>Sphalerite!Y901</f>
        <v>0.55064000000000002</v>
      </c>
      <c r="I10" s="12">
        <f>10000*Sphalerite!Z901</f>
        <v>1311</v>
      </c>
      <c r="J10" s="12">
        <f>10000*Sphalerite!AA901</f>
        <v>541.4</v>
      </c>
      <c r="K10" s="12">
        <f>10000*Sphalerite!AB901</f>
        <v>2628</v>
      </c>
      <c r="L10" s="12">
        <f>10000*Sphalerite!AC901</f>
        <v>2402.1</v>
      </c>
      <c r="M10" s="12">
        <f>10000*Sphalerite!AD901</f>
        <v>1064.3</v>
      </c>
      <c r="N10" s="12">
        <f>10000*Sphalerite!AE901</f>
        <v>965.02999999999986</v>
      </c>
      <c r="O10" s="3">
        <f>Chalcopyrite!S1141</f>
        <v>9</v>
      </c>
      <c r="P10" s="17">
        <f>Chalcopyrite!T1141</f>
        <v>0.6321</v>
      </c>
      <c r="Q10" s="17">
        <f>Chalcopyrite!U1141</f>
        <v>0.13403333333333334</v>
      </c>
      <c r="R10" s="12">
        <f>Chalcopyrite!V1141</f>
        <v>85</v>
      </c>
      <c r="S10" s="12">
        <f>Chalcopyrite!W1141</f>
        <v>62.55555555555555</v>
      </c>
      <c r="T10" s="3"/>
      <c r="U10" s="17"/>
      <c r="V10" s="17"/>
      <c r="W10" s="12"/>
      <c r="X10" s="20"/>
      <c r="Y10" s="3"/>
      <c r="Z10" s="17"/>
      <c r="AA10" s="17"/>
      <c r="AB10" s="12"/>
      <c r="AC10" s="12"/>
    </row>
    <row r="11" spans="1:29">
      <c r="A11" s="6">
        <v>8</v>
      </c>
      <c r="B11" s="6" t="s">
        <v>60</v>
      </c>
      <c r="C11" s="6" t="str">
        <f>'Table 2'!E11</f>
        <v>ssk</v>
      </c>
      <c r="D11" s="3">
        <f>Sphalerite!U627</f>
        <v>23</v>
      </c>
      <c r="E11" s="17">
        <f>Sphalerite!V627</f>
        <v>13.35</v>
      </c>
      <c r="F11" s="17">
        <f>Sphalerite!W627</f>
        <v>12.697826086956519</v>
      </c>
      <c r="G11" s="17">
        <f>Sphalerite!X627</f>
        <v>0.12790000000000001</v>
      </c>
      <c r="H11" s="17">
        <f>Sphalerite!Y627</f>
        <v>6.8199999999999997E-2</v>
      </c>
      <c r="I11" s="12">
        <f>Sphalerite!Z627</f>
        <v>1241</v>
      </c>
      <c r="J11" s="12">
        <f>Sphalerite!AA627</f>
        <v>891.21739130434776</v>
      </c>
      <c r="K11" s="12">
        <f>Sphalerite!AB627</f>
        <v>4771</v>
      </c>
      <c r="L11" s="12">
        <f>Sphalerite!AC627</f>
        <v>4478.0434782608681</v>
      </c>
      <c r="M11" s="12">
        <f>Sphalerite!AD627</f>
        <v>395.15000000000003</v>
      </c>
      <c r="N11" s="20">
        <f>Sphalerite!AE627</f>
        <v>219.7</v>
      </c>
      <c r="O11" s="3">
        <f>Chalcopyrite!S249</f>
        <v>25</v>
      </c>
      <c r="P11" s="17">
        <f>Chalcopyrite!T249</f>
        <v>0.86119999999999997</v>
      </c>
      <c r="Q11" s="17">
        <f>Chalcopyrite!U249</f>
        <v>0.13730799999999999</v>
      </c>
      <c r="R11" s="12">
        <f>Chalcopyrite!V249</f>
        <v>438.16790000000003</v>
      </c>
      <c r="S11" s="20">
        <f>Chalcopyrite!W249</f>
        <v>102.28671600000001</v>
      </c>
      <c r="T11" s="3"/>
      <c r="U11" s="17"/>
      <c r="V11" s="17"/>
      <c r="W11" s="12"/>
      <c r="X11" s="20"/>
      <c r="Y11" s="3"/>
      <c r="Z11" s="17"/>
      <c r="AA11" s="17"/>
      <c r="AB11" s="12"/>
      <c r="AC11" s="12"/>
    </row>
    <row r="12" spans="1:29">
      <c r="A12" s="6">
        <v>9</v>
      </c>
      <c r="B12" s="6" t="s">
        <v>533</v>
      </c>
      <c r="C12" s="6" t="str">
        <f>'Table 2'!E12</f>
        <v>ssk</v>
      </c>
      <c r="D12" s="3"/>
      <c r="E12" s="17"/>
      <c r="F12" s="17"/>
      <c r="G12" s="17"/>
      <c r="H12" s="17"/>
      <c r="N12" s="20"/>
      <c r="O12" s="3"/>
      <c r="P12" s="17"/>
      <c r="Q12" s="17"/>
      <c r="S12" s="20"/>
      <c r="T12" s="3"/>
      <c r="U12" s="17"/>
      <c r="V12" s="17"/>
      <c r="W12" s="12"/>
      <c r="X12" s="20"/>
      <c r="Y12" s="3"/>
      <c r="Z12" s="17"/>
      <c r="AA12" s="17"/>
      <c r="AB12" s="12"/>
      <c r="AC12" s="12"/>
    </row>
    <row r="13" spans="1:29">
      <c r="A13" s="6">
        <v>10</v>
      </c>
      <c r="B13" s="6" t="s">
        <v>171</v>
      </c>
      <c r="C13" s="6" t="str">
        <f>'Table 2'!E13</f>
        <v>ssk</v>
      </c>
      <c r="D13" s="3">
        <f>Sphalerite!U317</f>
        <v>20</v>
      </c>
      <c r="E13" s="17">
        <f>Sphalerite!V317</f>
        <v>6.11</v>
      </c>
      <c r="F13" s="17">
        <f>Sphalerite!W317</f>
        <v>5.452</v>
      </c>
      <c r="G13" s="17">
        <f>Sphalerite!X317</f>
        <v>6.41</v>
      </c>
      <c r="H13" s="17">
        <f>Sphalerite!Y317</f>
        <v>5.74</v>
      </c>
      <c r="I13" s="12">
        <f>Sphalerite!Z317</f>
        <v>11900</v>
      </c>
      <c r="J13" s="12">
        <f>Sphalerite!AA317</f>
        <v>6062.25</v>
      </c>
      <c r="K13" s="12">
        <f>Sphalerite!AB317</f>
        <v>1898</v>
      </c>
      <c r="L13" s="12">
        <f>Sphalerite!AC317</f>
        <v>1482.3000000000002</v>
      </c>
      <c r="M13" s="12">
        <f>Sphalerite!AD317</f>
        <v>677</v>
      </c>
      <c r="N13" s="20">
        <f>Sphalerite!AE317</f>
        <v>479.58749999999986</v>
      </c>
      <c r="O13" s="3">
        <f>Chalcopyrite!S267</f>
        <v>21</v>
      </c>
      <c r="P13" s="17">
        <f>Chalcopyrite!T267</f>
        <v>0.10150000000000001</v>
      </c>
      <c r="Q13" s="17">
        <f>Chalcopyrite!U267</f>
        <v>4.0842857142857153E-2</v>
      </c>
      <c r="R13" s="12">
        <f>Chalcopyrite!V267</f>
        <v>1331</v>
      </c>
      <c r="S13" s="20">
        <f>Chalcopyrite!W267</f>
        <v>1143.0952380952383</v>
      </c>
      <c r="T13" s="3"/>
      <c r="U13" s="17"/>
      <c r="V13" s="17"/>
      <c r="W13" s="12"/>
      <c r="X13" s="20"/>
      <c r="Y13" s="3">
        <f>Cassiterite!U38</f>
        <v>4</v>
      </c>
      <c r="Z13" s="17">
        <f>Cassiterite!V38</f>
        <v>0.28970000000000001</v>
      </c>
      <c r="AA13" s="17">
        <f>Cassiterite!W38</f>
        <v>0.12890000000000001</v>
      </c>
      <c r="AB13" s="12">
        <f>Cassiterite!X38</f>
        <v>235.27374999999989</v>
      </c>
      <c r="AC13" s="12">
        <f>Cassiterite!Y38</f>
        <v>186.48187499999995</v>
      </c>
    </row>
    <row r="14" spans="1:29">
      <c r="A14" s="5">
        <v>11</v>
      </c>
      <c r="B14" s="5" t="s">
        <v>17</v>
      </c>
      <c r="C14" s="6" t="str">
        <f>'Table 2'!E14</f>
        <v>gbsv (psl)</v>
      </c>
      <c r="D14" s="3">
        <f>Sphalerite!U11</f>
        <v>15</v>
      </c>
      <c r="E14" s="17">
        <f>Sphalerite!V11</f>
        <v>1.95</v>
      </c>
      <c r="F14" s="17">
        <f>Sphalerite!W11</f>
        <v>1.5782133333333332</v>
      </c>
      <c r="G14" s="17">
        <f>Sphalerite!X11</f>
        <v>0.39900000000000002</v>
      </c>
      <c r="H14" s="17">
        <f>Sphalerite!Y11</f>
        <v>8.1906666666666655E-2</v>
      </c>
      <c r="I14" s="12">
        <f>Sphalerite!Z11</f>
        <v>743</v>
      </c>
      <c r="J14" s="12">
        <f>Sphalerite!AA11</f>
        <v>322.33477166666665</v>
      </c>
      <c r="K14" s="12">
        <f>Sphalerite!AB11</f>
        <v>1538</v>
      </c>
      <c r="L14" s="12">
        <f>Sphalerite!AC11</f>
        <v>1400.0666666666671</v>
      </c>
      <c r="M14" s="12">
        <f>Sphalerite!AD11</f>
        <v>643.20000000000005</v>
      </c>
      <c r="N14" s="20">
        <f>Sphalerite!AE11</f>
        <v>514.71333333333325</v>
      </c>
      <c r="O14" s="3">
        <f>Chalcopyrite!S65</f>
        <v>67</v>
      </c>
      <c r="P14" s="17">
        <f>Chalcopyrite!T65</f>
        <v>0.1477</v>
      </c>
      <c r="Q14" s="17">
        <f>Chalcopyrite!U65</f>
        <v>3.3013432835820901E-2</v>
      </c>
      <c r="R14" s="12">
        <f>Chalcopyrite!V65</f>
        <v>539</v>
      </c>
      <c r="S14" s="20">
        <f>Chalcopyrite!W65</f>
        <v>339.716417910448</v>
      </c>
      <c r="T14" s="3">
        <f>'Stannite-kesterite'!V29</f>
        <v>17</v>
      </c>
      <c r="U14" s="17">
        <f>'Stannite-kesterite'!W29</f>
        <v>13.61</v>
      </c>
      <c r="V14" s="17">
        <f>'Stannite-kesterite'!X29</f>
        <v>8.3670588235294119</v>
      </c>
      <c r="W14" s="12">
        <f>'Stannite-kesterite'!Y29</f>
        <v>659.78375000000005</v>
      </c>
      <c r="X14" s="20">
        <f>'Stannite-kesterite'!Z29</f>
        <v>434.80441176470589</v>
      </c>
      <c r="Y14" s="3">
        <f>Cassiterite!U71</f>
        <v>6</v>
      </c>
      <c r="Z14" s="17">
        <f>Cassiterite!V71</f>
        <v>0.30320000000000003</v>
      </c>
      <c r="AA14" s="17">
        <f>Cassiterite!W71</f>
        <v>0.14641666666666667</v>
      </c>
      <c r="AB14" s="12">
        <f>Cassiterite!X71</f>
        <v>426.19999999999993</v>
      </c>
      <c r="AC14" s="12">
        <f>Cassiterite!Y71</f>
        <v>353.73937499999994</v>
      </c>
    </row>
    <row r="15" spans="1:29">
      <c r="A15" s="5">
        <v>12</v>
      </c>
      <c r="B15" s="5" t="s">
        <v>44</v>
      </c>
      <c r="C15" s="6" t="str">
        <f>'Table 2'!E15</f>
        <v>gbsv - psl</v>
      </c>
      <c r="D15" s="3">
        <f>Sphalerite!U337</f>
        <v>89</v>
      </c>
      <c r="E15" s="17">
        <f>Sphalerite!V337</f>
        <v>14.86</v>
      </c>
      <c r="F15" s="17">
        <f>Sphalerite!W337</f>
        <v>9.4704494382022446</v>
      </c>
      <c r="G15" s="17">
        <f>Sphalerite!X337</f>
        <v>2.81</v>
      </c>
      <c r="H15" s="17">
        <f>Sphalerite!Y337</f>
        <v>0.31774269662921345</v>
      </c>
      <c r="I15" s="12">
        <f>Sphalerite!Z337</f>
        <v>2013</v>
      </c>
      <c r="J15" s="12">
        <f>Sphalerite!AA337</f>
        <v>406.88072780898881</v>
      </c>
      <c r="K15" s="12">
        <f>Sphalerite!AB337</f>
        <v>6911.0000000000009</v>
      </c>
      <c r="L15" s="12">
        <f>Sphalerite!AC337</f>
        <v>3860.3707865168535</v>
      </c>
      <c r="M15" s="12">
        <f>Sphalerite!AD337</f>
        <v>561.6</v>
      </c>
      <c r="N15" s="20">
        <f>Sphalerite!AE337</f>
        <v>345.47415730337065</v>
      </c>
      <c r="O15" s="3">
        <f>Chalcopyrite!S288</f>
        <v>132</v>
      </c>
      <c r="P15" s="17">
        <f>Chalcopyrite!T288</f>
        <v>0.40660000000000002</v>
      </c>
      <c r="Q15" s="17">
        <f>Chalcopyrite!U288</f>
        <v>6.8350000000000036E-2</v>
      </c>
      <c r="R15" s="12">
        <f>Chalcopyrite!V288</f>
        <v>1147</v>
      </c>
      <c r="S15" s="20">
        <f>Chalcopyrite!W288</f>
        <v>157.36363636363635</v>
      </c>
      <c r="T15" s="3">
        <f>'Stannite-kesterite'!V62</f>
        <v>7</v>
      </c>
      <c r="U15" s="17">
        <f>'Stannite-kesterite'!W62</f>
        <v>5.16</v>
      </c>
      <c r="V15" s="17">
        <f>'Stannite-kesterite'!X62</f>
        <v>3.9885714285714284</v>
      </c>
      <c r="W15" s="12">
        <f>'Stannite-kesterite'!Y62</f>
        <v>265.27125000000001</v>
      </c>
      <c r="X15" s="20">
        <f>'Stannite-kesterite'!Z62</f>
        <v>229.38124999999999</v>
      </c>
      <c r="Y15" s="3">
        <f>Cassiterite!U37</f>
        <v>6</v>
      </c>
      <c r="Z15" s="17">
        <f>Cassiterite!V37</f>
        <v>0.25719999999999998</v>
      </c>
      <c r="AA15" s="17">
        <f>Cassiterite!W37</f>
        <v>8.8283333333333325E-2</v>
      </c>
      <c r="AB15" s="12">
        <f>Cassiterite!X37</f>
        <v>758.41250000000002</v>
      </c>
      <c r="AC15" s="12">
        <f>Cassiterite!Y37</f>
        <v>584.82458333333341</v>
      </c>
    </row>
    <row r="16" spans="1:29">
      <c r="A16" s="5">
        <v>13</v>
      </c>
      <c r="B16" s="5" t="s">
        <v>550</v>
      </c>
      <c r="C16" s="6" t="str">
        <f>'Table 2'!E16</f>
        <v>qtv</v>
      </c>
      <c r="D16" s="3"/>
      <c r="H16" s="16"/>
      <c r="N16" s="20"/>
      <c r="O16" s="3"/>
      <c r="P16" s="17"/>
      <c r="Q16" s="17"/>
      <c r="S16" s="20"/>
      <c r="T16" s="3"/>
      <c r="U16" s="17"/>
      <c r="V16" s="17"/>
      <c r="W16" s="12"/>
      <c r="X16" s="20"/>
      <c r="Y16" s="3"/>
      <c r="Z16" s="17"/>
      <c r="AA16" s="17"/>
      <c r="AB16" s="12"/>
      <c r="AC16" s="12"/>
    </row>
    <row r="17" spans="1:29">
      <c r="A17" s="5">
        <v>14</v>
      </c>
      <c r="B17" s="5" t="s">
        <v>556</v>
      </c>
      <c r="C17" s="6" t="str">
        <f>'Table 2'!E17</f>
        <v>qtv</v>
      </c>
      <c r="D17" s="3"/>
      <c r="H17" s="16"/>
      <c r="N17" s="20"/>
      <c r="O17" s="3"/>
      <c r="P17" s="17"/>
      <c r="Q17" s="17"/>
      <c r="S17" s="20"/>
      <c r="T17" s="3"/>
      <c r="U17" s="17"/>
      <c r="V17" s="17"/>
      <c r="W17" s="12"/>
      <c r="X17" s="20"/>
      <c r="Y17" s="3"/>
      <c r="Z17" s="17"/>
      <c r="AA17" s="17"/>
      <c r="AB17" s="12"/>
      <c r="AC17" s="12"/>
    </row>
    <row r="18" spans="1:29">
      <c r="A18" s="5">
        <v>15</v>
      </c>
      <c r="B18" s="5" t="s">
        <v>560</v>
      </c>
      <c r="C18" s="6" t="str">
        <f>'Table 2'!E18</f>
        <v>qtv</v>
      </c>
      <c r="D18" s="3"/>
      <c r="H18" s="16"/>
      <c r="N18" s="20"/>
      <c r="O18" s="3"/>
      <c r="P18" s="17"/>
      <c r="Q18" s="17"/>
      <c r="S18" s="20"/>
      <c r="T18" s="3"/>
      <c r="U18" s="17"/>
      <c r="V18" s="17"/>
      <c r="W18" s="12"/>
      <c r="X18" s="20"/>
      <c r="Y18" s="3"/>
      <c r="Z18" s="17"/>
      <c r="AA18" s="17"/>
      <c r="AB18" s="12"/>
      <c r="AC18" s="12"/>
    </row>
    <row r="19" spans="1:29">
      <c r="A19" s="5">
        <v>16</v>
      </c>
      <c r="B19" s="6" t="s">
        <v>38</v>
      </c>
      <c r="C19" s="6" t="str">
        <f>'Table 2'!E19</f>
        <v>psl</v>
      </c>
      <c r="D19" s="3">
        <f>Sphalerite!U103</f>
        <v>45</v>
      </c>
      <c r="E19" s="17">
        <f>Sphalerite!V103</f>
        <v>11.83</v>
      </c>
      <c r="F19" s="17">
        <f>Sphalerite!W103</f>
        <v>10.475111111111111</v>
      </c>
      <c r="G19" s="17">
        <f>Sphalerite!X103</f>
        <v>4.3899999999999997</v>
      </c>
      <c r="H19" s="17">
        <f>Sphalerite!Y103</f>
        <v>0.55967111111111123</v>
      </c>
      <c r="I19" s="12">
        <f>Sphalerite!Z103</f>
        <v>839</v>
      </c>
      <c r="J19" s="12">
        <f>Sphalerite!AA103</f>
        <v>263.11111111111114</v>
      </c>
      <c r="K19" s="12">
        <f>Sphalerite!AB103</f>
        <v>2095</v>
      </c>
      <c r="L19" s="12">
        <f>Sphalerite!AC103</f>
        <v>1440.0222222222219</v>
      </c>
      <c r="M19" s="12">
        <f>Sphalerite!AD103</f>
        <v>396.40000000000003</v>
      </c>
      <c r="N19" s="20">
        <f>Sphalerite!AE103</f>
        <v>260.68888888888887</v>
      </c>
      <c r="O19" s="3">
        <f>Chalcopyrite!S347</f>
        <v>57</v>
      </c>
      <c r="P19" s="17">
        <f>Chalcopyrite!T347</f>
        <v>5.0500000000000003E-2</v>
      </c>
      <c r="Q19" s="17">
        <f>Chalcopyrite!U347</f>
        <v>2.0256140350877194E-2</v>
      </c>
      <c r="R19" s="12">
        <f>Chalcopyrite!V347</f>
        <v>822</v>
      </c>
      <c r="S19" s="20">
        <f>Chalcopyrite!W347</f>
        <v>203.38596491228071</v>
      </c>
      <c r="T19" s="3"/>
      <c r="U19" s="17"/>
      <c r="V19" s="17"/>
      <c r="W19" s="12"/>
      <c r="X19" s="20"/>
      <c r="Y19" s="3">
        <f>Cassiterite!U19</f>
        <v>18</v>
      </c>
      <c r="Z19" s="17">
        <f>Cassiterite!V19</f>
        <v>1.32</v>
      </c>
      <c r="AA19" s="17">
        <f>Cassiterite!W19</f>
        <v>0.30806111111111112</v>
      </c>
      <c r="AB19" s="12">
        <f>Cassiterite!X19</f>
        <v>1876.1400000000003</v>
      </c>
      <c r="AC19" s="12">
        <f>Cassiterite!Y19</f>
        <v>863.38111111111118</v>
      </c>
    </row>
    <row r="20" spans="1:29">
      <c r="A20" s="5">
        <v>17</v>
      </c>
      <c r="B20" s="6" t="s">
        <v>49</v>
      </c>
      <c r="C20" s="6" t="str">
        <f>'Table 2'!E20</f>
        <v>psl</v>
      </c>
      <c r="D20" s="3">
        <f>Sphalerite!U361</f>
        <v>6</v>
      </c>
      <c r="E20" s="17">
        <f>Sphalerite!V361</f>
        <v>4.1399999999999997</v>
      </c>
      <c r="F20" s="17">
        <f>Sphalerite!W361</f>
        <v>3.9649999999999999</v>
      </c>
      <c r="G20" s="17">
        <f>Sphalerite!X361</f>
        <v>0.62150000000000005</v>
      </c>
      <c r="H20" s="17">
        <f>Sphalerite!Y361</f>
        <v>0.30906666666666666</v>
      </c>
      <c r="I20" s="12">
        <f>Sphalerite!Z361</f>
        <v>1953</v>
      </c>
      <c r="J20" s="12">
        <f>Sphalerite!AA361</f>
        <v>1409.8333333333333</v>
      </c>
      <c r="K20" s="12">
        <f>Sphalerite!AB361</f>
        <v>2970.9999999999995</v>
      </c>
      <c r="L20" s="12">
        <f>Sphalerite!AC361</f>
        <v>2929.833333333333</v>
      </c>
      <c r="M20" s="12">
        <f>Sphalerite!AD361</f>
        <v>438.9</v>
      </c>
      <c r="N20" s="20">
        <f>Sphalerite!AE361</f>
        <v>370.67500000000001</v>
      </c>
      <c r="O20" s="3">
        <f>Chalcopyrite!S319</f>
        <v>28</v>
      </c>
      <c r="P20" s="17">
        <f>Chalcopyrite!T319</f>
        <v>8.9399999999999993E-2</v>
      </c>
      <c r="Q20" s="17">
        <f>Chalcopyrite!U319</f>
        <v>2.5227999999999997E-2</v>
      </c>
      <c r="R20" s="12">
        <f>Chalcopyrite!V319</f>
        <v>947.00000000000011</v>
      </c>
      <c r="S20" s="20">
        <f>Chalcopyrite!W319</f>
        <v>342.32142857142861</v>
      </c>
      <c r="T20" s="3">
        <f>'Stannite-kesterite'!V2</f>
        <v>27</v>
      </c>
      <c r="U20" s="17">
        <f>'Stannite-kesterite'!W2</f>
        <v>9.1999999999999993</v>
      </c>
      <c r="V20" s="17">
        <f>'Stannite-kesterite'!X2</f>
        <v>3.1114814814814822</v>
      </c>
      <c r="W20" s="12">
        <f>'Stannite-kesterite'!Y2</f>
        <v>6814.6774999999989</v>
      </c>
      <c r="X20" s="20">
        <f>'Stannite-kesterite'!Z2</f>
        <v>3167.8138888888898</v>
      </c>
      <c r="Y20" s="3"/>
      <c r="Z20" s="17"/>
      <c r="AA20" s="17"/>
      <c r="AB20" s="12"/>
      <c r="AC20" s="12"/>
    </row>
    <row r="21" spans="1:29">
      <c r="A21" s="5">
        <v>18</v>
      </c>
      <c r="B21" s="5" t="s">
        <v>24</v>
      </c>
      <c r="C21" s="6" t="str">
        <f>'Table 2'!E21</f>
        <v>psl</v>
      </c>
      <c r="D21" s="3">
        <f>Sphalerite!U26</f>
        <v>59</v>
      </c>
      <c r="E21" s="17">
        <f>Sphalerite!V26</f>
        <v>12.01</v>
      </c>
      <c r="F21" s="17">
        <f>Sphalerite!W26</f>
        <v>8.5161220338983075</v>
      </c>
      <c r="G21" s="17">
        <f>Sphalerite!X26</f>
        <v>7.27</v>
      </c>
      <c r="H21" s="17">
        <f>Sphalerite!Y26</f>
        <v>0.84922372881355934</v>
      </c>
      <c r="I21" s="12">
        <f>Sphalerite!Z26</f>
        <v>14200</v>
      </c>
      <c r="J21" s="12">
        <f>Sphalerite!AA26</f>
        <v>1416.0218353813564</v>
      </c>
      <c r="K21" s="12">
        <f>Sphalerite!AB26</f>
        <v>9474</v>
      </c>
      <c r="L21" s="12">
        <f>Sphalerite!AC26</f>
        <v>1645.6949152542384</v>
      </c>
      <c r="M21" s="12">
        <f>Sphalerite!AD26</f>
        <v>610.15</v>
      </c>
      <c r="N21" s="20">
        <f>Sphalerite!AE26</f>
        <v>348.44406779661017</v>
      </c>
      <c r="O21" s="3">
        <f>Chalcopyrite!S132</f>
        <v>67</v>
      </c>
      <c r="P21" s="17">
        <f>Chalcopyrite!T132</f>
        <v>0.56430000000000002</v>
      </c>
      <c r="Q21" s="17">
        <f>Chalcopyrite!U132</f>
        <v>5.65358208955224E-2</v>
      </c>
      <c r="R21" s="12">
        <f>Chalcopyrite!V132</f>
        <v>2214</v>
      </c>
      <c r="S21" s="20">
        <f>Chalcopyrite!W132</f>
        <v>648.01002686567165</v>
      </c>
      <c r="T21" s="3"/>
      <c r="U21" s="17"/>
      <c r="V21" s="17"/>
      <c r="W21" s="12"/>
      <c r="X21" s="20"/>
      <c r="Y21" s="3">
        <f>Cassiterite!U13</f>
        <v>16</v>
      </c>
      <c r="Z21" s="17">
        <f>Cassiterite!V13</f>
        <v>1.71</v>
      </c>
      <c r="AA21" s="17">
        <f>Cassiterite!W13</f>
        <v>0.37696874999999996</v>
      </c>
      <c r="AB21" s="12">
        <f>Cassiterite!X13</f>
        <v>1554.1587500000003</v>
      </c>
      <c r="AC21" s="12">
        <f>Cassiterite!Y13</f>
        <v>507.4975781249999</v>
      </c>
    </row>
    <row r="22" spans="1:29">
      <c r="A22" s="5">
        <v>19</v>
      </c>
      <c r="B22" s="6" t="s">
        <v>46</v>
      </c>
      <c r="C22" s="6" t="str">
        <f>'Table 2'!E22</f>
        <v>psl</v>
      </c>
      <c r="D22" s="3"/>
      <c r="H22" s="16"/>
      <c r="N22" s="20"/>
      <c r="O22" s="3"/>
      <c r="P22" s="17"/>
      <c r="Q22" s="17"/>
      <c r="S22" s="20"/>
      <c r="T22" s="3"/>
      <c r="U22" s="17"/>
      <c r="V22" s="17"/>
      <c r="W22" s="12"/>
      <c r="X22" s="20"/>
      <c r="Y22" s="3"/>
      <c r="Z22" s="17"/>
      <c r="AA22" s="17"/>
      <c r="AB22" s="12"/>
      <c r="AC22" s="12"/>
    </row>
    <row r="23" spans="1:29">
      <c r="A23" s="5">
        <v>20</v>
      </c>
      <c r="B23" s="5" t="s">
        <v>579</v>
      </c>
      <c r="C23" s="6" t="str">
        <f>'Table 2'!E23</f>
        <v>qtv - psl</v>
      </c>
      <c r="D23" s="3"/>
      <c r="H23" s="16"/>
      <c r="N23" s="20"/>
      <c r="O23" s="3"/>
      <c r="P23" s="17"/>
      <c r="Q23" s="17"/>
      <c r="S23" s="20"/>
      <c r="T23" s="3"/>
      <c r="U23" s="17"/>
      <c r="V23" s="17"/>
      <c r="W23" s="12"/>
      <c r="X23" s="20"/>
      <c r="Y23" s="3"/>
      <c r="Z23" s="17"/>
      <c r="AA23" s="17"/>
      <c r="AB23" s="12"/>
      <c r="AC23" s="12"/>
    </row>
    <row r="24" spans="1:29">
      <c r="A24" s="5">
        <v>21</v>
      </c>
      <c r="B24" s="5" t="s">
        <v>53</v>
      </c>
      <c r="C24" s="6" t="str">
        <f>'Table 2'!E24</f>
        <v>psl</v>
      </c>
      <c r="D24" s="3">
        <f>Sphalerite!U367</f>
        <v>64</v>
      </c>
      <c r="E24" s="17">
        <f>Sphalerite!V367</f>
        <v>8.35</v>
      </c>
      <c r="F24" s="17">
        <f>Sphalerite!W367</f>
        <v>6.2429687500000002</v>
      </c>
      <c r="G24" s="17">
        <f>Sphalerite!X367</f>
        <v>0.72470000000000001</v>
      </c>
      <c r="H24" s="17">
        <f>Sphalerite!Y367</f>
        <v>7.6621875000000006E-2</v>
      </c>
      <c r="I24" s="12">
        <f>Sphalerite!Z367</f>
        <v>13600.000000000002</v>
      </c>
      <c r="J24" s="12">
        <f>Sphalerite!AA367</f>
        <v>1010.5646724609376</v>
      </c>
      <c r="K24" s="12">
        <f>Sphalerite!AB367</f>
        <v>1684</v>
      </c>
      <c r="L24" s="12">
        <f>Sphalerite!AC367</f>
        <v>1402.6562499999998</v>
      </c>
      <c r="M24" s="12">
        <f>Sphalerite!AD367</f>
        <v>517.25</v>
      </c>
      <c r="N24" s="20">
        <f>Sphalerite!AE367</f>
        <v>315.13828125000003</v>
      </c>
      <c r="O24" s="3">
        <f>Chalcopyrite!S405</f>
        <v>57</v>
      </c>
      <c r="P24" s="17">
        <f>Chalcopyrite!T405</f>
        <v>0.47860000000000003</v>
      </c>
      <c r="Q24" s="17">
        <f>Chalcopyrite!U405</f>
        <v>5.4901754385964924E-2</v>
      </c>
      <c r="R24" s="12">
        <f>Chalcopyrite!V405</f>
        <v>203</v>
      </c>
      <c r="S24" s="20">
        <f>Chalcopyrite!W405</f>
        <v>59.981408333333334</v>
      </c>
      <c r="T24" s="3"/>
      <c r="U24" s="17"/>
      <c r="V24" s="17"/>
      <c r="W24" s="12"/>
      <c r="X24" s="20"/>
      <c r="Y24" s="3"/>
      <c r="Z24" s="17"/>
      <c r="AA24" s="17"/>
      <c r="AB24" s="12"/>
      <c r="AC24" s="12"/>
    </row>
    <row r="25" spans="1:29">
      <c r="A25" s="5">
        <v>22</v>
      </c>
      <c r="B25" s="5" t="s">
        <v>135</v>
      </c>
      <c r="C25" s="6" t="str">
        <f>'Table 2'!E25</f>
        <v>psl</v>
      </c>
      <c r="D25" s="3"/>
      <c r="H25" s="16"/>
      <c r="N25" s="20"/>
      <c r="O25" s="3"/>
      <c r="P25" s="17"/>
      <c r="Q25" s="17"/>
      <c r="S25" s="20"/>
      <c r="T25" s="3"/>
      <c r="U25" s="17"/>
      <c r="V25" s="17"/>
      <c r="W25" s="12"/>
      <c r="X25" s="20"/>
      <c r="Y25" s="3">
        <f>Cassiterite!U77</f>
        <v>7</v>
      </c>
      <c r="Z25" s="17">
        <f>Cassiterite!V77</f>
        <v>0.80630000000000002</v>
      </c>
      <c r="AA25" s="17">
        <f>Cassiterite!W77</f>
        <v>0.43062857142857142</v>
      </c>
      <c r="AB25" s="12">
        <f>Cassiterite!X77</f>
        <v>495.90749999999991</v>
      </c>
      <c r="AC25" s="12">
        <f>Cassiterite!Y77</f>
        <v>465.48428571428559</v>
      </c>
    </row>
    <row r="26" spans="1:29">
      <c r="A26" s="5">
        <v>23</v>
      </c>
      <c r="B26" s="6" t="s">
        <v>187</v>
      </c>
      <c r="C26" s="6" t="str">
        <f>'Table 2'!E26</f>
        <v>psl</v>
      </c>
      <c r="D26" s="3">
        <f>Sphalerite!U447</f>
        <v>27</v>
      </c>
      <c r="E26" s="17">
        <f>Sphalerite!V447</f>
        <v>4.4400000000000004</v>
      </c>
      <c r="F26" s="17">
        <f>Sphalerite!W447</f>
        <v>1.3885407407407409</v>
      </c>
      <c r="G26" s="17">
        <f>Sphalerite!X447</f>
        <v>4.57</v>
      </c>
      <c r="H26" s="17">
        <f>Sphalerite!Y447</f>
        <v>0.76789629629629619</v>
      </c>
      <c r="I26" s="12">
        <f>Sphalerite!Z447</f>
        <v>2632.2145125000002</v>
      </c>
      <c r="J26" s="12">
        <f>Sphalerite!AA447</f>
        <v>1191.0930740740739</v>
      </c>
      <c r="K26" s="12">
        <f>Sphalerite!AB447</f>
        <v>1452</v>
      </c>
      <c r="L26" s="12">
        <f>Sphalerite!AC447</f>
        <v>1300.148148148148</v>
      </c>
      <c r="M26" s="12">
        <f>Sphalerite!AD447</f>
        <v>666.1</v>
      </c>
      <c r="N26" s="20">
        <f>Sphalerite!AE447</f>
        <v>467.36111111111103</v>
      </c>
      <c r="O26" s="3">
        <f>Chalcopyrite!S531</f>
        <v>31</v>
      </c>
      <c r="P26" s="17">
        <f>Chalcopyrite!T531</f>
        <v>9.6299999999999997E-2</v>
      </c>
      <c r="Q26" s="17">
        <f>Chalcopyrite!U531</f>
        <v>3.6248387096774193E-2</v>
      </c>
      <c r="R26" s="12">
        <f>Chalcopyrite!V531</f>
        <v>685</v>
      </c>
      <c r="S26" s="20">
        <f>Chalcopyrite!W531</f>
        <v>430.45161290322585</v>
      </c>
      <c r="T26" s="3"/>
      <c r="U26" s="17"/>
      <c r="V26" s="17"/>
      <c r="W26" s="12"/>
      <c r="X26" s="20"/>
      <c r="Y26" s="3"/>
      <c r="Z26" s="17"/>
      <c r="AA26" s="17"/>
      <c r="AB26" s="12"/>
      <c r="AC26" s="12"/>
    </row>
    <row r="27" spans="1:29">
      <c r="A27" s="5">
        <v>24</v>
      </c>
      <c r="B27" s="5" t="s">
        <v>171</v>
      </c>
      <c r="C27" s="6" t="str">
        <f>'Table 2'!E27</f>
        <v>psl</v>
      </c>
      <c r="D27" s="3"/>
      <c r="H27" s="16"/>
      <c r="N27" s="20"/>
      <c r="O27" s="3"/>
      <c r="P27" s="17"/>
      <c r="Q27" s="17"/>
      <c r="S27" s="20"/>
      <c r="T27" s="3"/>
      <c r="U27" s="17"/>
      <c r="V27" s="17"/>
      <c r="W27" s="12"/>
      <c r="X27" s="20"/>
      <c r="Y27" s="3"/>
      <c r="Z27" s="17"/>
      <c r="AA27" s="17"/>
      <c r="AB27" s="12"/>
      <c r="AC27" s="12"/>
    </row>
    <row r="28" spans="1:29">
      <c r="A28" s="5">
        <v>25</v>
      </c>
      <c r="B28" s="5" t="s">
        <v>189</v>
      </c>
      <c r="C28" s="6" t="str">
        <f>'Table 2'!E28</f>
        <v>psl</v>
      </c>
      <c r="D28" s="3">
        <f>Sphalerite!U474</f>
        <v>19</v>
      </c>
      <c r="E28" s="17">
        <f>Sphalerite!V474</f>
        <v>10.69</v>
      </c>
      <c r="F28" s="17">
        <f>Sphalerite!W474</f>
        <v>10.364210526315793</v>
      </c>
      <c r="G28" s="17">
        <f>Sphalerite!X474</f>
        <v>0.16259999999999999</v>
      </c>
      <c r="H28" s="17">
        <f>Sphalerite!Y474</f>
        <v>3.0178947368421048E-2</v>
      </c>
      <c r="I28" s="12">
        <f>Sphalerite!Z474</f>
        <v>257</v>
      </c>
      <c r="J28" s="12">
        <f>Sphalerite!AA474</f>
        <v>176.94736842105263</v>
      </c>
      <c r="K28" s="12">
        <f>Sphalerite!AB474</f>
        <v>1407</v>
      </c>
      <c r="L28" s="12">
        <f>Sphalerite!AC474</f>
        <v>1322.3684210526319</v>
      </c>
      <c r="M28" s="12">
        <f>Sphalerite!AD474</f>
        <v>517.95000000000005</v>
      </c>
      <c r="N28" s="20">
        <f>Sphalerite!AE474</f>
        <v>409.88947368421054</v>
      </c>
      <c r="O28" s="3">
        <f>Chalcopyrite!S562</f>
        <v>9</v>
      </c>
      <c r="P28" s="17">
        <f>Chalcopyrite!T562</f>
        <v>0.69069999999999998</v>
      </c>
      <c r="Q28" s="17">
        <f>Chalcopyrite!U562</f>
        <v>0.38790000000000002</v>
      </c>
      <c r="R28" s="12">
        <f>Chalcopyrite!V562</f>
        <v>35</v>
      </c>
      <c r="S28" s="20">
        <f>Chalcopyrite!W562</f>
        <v>8.4444444444444446</v>
      </c>
      <c r="T28" s="3"/>
      <c r="U28" s="17"/>
      <c r="V28" s="17"/>
      <c r="W28" s="12"/>
      <c r="X28" s="20"/>
      <c r="Y28" s="3"/>
      <c r="Z28" s="17"/>
      <c r="AA28" s="17"/>
      <c r="AB28" s="12"/>
      <c r="AC28" s="12"/>
    </row>
    <row r="29" spans="1:29">
      <c r="A29" s="5">
        <v>26</v>
      </c>
      <c r="B29" s="5" t="s">
        <v>83</v>
      </c>
      <c r="C29" s="6" t="str">
        <f>'Table 2'!E29</f>
        <v>psl</v>
      </c>
      <c r="D29" s="3">
        <f>Sphalerite!U182</f>
        <v>24</v>
      </c>
      <c r="E29" s="17">
        <f>Sphalerite!V182</f>
        <v>11.35</v>
      </c>
      <c r="F29" s="17">
        <f>Sphalerite!W182</f>
        <v>10.371666666666668</v>
      </c>
      <c r="G29" s="17">
        <f>Sphalerite!X182</f>
        <v>0.11509999999999999</v>
      </c>
      <c r="H29" s="17">
        <f>Sphalerite!Y182</f>
        <v>1.9233333333333331E-2</v>
      </c>
      <c r="I29" s="12">
        <f>Sphalerite!Z182</f>
        <v>1150</v>
      </c>
      <c r="J29" s="12">
        <f>Sphalerite!AA182</f>
        <v>207.5</v>
      </c>
      <c r="K29" s="12">
        <f>Sphalerite!AB182</f>
        <v>1233</v>
      </c>
      <c r="L29" s="12">
        <f>Sphalerite!AC182</f>
        <v>1110.1666666666665</v>
      </c>
      <c r="M29" s="12">
        <f>Sphalerite!AD182</f>
        <v>426.7</v>
      </c>
      <c r="N29" s="20">
        <f>Sphalerite!AE182</f>
        <v>278.79166666666669</v>
      </c>
      <c r="O29" s="3">
        <f>Chalcopyrite!S233</f>
        <v>16</v>
      </c>
      <c r="P29" s="17">
        <f>Chalcopyrite!T233</f>
        <v>0.3599</v>
      </c>
      <c r="Q29" s="17">
        <f>Chalcopyrite!U233</f>
        <v>7.9024999999999998E-2</v>
      </c>
      <c r="R29" s="12">
        <f>Chalcopyrite!V233</f>
        <v>357</v>
      </c>
      <c r="S29" s="20">
        <f>Chalcopyrite!W233</f>
        <v>148.56250000000003</v>
      </c>
      <c r="T29" s="3"/>
      <c r="U29" s="17"/>
      <c r="V29" s="17"/>
      <c r="W29" s="12"/>
      <c r="X29" s="20"/>
      <c r="Y29" s="3">
        <f>Cassiterite!U42</f>
        <v>4</v>
      </c>
      <c r="Z29" s="17">
        <f>Cassiterite!V42</f>
        <v>0.52239999999999998</v>
      </c>
      <c r="AA29" s="17">
        <f>Cassiterite!W42</f>
        <v>0.15909999999999999</v>
      </c>
      <c r="AB29" s="12">
        <f>Cassiterite!X42</f>
        <v>461.31375000000003</v>
      </c>
      <c r="AC29" s="12">
        <f>Cassiterite!Y42</f>
        <v>442.79437499999995</v>
      </c>
    </row>
    <row r="30" spans="1:29">
      <c r="A30" s="5">
        <v>27</v>
      </c>
      <c r="B30" s="5" t="s">
        <v>131</v>
      </c>
      <c r="C30" s="6" t="str">
        <f>'Table 2'!E30</f>
        <v>psl</v>
      </c>
      <c r="D30" s="3">
        <f>Sphalerite!U2</f>
        <v>5</v>
      </c>
      <c r="E30" s="17">
        <f>Sphalerite!V2</f>
        <v>10.52</v>
      </c>
      <c r="F30" s="17">
        <f>Sphalerite!W2</f>
        <v>7.4960000000000004</v>
      </c>
      <c r="G30" s="17">
        <f>Sphalerite!X2</f>
        <v>2.4500000000000002</v>
      </c>
      <c r="H30" s="17">
        <f>Sphalerite!Y2</f>
        <v>0.96197999999999995</v>
      </c>
      <c r="I30" s="12">
        <f>Sphalerite!Z2</f>
        <v>4634</v>
      </c>
      <c r="J30" s="12">
        <f>Sphalerite!AA2</f>
        <v>1769.5144999999998</v>
      </c>
      <c r="K30" s="12">
        <f>Sphalerite!AB2</f>
        <v>2995</v>
      </c>
      <c r="L30" s="12">
        <f>Sphalerite!AC2</f>
        <v>1962.8000000000002</v>
      </c>
      <c r="M30" s="12">
        <f>Sphalerite!AD2</f>
        <v>431.59999999999997</v>
      </c>
      <c r="N30" s="20">
        <f>Sphalerite!AE2</f>
        <v>336.97999999999996</v>
      </c>
      <c r="O30" s="3">
        <f>Chalcopyrite!S2</f>
        <v>63</v>
      </c>
      <c r="P30" s="17">
        <f>Chalcopyrite!T2</f>
        <v>0.59240000000000004</v>
      </c>
      <c r="Q30" s="17">
        <f>Chalcopyrite!U2</f>
        <v>6.2628571428571408E-2</v>
      </c>
      <c r="R30" s="12">
        <f>Chalcopyrite!V2</f>
        <v>1519</v>
      </c>
      <c r="S30" s="20">
        <f>Chalcopyrite!W2</f>
        <v>602.07936507936518</v>
      </c>
      <c r="T30" s="3"/>
      <c r="U30" s="17"/>
      <c r="V30" s="17"/>
      <c r="W30" s="12"/>
      <c r="X30" s="20"/>
      <c r="Y30" s="3">
        <f>Cassiterite!U84</f>
        <v>1</v>
      </c>
      <c r="Z30" s="17">
        <f>Cassiterite!V84</f>
        <v>0.99119999999999997</v>
      </c>
      <c r="AA30" s="17">
        <f>Cassiterite!W84</f>
        <v>0.99119999999999997</v>
      </c>
      <c r="AB30" s="12">
        <f>Cassiterite!X84</f>
        <v>969.61624999999992</v>
      </c>
      <c r="AC30" s="12">
        <f>Cassiterite!Y84</f>
        <v>969.61624999999992</v>
      </c>
    </row>
    <row r="31" spans="1:29">
      <c r="A31" s="5">
        <v>28</v>
      </c>
      <c r="B31" s="5" t="s">
        <v>71</v>
      </c>
      <c r="C31" s="6" t="str">
        <f>'Table 2'!E31</f>
        <v>psl</v>
      </c>
      <c r="D31" s="3">
        <f>Sphalerite!U431</f>
        <v>18</v>
      </c>
      <c r="E31" s="17">
        <f>Sphalerite!V431</f>
        <v>10.84</v>
      </c>
      <c r="F31" s="17">
        <f>Sphalerite!W431</f>
        <v>6.3527777777777779</v>
      </c>
      <c r="G31" s="17">
        <f>Sphalerite!X431</f>
        <v>5.8099999999999999E-2</v>
      </c>
      <c r="H31" s="17">
        <f>Sphalerite!Y431</f>
        <v>1.5772222222222226E-2</v>
      </c>
      <c r="I31" s="12">
        <f>Sphalerite!Z431</f>
        <v>532</v>
      </c>
      <c r="J31" s="12">
        <f>Sphalerite!AA431</f>
        <v>399.38888888888886</v>
      </c>
      <c r="K31" s="12">
        <f>Sphalerite!AB431</f>
        <v>1438</v>
      </c>
      <c r="L31" s="12">
        <f>Sphalerite!AC431</f>
        <v>1295.7777777777776</v>
      </c>
      <c r="M31" s="12">
        <f>Sphalerite!AD431</f>
        <v>563.15000000000009</v>
      </c>
      <c r="N31" s="20">
        <f>Sphalerite!AE431</f>
        <v>435.75277777777774</v>
      </c>
      <c r="O31" s="3">
        <f>Chalcopyrite!S462</f>
        <v>21</v>
      </c>
      <c r="P31" s="17">
        <f>Chalcopyrite!T462</f>
        <v>8.3299999999999999E-2</v>
      </c>
      <c r="Q31" s="17">
        <f>Chalcopyrite!U462</f>
        <v>4.1057142857142861E-2</v>
      </c>
      <c r="R31" s="12">
        <f>Chalcopyrite!V462</f>
        <v>221.00000000000003</v>
      </c>
      <c r="S31" s="20">
        <f>Chalcopyrite!W462</f>
        <v>109.42857142857143</v>
      </c>
      <c r="T31" s="3"/>
      <c r="U31" s="17"/>
      <c r="V31" s="17"/>
      <c r="W31" s="12"/>
      <c r="X31" s="20"/>
      <c r="Y31" s="3">
        <f>Cassiterite!U17</f>
        <v>2</v>
      </c>
      <c r="Z31" s="17">
        <f>Cassiterite!V17</f>
        <v>0.30170000000000002</v>
      </c>
      <c r="AA31" s="17">
        <f>Cassiterite!W17</f>
        <v>0.17225000000000001</v>
      </c>
      <c r="AB31" s="12">
        <f>Cassiterite!X17</f>
        <v>486.21875000000011</v>
      </c>
      <c r="AC31" s="12">
        <f>Cassiterite!Y17</f>
        <v>446.89499999999998</v>
      </c>
    </row>
    <row r="32" spans="1:29">
      <c r="A32" s="5">
        <v>29</v>
      </c>
      <c r="B32" s="5" t="s">
        <v>81</v>
      </c>
      <c r="C32" s="6" t="str">
        <f>'Table 2'!E32</f>
        <v>psl</v>
      </c>
      <c r="D32" s="3">
        <f>Sphalerite!U225</f>
        <v>92</v>
      </c>
      <c r="E32" s="17">
        <f>Sphalerite!V225</f>
        <v>12.12</v>
      </c>
      <c r="F32" s="17">
        <f>Sphalerite!W225</f>
        <v>9.7693478260869622</v>
      </c>
      <c r="G32" s="17">
        <f>Sphalerite!X225</f>
        <v>0.45400000000000001</v>
      </c>
      <c r="H32" s="17">
        <f>Sphalerite!Y225</f>
        <v>6.2059782608695671E-2</v>
      </c>
      <c r="I32" s="12">
        <f>Sphalerite!Z225</f>
        <v>4468</v>
      </c>
      <c r="J32" s="12">
        <f>Sphalerite!AA225</f>
        <v>290.32714347826084</v>
      </c>
      <c r="K32" s="12">
        <f>Sphalerite!AB225</f>
        <v>2097</v>
      </c>
      <c r="L32" s="12">
        <f>Sphalerite!AC225</f>
        <v>1313.2391304347821</v>
      </c>
      <c r="M32" s="12">
        <f>Sphalerite!AD225</f>
        <v>444.8</v>
      </c>
      <c r="N32" s="20">
        <f>Sphalerite!AE225</f>
        <v>488.60228459530038</v>
      </c>
      <c r="O32" s="3">
        <f>Chalcopyrite!S263</f>
        <v>4</v>
      </c>
      <c r="P32" s="17">
        <f>Chalcopyrite!T263</f>
        <v>1.84</v>
      </c>
      <c r="Q32" s="17">
        <f>Chalcopyrite!U263</f>
        <v>1.6624999999999999</v>
      </c>
      <c r="R32" s="12">
        <f>Chalcopyrite!V263</f>
        <v>0</v>
      </c>
      <c r="S32" s="20">
        <f>Chalcopyrite!W263</f>
        <v>0</v>
      </c>
      <c r="T32" s="3"/>
      <c r="U32" s="17"/>
      <c r="V32" s="17"/>
      <c r="W32" s="12"/>
      <c r="X32" s="20"/>
      <c r="Y32" s="3"/>
      <c r="Z32" s="17"/>
      <c r="AA32" s="17"/>
      <c r="AB32" s="12"/>
      <c r="AC32" s="12"/>
    </row>
    <row r="33" spans="1:29">
      <c r="A33" s="5">
        <v>30</v>
      </c>
      <c r="B33" s="5" t="s">
        <v>138</v>
      </c>
      <c r="C33" s="6" t="str">
        <f>'Table 2'!E33</f>
        <v>psl</v>
      </c>
      <c r="D33" s="3">
        <f>Sphalerite!U7</f>
        <v>4</v>
      </c>
      <c r="E33" s="17">
        <f>Sphalerite!V7</f>
        <v>8.52</v>
      </c>
      <c r="F33" s="17">
        <f>Sphalerite!W7</f>
        <v>4.6887999999999996</v>
      </c>
      <c r="G33" s="17">
        <f>Sphalerite!X7</f>
        <v>4.58</v>
      </c>
      <c r="H33" s="17">
        <f>Sphalerite!Y7</f>
        <v>1.4975000000000001</v>
      </c>
      <c r="I33" s="12">
        <f>Sphalerite!Z7</f>
        <v>1494</v>
      </c>
      <c r="J33" s="12">
        <f>Sphalerite!AA7</f>
        <v>703.25</v>
      </c>
      <c r="K33" s="12">
        <f>Sphalerite!AB7</f>
        <v>1447</v>
      </c>
      <c r="L33" s="12">
        <f>Sphalerite!AC7</f>
        <v>990.25</v>
      </c>
      <c r="M33" s="12">
        <f>Sphalerite!AD7</f>
        <v>633</v>
      </c>
      <c r="N33" s="20">
        <f>Sphalerite!AE7</f>
        <v>489.33749999999992</v>
      </c>
      <c r="O33" s="3"/>
      <c r="P33" s="17"/>
      <c r="Q33" s="17"/>
      <c r="S33" s="20"/>
      <c r="T33" s="3"/>
      <c r="U33" s="17"/>
      <c r="V33" s="17"/>
      <c r="W33" s="12"/>
      <c r="X33" s="20"/>
      <c r="Y33" s="3"/>
      <c r="Z33" s="17"/>
      <c r="AA33" s="17"/>
      <c r="AB33" s="12"/>
      <c r="AC33" s="12"/>
    </row>
    <row r="34" spans="1:29">
      <c r="A34" s="5">
        <v>31</v>
      </c>
      <c r="B34" s="5" t="s">
        <v>380</v>
      </c>
      <c r="C34" s="6" t="str">
        <f>'Table 2'!E34</f>
        <v>psl</v>
      </c>
      <c r="D34" s="3">
        <f>Sphalerite!U507</f>
        <v>19</v>
      </c>
      <c r="E34" s="17">
        <f>Sphalerite!V507</f>
        <v>12.83</v>
      </c>
      <c r="F34" s="17">
        <f>Sphalerite!W507</f>
        <v>9.5794736842105266</v>
      </c>
      <c r="G34" s="17">
        <f>Sphalerite!X507</f>
        <v>0.113</v>
      </c>
      <c r="H34" s="17">
        <f>Sphalerite!Y507</f>
        <v>2.8115789473684205E-2</v>
      </c>
      <c r="I34" s="12">
        <f>Sphalerite!Z507</f>
        <v>2024</v>
      </c>
      <c r="J34" s="12">
        <f>Sphalerite!AA507</f>
        <v>484.73684210526312</v>
      </c>
      <c r="K34" s="12">
        <f>Sphalerite!AB507</f>
        <v>1727</v>
      </c>
      <c r="L34" s="12">
        <f>Sphalerite!AC507</f>
        <v>1359.2631578947364</v>
      </c>
      <c r="M34" s="12">
        <f>Sphalerite!AD507</f>
        <v>438.00000000000006</v>
      </c>
      <c r="N34" s="20">
        <f>Sphalerite!AE507</f>
        <v>355.6578947368422</v>
      </c>
      <c r="O34" s="3"/>
      <c r="P34" s="17"/>
      <c r="Q34" s="17"/>
      <c r="S34" s="20"/>
      <c r="T34" s="3"/>
      <c r="U34" s="17"/>
      <c r="V34" s="17"/>
      <c r="W34" s="12"/>
      <c r="X34" s="20"/>
      <c r="Y34" s="3"/>
      <c r="Z34" s="17"/>
      <c r="AA34" s="17"/>
      <c r="AB34" s="12"/>
      <c r="AC34" s="12"/>
    </row>
    <row r="35" spans="1:29">
      <c r="A35" s="6">
        <v>32</v>
      </c>
      <c r="B35" s="5" t="s">
        <v>112</v>
      </c>
      <c r="C35" s="6" t="str">
        <f>'Table 2'!E35</f>
        <v>psl</v>
      </c>
      <c r="D35" s="3"/>
      <c r="H35" s="16"/>
      <c r="N35" s="20"/>
      <c r="O35" s="3">
        <f>Chalcopyrite!S946</f>
        <v>18</v>
      </c>
      <c r="P35" s="17">
        <f>Chalcopyrite!T946</f>
        <v>0.441</v>
      </c>
      <c r="Q35" s="17">
        <f>Chalcopyrite!U946</f>
        <v>4.9750000000000003E-2</v>
      </c>
      <c r="R35" s="12">
        <f>Chalcopyrite!V946</f>
        <v>248.99999999999997</v>
      </c>
      <c r="S35" s="20">
        <f>Chalcopyrite!W946</f>
        <v>137.55555555555554</v>
      </c>
      <c r="T35" s="3"/>
      <c r="U35" s="17"/>
      <c r="V35" s="17"/>
      <c r="W35" s="12"/>
      <c r="X35" s="20"/>
      <c r="Y35" s="3">
        <f>Cassiterite!U47</f>
        <v>2</v>
      </c>
      <c r="Z35" s="17">
        <f>Cassiterite!V47</f>
        <v>0.64390000000000003</v>
      </c>
      <c r="AA35" s="17">
        <f>Cassiterite!W47</f>
        <v>0.50990000000000002</v>
      </c>
      <c r="AB35" s="12">
        <f>Cassiterite!X47</f>
        <v>134.93874999999989</v>
      </c>
      <c r="AC35" s="12">
        <f>Cassiterite!Y47</f>
        <v>121.03125000000006</v>
      </c>
    </row>
    <row r="36" spans="1:29">
      <c r="A36" s="6">
        <v>33</v>
      </c>
      <c r="B36" s="5" t="s">
        <v>104</v>
      </c>
      <c r="C36" s="6" t="str">
        <f>'Table 2'!E36</f>
        <v>psl</v>
      </c>
      <c r="D36" s="3">
        <f>Sphalerite!U590</f>
        <v>8</v>
      </c>
      <c r="E36" s="17">
        <f>Sphalerite!V590</f>
        <v>1.78</v>
      </c>
      <c r="F36" s="17">
        <f>Sphalerite!W590</f>
        <v>0.89111249999999997</v>
      </c>
      <c r="G36" s="17">
        <f>Sphalerite!X590</f>
        <v>1.42</v>
      </c>
      <c r="H36" s="17">
        <f>Sphalerite!Y590</f>
        <v>0.65303749999999994</v>
      </c>
      <c r="I36" s="12">
        <f>Sphalerite!Z590</f>
        <v>36</v>
      </c>
      <c r="J36" s="12">
        <f>Sphalerite!AA590</f>
        <v>5.373939062499999</v>
      </c>
      <c r="K36" s="12">
        <f>Sphalerite!AB590</f>
        <v>1526.0000000000002</v>
      </c>
      <c r="L36" s="12">
        <f>Sphalerite!AC590</f>
        <v>1134.4999999999998</v>
      </c>
      <c r="M36" s="12">
        <f>Sphalerite!AD590</f>
        <v>566.20000000000005</v>
      </c>
      <c r="N36" s="20">
        <f>Sphalerite!AE590</f>
        <v>323.75</v>
      </c>
      <c r="O36" s="3">
        <f>Chalcopyrite!S724</f>
        <v>52</v>
      </c>
      <c r="P36" s="17">
        <f>Chalcopyrite!T724</f>
        <v>0.2266</v>
      </c>
      <c r="Q36" s="17">
        <f>Chalcopyrite!U724</f>
        <v>2.7898076923076928E-2</v>
      </c>
      <c r="R36" s="12">
        <f>Chalcopyrite!V724</f>
        <v>1147</v>
      </c>
      <c r="S36" s="20">
        <f>Chalcopyrite!W724</f>
        <v>272.65384615384613</v>
      </c>
      <c r="T36" s="3"/>
      <c r="U36" s="17"/>
      <c r="V36" s="17"/>
      <c r="W36" s="12"/>
      <c r="X36" s="20"/>
      <c r="Y36" s="3">
        <f>Cassiterite!U54</f>
        <v>1</v>
      </c>
      <c r="Z36" s="17">
        <f>Cassiterite!V54</f>
        <v>0.56599999999999995</v>
      </c>
      <c r="AA36" s="17">
        <f>Cassiterite!W54</f>
        <v>0.56599999999999995</v>
      </c>
      <c r="AB36" s="12">
        <f>Cassiterite!X54</f>
        <v>697.04999999999984</v>
      </c>
      <c r="AC36" s="12">
        <f>Cassiterite!Y54</f>
        <v>697.04999999999984</v>
      </c>
    </row>
    <row r="37" spans="1:29">
      <c r="A37" s="6">
        <v>34</v>
      </c>
      <c r="B37" s="5" t="s">
        <v>21</v>
      </c>
      <c r="C37" s="6" t="str">
        <f>'Table 2'!E37</f>
        <v>psl</v>
      </c>
      <c r="D37" s="3">
        <f>Sphalerite!U588</f>
        <v>2</v>
      </c>
      <c r="E37" s="17">
        <f>Sphalerite!V588</f>
        <v>0.5776</v>
      </c>
      <c r="F37" s="17">
        <f>Sphalerite!W588</f>
        <v>0.54544999999999999</v>
      </c>
      <c r="G37" s="17">
        <f>Sphalerite!X588</f>
        <v>1.69</v>
      </c>
      <c r="H37" s="17">
        <f>Sphalerite!Y588</f>
        <v>1.68</v>
      </c>
      <c r="I37" s="12">
        <f>Sphalerite!Z588</f>
        <v>111.9800875</v>
      </c>
      <c r="J37" s="12">
        <f>Sphalerite!AA588</f>
        <v>85.490043749999998</v>
      </c>
      <c r="K37" s="12">
        <f>Sphalerite!AB588</f>
        <v>5</v>
      </c>
      <c r="L37" s="12">
        <f>Sphalerite!AC588</f>
        <v>2.5</v>
      </c>
      <c r="M37" s="12">
        <f>Sphalerite!AD588</f>
        <v>481.40000000000003</v>
      </c>
      <c r="N37" s="20">
        <f>Sphalerite!AE588</f>
        <v>467.22500000000002</v>
      </c>
      <c r="O37" s="3">
        <f>Chalcopyrite!S642</f>
        <v>82</v>
      </c>
      <c r="P37" s="17">
        <f>Chalcopyrite!T642</f>
        <v>5.8000000000000003E-2</v>
      </c>
      <c r="Q37" s="17">
        <f>Chalcopyrite!U642</f>
        <v>2.3046341463414634E-2</v>
      </c>
      <c r="R37" s="12">
        <f>Chalcopyrite!V642</f>
        <v>488.00000000000006</v>
      </c>
      <c r="S37" s="20">
        <f>Chalcopyrite!W642</f>
        <v>286.71951219512192</v>
      </c>
      <c r="T37" s="3"/>
      <c r="U37" s="17"/>
      <c r="V37" s="17"/>
      <c r="W37" s="12"/>
      <c r="X37" s="20"/>
      <c r="Y37" s="3">
        <f>Cassiterite!U68</f>
        <v>3</v>
      </c>
      <c r="Z37" s="17">
        <f>Cassiterite!V68</f>
        <v>0.87670000000000003</v>
      </c>
      <c r="AA37" s="17">
        <f>Cassiterite!W68</f>
        <v>0.60426666666666673</v>
      </c>
      <c r="AB37" s="12">
        <f>Cassiterite!X68</f>
        <v>744.37750000000028</v>
      </c>
      <c r="AC37" s="12">
        <f>Cassiterite!Y68</f>
        <v>371.81125000000003</v>
      </c>
    </row>
    <row r="38" spans="1:29">
      <c r="A38" s="5">
        <v>35</v>
      </c>
      <c r="B38" s="5" t="s">
        <v>33</v>
      </c>
      <c r="C38" s="6" t="str">
        <f>'Table 2'!E38</f>
        <v>psl</v>
      </c>
      <c r="D38" s="3">
        <f>Sphalerite!U148</f>
        <v>3</v>
      </c>
      <c r="E38" s="17">
        <f>Sphalerite!V148</f>
        <v>7.53</v>
      </c>
      <c r="F38" s="17">
        <f>Sphalerite!W148</f>
        <v>2.8903666666666665</v>
      </c>
      <c r="G38" s="17">
        <f>Sphalerite!X148</f>
        <v>3.94</v>
      </c>
      <c r="H38" s="17">
        <f>Sphalerite!Y148</f>
        <v>1.9345999999999999</v>
      </c>
      <c r="I38" s="12">
        <f>Sphalerite!Z148</f>
        <v>801.99999999999989</v>
      </c>
      <c r="J38" s="12">
        <f>Sphalerite!AA148</f>
        <v>321.46207916666663</v>
      </c>
      <c r="K38" s="12">
        <f>Sphalerite!AB148</f>
        <v>3796</v>
      </c>
      <c r="L38" s="12">
        <f>Sphalerite!AC148</f>
        <v>3215</v>
      </c>
      <c r="M38" s="12">
        <f>Sphalerite!AD148</f>
        <v>434.75</v>
      </c>
      <c r="N38" s="20">
        <f>Sphalerite!AE148</f>
        <v>386.95</v>
      </c>
      <c r="O38" s="3">
        <f>Chalcopyrite!S202</f>
        <v>20</v>
      </c>
      <c r="P38" s="17">
        <f>Chalcopyrite!T202</f>
        <v>0.28179999999999999</v>
      </c>
      <c r="Q38" s="17">
        <f>Chalcopyrite!U202</f>
        <v>5.3544999999999995E-2</v>
      </c>
      <c r="R38" s="12">
        <f>Chalcopyrite!V202</f>
        <v>281</v>
      </c>
      <c r="S38" s="20">
        <f>Chalcopyrite!W202</f>
        <v>166.39999999999998</v>
      </c>
      <c r="T38" s="3">
        <f>'Stannite-kesterite'!V46</f>
        <v>16</v>
      </c>
      <c r="U38" s="17">
        <f>'Stannite-kesterite'!W46</f>
        <v>2.87</v>
      </c>
      <c r="V38" s="17">
        <f>'Stannite-kesterite'!X46</f>
        <v>1.6463125000000001</v>
      </c>
      <c r="W38" s="12">
        <f>'Stannite-kesterite'!Y46</f>
        <v>687.03249999999991</v>
      </c>
      <c r="X38" s="20">
        <f>'Stannite-kesterite'!Z46</f>
        <v>252.98249999999999</v>
      </c>
      <c r="Y38" s="3">
        <f>Cassiterite!U46</f>
        <v>1</v>
      </c>
      <c r="Z38" s="17">
        <f>Cassiterite!V46</f>
        <v>0.15490000000000001</v>
      </c>
      <c r="AA38" s="17">
        <f>Cassiterite!W46</f>
        <v>0.15490000000000001</v>
      </c>
      <c r="AB38" s="12">
        <f>Cassiterite!X46</f>
        <v>294.12125000000009</v>
      </c>
      <c r="AC38" s="12">
        <f>Cassiterite!Y46</f>
        <v>294.12125000000009</v>
      </c>
    </row>
    <row r="39" spans="1:29">
      <c r="A39" s="5">
        <v>36</v>
      </c>
      <c r="B39" s="5" t="s">
        <v>299</v>
      </c>
      <c r="C39" s="6" t="str">
        <f>'Table 2'!E39</f>
        <v>qtv - psl - (gbsv)</v>
      </c>
      <c r="D39" s="3">
        <f>Sphalerite!U747</f>
        <v>10</v>
      </c>
      <c r="E39" s="17">
        <f>Sphalerite!V747</f>
        <v>6.61</v>
      </c>
      <c r="F39" s="17">
        <f>Sphalerite!W747</f>
        <v>4.3499999999999996</v>
      </c>
      <c r="G39" s="17">
        <f>Sphalerite!X747</f>
        <v>4.74</v>
      </c>
      <c r="H39" s="17">
        <f>Sphalerite!Y747</f>
        <v>1.7047699999999999</v>
      </c>
      <c r="I39" s="12">
        <f>Sphalerite!Z747</f>
        <v>2324</v>
      </c>
      <c r="J39" s="12">
        <f>Sphalerite!AA747</f>
        <v>1543.1999999999998</v>
      </c>
      <c r="K39" s="12">
        <f>Sphalerite!AB747</f>
        <v>3288</v>
      </c>
      <c r="L39" s="12">
        <f>Sphalerite!AC747</f>
        <v>3070.6</v>
      </c>
      <c r="M39" s="12">
        <f>Sphalerite!AD747</f>
        <v>625.70000000000005</v>
      </c>
      <c r="N39" s="20">
        <f>Sphalerite!AE747</f>
        <v>447.14</v>
      </c>
      <c r="O39" s="3">
        <f>Chalcopyrite!S1014</f>
        <v>39</v>
      </c>
      <c r="P39" s="17">
        <v>0.23</v>
      </c>
      <c r="Q39" s="17">
        <v>3.9482051282051282E-2</v>
      </c>
      <c r="R39" s="12">
        <f>Chalcopyrite!V1014</f>
        <v>1040</v>
      </c>
      <c r="S39" s="20">
        <f>Chalcopyrite!W1014</f>
        <v>443.64102564102581</v>
      </c>
      <c r="T39" s="3"/>
      <c r="U39" s="17"/>
      <c r="V39" s="17"/>
      <c r="W39" s="12"/>
      <c r="X39" s="20"/>
      <c r="Y39" s="3"/>
      <c r="Z39" s="17"/>
      <c r="AA39" s="17"/>
      <c r="AB39" s="12"/>
      <c r="AC39" s="12"/>
    </row>
    <row r="40" spans="1:29">
      <c r="A40" s="5">
        <v>37</v>
      </c>
      <c r="B40" s="5" t="s">
        <v>297</v>
      </c>
      <c r="C40" s="6" t="str">
        <f>'Table 2'!E40</f>
        <v>psl</v>
      </c>
      <c r="D40" s="3">
        <f>Sphalerite!U737</f>
        <v>6</v>
      </c>
      <c r="E40" s="17">
        <f>Sphalerite!V737</f>
        <v>4.0999999999999996</v>
      </c>
      <c r="F40" s="17">
        <f>Sphalerite!W737</f>
        <v>3.2666666666666671</v>
      </c>
      <c r="G40" s="17">
        <f>Sphalerite!X737</f>
        <v>1.74</v>
      </c>
      <c r="H40" s="17">
        <f>Sphalerite!Y737</f>
        <v>0.78699999999999992</v>
      </c>
      <c r="I40" s="12">
        <f>Sphalerite!Z737</f>
        <v>54</v>
      </c>
      <c r="J40" s="12">
        <f>Sphalerite!AA737</f>
        <v>11.922756250000001</v>
      </c>
      <c r="K40" s="12">
        <f>Sphalerite!AB737</f>
        <v>3123</v>
      </c>
      <c r="L40" s="12">
        <f>Sphalerite!AC737</f>
        <v>2915.666666666667</v>
      </c>
      <c r="M40" s="12">
        <f>Sphalerite!AD737</f>
        <v>478.29999999999995</v>
      </c>
      <c r="N40" s="20">
        <f>Sphalerite!AE737</f>
        <v>385.05833333333334</v>
      </c>
      <c r="O40" s="3">
        <f>Chalcopyrite!S1013</f>
        <v>1</v>
      </c>
      <c r="P40" s="17">
        <f>Chalcopyrite!T1013</f>
        <v>5.2200000000000003E-2</v>
      </c>
      <c r="Q40" s="17">
        <f>Chalcopyrite!U1013</f>
        <v>5.2200000000000003E-2</v>
      </c>
      <c r="R40" s="12">
        <f>Chalcopyrite!V1013</f>
        <v>61</v>
      </c>
      <c r="S40" s="20">
        <f>Chalcopyrite!W1013</f>
        <v>61</v>
      </c>
      <c r="T40" s="3"/>
      <c r="U40" s="17"/>
      <c r="V40" s="17"/>
      <c r="W40" s="12"/>
      <c r="X40" s="20"/>
      <c r="Y40" s="3"/>
      <c r="Z40" s="17"/>
      <c r="AA40" s="17"/>
      <c r="AB40" s="12"/>
      <c r="AC40" s="12"/>
    </row>
    <row r="41" spans="1:29">
      <c r="A41" s="6">
        <v>38</v>
      </c>
      <c r="B41" s="5" t="s">
        <v>102</v>
      </c>
      <c r="C41" s="6" t="str">
        <f>'Table 2'!E41</f>
        <v>qtv - psl</v>
      </c>
      <c r="D41" s="3">
        <f>Sphalerite!U598</f>
        <v>29</v>
      </c>
      <c r="E41" s="17">
        <f>Sphalerite!V598</f>
        <v>10.16</v>
      </c>
      <c r="F41" s="17">
        <f>Sphalerite!W598</f>
        <v>7.7989655172413777</v>
      </c>
      <c r="G41" s="17">
        <f>Sphalerite!X598</f>
        <v>2.64</v>
      </c>
      <c r="H41" s="17">
        <f>Sphalerite!Y598</f>
        <v>0.79217586206896551</v>
      </c>
      <c r="I41" s="12">
        <f>Sphalerite!Z598</f>
        <v>3294.0000000000005</v>
      </c>
      <c r="J41" s="12">
        <f>Sphalerite!AA598</f>
        <v>899.41379310344837</v>
      </c>
      <c r="K41" s="12">
        <f>Sphalerite!AB598</f>
        <v>4943</v>
      </c>
      <c r="L41" s="12">
        <f>Sphalerite!AC598</f>
        <v>3071.5862068965512</v>
      </c>
      <c r="M41" s="12">
        <f>Sphalerite!AD598</f>
        <v>564.85</v>
      </c>
      <c r="N41" s="20">
        <f>Sphalerite!AE598</f>
        <v>360.06379310344829</v>
      </c>
      <c r="O41" s="3">
        <f>Chalcopyrite!S776</f>
        <v>170</v>
      </c>
      <c r="P41" s="17">
        <f>Chalcopyrite!T776</f>
        <v>0.23219999999999999</v>
      </c>
      <c r="Q41" s="17">
        <f>Chalcopyrite!U776</f>
        <v>4.4694117647058836E-2</v>
      </c>
      <c r="R41" s="12">
        <f>Chalcopyrite!V776</f>
        <v>646.99999999999989</v>
      </c>
      <c r="S41" s="20">
        <f>Chalcopyrite!W776</f>
        <v>188.90588235294109</v>
      </c>
      <c r="T41" s="3">
        <f>'Stannite-kesterite'!V69</f>
        <v>13</v>
      </c>
      <c r="U41" s="17">
        <f>'Stannite-kesterite'!W69</f>
        <v>1.82</v>
      </c>
      <c r="V41" s="17">
        <f>'Stannite-kesterite'!X69</f>
        <v>1.0624923076923076</v>
      </c>
      <c r="W41" s="12">
        <f>'Stannite-kesterite'!Y69</f>
        <v>875.97874999999988</v>
      </c>
      <c r="X41" s="20">
        <f>'Stannite-kesterite'!Z69</f>
        <v>410.48711538461532</v>
      </c>
      <c r="Y41" s="3">
        <f>Cassiterite!U49</f>
        <v>3</v>
      </c>
      <c r="Z41" s="17">
        <f>Cassiterite!V49</f>
        <v>0.39560000000000001</v>
      </c>
      <c r="AA41" s="17">
        <f>Cassiterite!W49</f>
        <v>0.24113333333333334</v>
      </c>
      <c r="AB41" s="12">
        <f>Cassiterite!X49</f>
        <v>630.24499999999978</v>
      </c>
      <c r="AC41" s="12">
        <f>Cassiterite!Y49</f>
        <v>606.62541666666664</v>
      </c>
    </row>
    <row r="42" spans="1:29">
      <c r="A42" s="5">
        <v>39</v>
      </c>
      <c r="B42" s="5" t="s">
        <v>405</v>
      </c>
      <c r="C42" s="6" t="str">
        <f>'Table 2'!E42</f>
        <v>psl</v>
      </c>
      <c r="D42" s="3">
        <f>Sphalerite!U771</f>
        <v>20</v>
      </c>
      <c r="E42" s="17">
        <f>Sphalerite!V771</f>
        <v>7.88</v>
      </c>
      <c r="F42" s="17">
        <f>Sphalerite!W771</f>
        <v>6.0080000000000009</v>
      </c>
      <c r="G42" s="17">
        <f>Sphalerite!X771</f>
        <v>1.28</v>
      </c>
      <c r="H42" s="17">
        <f>Sphalerite!Y771</f>
        <v>8.0634999999999998E-2</v>
      </c>
      <c r="I42" s="12">
        <f>Sphalerite!Z771</f>
        <v>14.466787500000001</v>
      </c>
      <c r="J42" s="12">
        <f>Sphalerite!AA771</f>
        <v>0.82739499999999988</v>
      </c>
      <c r="K42" s="12">
        <f>Sphalerite!AB771</f>
        <v>4638</v>
      </c>
      <c r="L42" s="12">
        <f>Sphalerite!AC771</f>
        <v>4465.75</v>
      </c>
      <c r="M42" s="12">
        <f>Sphalerite!AD771</f>
        <v>979.25</v>
      </c>
      <c r="N42" s="20">
        <f>Sphalerite!AE771</f>
        <v>662.77</v>
      </c>
      <c r="O42" s="3"/>
      <c r="P42" s="17"/>
      <c r="Q42" s="17"/>
      <c r="S42" s="20"/>
      <c r="T42" s="3"/>
      <c r="U42" s="17"/>
      <c r="V42" s="17"/>
      <c r="W42" s="12"/>
      <c r="X42" s="20"/>
      <c r="Y42" s="3"/>
      <c r="Z42" s="17"/>
      <c r="AA42" s="17"/>
      <c r="AB42" s="12"/>
      <c r="AC42" s="12"/>
    </row>
    <row r="43" spans="1:29">
      <c r="A43" s="5">
        <v>40</v>
      </c>
      <c r="B43" s="5" t="s">
        <v>652</v>
      </c>
      <c r="C43" s="6" t="str">
        <f>'Table 2'!E43</f>
        <v>psl</v>
      </c>
      <c r="D43" s="3"/>
      <c r="H43" s="16"/>
      <c r="N43" s="20"/>
      <c r="O43" s="3"/>
      <c r="P43" s="17"/>
      <c r="Q43" s="17"/>
      <c r="S43" s="20"/>
      <c r="T43" s="3"/>
      <c r="U43" s="17"/>
      <c r="V43" s="17"/>
      <c r="W43" s="12"/>
      <c r="X43" s="20"/>
      <c r="Y43" s="3"/>
      <c r="Z43" s="17"/>
      <c r="AA43" s="17"/>
      <c r="AB43" s="12"/>
      <c r="AC43" s="12"/>
    </row>
    <row r="44" spans="1:29">
      <c r="A44" s="5">
        <v>41</v>
      </c>
      <c r="B44" s="5" t="s">
        <v>656</v>
      </c>
      <c r="C44" s="6" t="str">
        <f>'Table 2'!E44</f>
        <v>psl</v>
      </c>
      <c r="D44" s="3"/>
      <c r="H44" s="16"/>
      <c r="N44" s="20"/>
      <c r="O44" s="3"/>
      <c r="P44" s="17"/>
      <c r="Q44" s="17"/>
      <c r="S44" s="20"/>
      <c r="T44" s="3"/>
      <c r="U44" s="17"/>
      <c r="V44" s="17"/>
      <c r="W44" s="12"/>
      <c r="X44" s="20"/>
      <c r="Y44" s="3"/>
      <c r="Z44" s="17"/>
      <c r="AA44" s="17"/>
      <c r="AB44" s="12"/>
      <c r="AC44" s="12"/>
    </row>
    <row r="45" spans="1:29">
      <c r="A45" s="5">
        <v>42</v>
      </c>
      <c r="B45" s="5" t="s">
        <v>290</v>
      </c>
      <c r="C45" s="6" t="str">
        <f>'Table 2'!E45</f>
        <v>psl</v>
      </c>
      <c r="D45" s="3">
        <f>Sphalerite!U650</f>
        <v>21</v>
      </c>
      <c r="E45" s="17">
        <f>Sphalerite!V650</f>
        <v>8.26</v>
      </c>
      <c r="F45" s="17">
        <f>Sphalerite!W650</f>
        <v>7.1376190476190455</v>
      </c>
      <c r="G45" s="17">
        <f>Sphalerite!X650</f>
        <v>1.1299999999999999</v>
      </c>
      <c r="H45" s="17">
        <f>Sphalerite!Y650</f>
        <v>0.10785238095238095</v>
      </c>
      <c r="I45" s="12">
        <f>Sphalerite!Z650</f>
        <v>28.999999999999996</v>
      </c>
      <c r="J45" s="12">
        <f>Sphalerite!AA650</f>
        <v>6.4424452380952371</v>
      </c>
      <c r="K45" s="12">
        <f>Sphalerite!AB650</f>
        <v>4055.0000000000005</v>
      </c>
      <c r="L45" s="12">
        <f>Sphalerite!AC650</f>
        <v>3573.1428571428582</v>
      </c>
      <c r="M45" s="12">
        <f>Sphalerite!AD650</f>
        <v>553.65</v>
      </c>
      <c r="N45" s="20">
        <f>Sphalerite!AE650</f>
        <v>370.69285714285724</v>
      </c>
      <c r="O45" s="3">
        <f>Chalcopyrite!S977</f>
        <v>6</v>
      </c>
      <c r="P45" s="17">
        <f>Chalcopyrite!T977</f>
        <v>0.11360000000000001</v>
      </c>
      <c r="Q45" s="17">
        <f>Chalcopyrite!U977</f>
        <v>6.2933333333333327E-2</v>
      </c>
      <c r="R45" s="12">
        <f>Chalcopyrite!V977</f>
        <v>73</v>
      </c>
      <c r="S45" s="20">
        <f>Chalcopyrite!W977</f>
        <v>29.833333333333332</v>
      </c>
      <c r="T45" s="3"/>
      <c r="U45" s="17"/>
      <c r="V45" s="17"/>
      <c r="W45" s="12"/>
      <c r="X45" s="20"/>
      <c r="Y45" s="3">
        <f>Cassiterite!U87</f>
        <v>2</v>
      </c>
      <c r="Z45" s="17">
        <f>Cassiterite!V87</f>
        <v>0.92100000000000004</v>
      </c>
      <c r="AA45" s="17">
        <f>Cassiterite!W87</f>
        <v>0.57235000000000003</v>
      </c>
      <c r="AB45" s="12">
        <f>Cassiterite!X87</f>
        <v>18.872499999999793</v>
      </c>
      <c r="AC45" s="12">
        <f>Cassiterite!Y87</f>
        <v>3.4299999999998221</v>
      </c>
    </row>
    <row r="46" spans="1:29">
      <c r="A46" s="35" t="s">
        <v>663</v>
      </c>
      <c r="B46" s="37"/>
      <c r="C46" s="6"/>
      <c r="D46" s="3"/>
      <c r="H46" s="16"/>
      <c r="N46" s="20"/>
      <c r="O46" s="3"/>
      <c r="P46" s="17"/>
      <c r="Q46" s="17"/>
      <c r="S46" s="20"/>
      <c r="T46" s="3"/>
      <c r="U46" s="17"/>
      <c r="V46" s="17"/>
      <c r="W46" s="12"/>
      <c r="X46" s="20"/>
      <c r="Y46" s="3"/>
      <c r="Z46" s="17"/>
      <c r="AA46" s="17"/>
      <c r="AB46" s="12"/>
      <c r="AC46" s="12"/>
    </row>
    <row r="47" spans="1:29">
      <c r="A47" s="5">
        <v>43</v>
      </c>
      <c r="B47" s="6" t="s">
        <v>240</v>
      </c>
      <c r="C47" s="6" t="str">
        <f>'Table 2'!E47</f>
        <v>ccv</v>
      </c>
      <c r="D47" s="3"/>
      <c r="H47" s="16"/>
      <c r="N47" s="20"/>
      <c r="O47" s="3">
        <f>Chalcopyrite!S310</f>
        <v>9</v>
      </c>
      <c r="P47" s="17">
        <f>Chalcopyrite!T310</f>
        <v>5.5599999999999997E-2</v>
      </c>
      <c r="Q47" s="17">
        <f>Chalcopyrite!U310</f>
        <v>3.6277777777777784E-2</v>
      </c>
      <c r="R47" s="12">
        <f>Chalcopyrite!V310</f>
        <v>296</v>
      </c>
      <c r="S47" s="20">
        <f>Chalcopyrite!W310</f>
        <v>86.555555555555557</v>
      </c>
      <c r="T47" s="3"/>
      <c r="U47" s="17"/>
      <c r="V47" s="17"/>
      <c r="W47" s="12"/>
      <c r="X47" s="20"/>
      <c r="Y47" s="3"/>
      <c r="Z47" s="17"/>
      <c r="AA47" s="17"/>
      <c r="AB47" s="12"/>
      <c r="AC47" s="12"/>
    </row>
    <row r="48" spans="1:29">
      <c r="A48" s="5">
        <v>44</v>
      </c>
      <c r="B48" s="5" t="s">
        <v>669</v>
      </c>
      <c r="C48" s="6" t="str">
        <f>'Table 2'!E48</f>
        <v>ccv</v>
      </c>
      <c r="D48" s="3">
        <f>Sphalerite!U206</f>
        <v>25</v>
      </c>
      <c r="E48" s="17">
        <f>Sphalerite!V206</f>
        <v>6.27</v>
      </c>
      <c r="F48" s="17">
        <f>Sphalerite!W206</f>
        <v>3.4621</v>
      </c>
      <c r="G48" s="17">
        <f>Sphalerite!X206</f>
        <v>2.5</v>
      </c>
      <c r="H48" s="17">
        <f>Sphalerite!Y206</f>
        <v>0.22077599999999997</v>
      </c>
      <c r="I48" s="12">
        <f>Sphalerite!Z206</f>
        <v>1071</v>
      </c>
      <c r="J48" s="12">
        <f>Sphalerite!AA206</f>
        <v>335.52610449999997</v>
      </c>
      <c r="K48" s="12">
        <f>Sphalerite!AB206</f>
        <v>4378</v>
      </c>
      <c r="L48" s="12">
        <f>Sphalerite!AC206</f>
        <v>2686.52</v>
      </c>
      <c r="M48" s="12">
        <f>Sphalerite!AD206</f>
        <v>646.99999999999989</v>
      </c>
      <c r="N48" s="20">
        <f>Sphalerite!AE206</f>
        <v>486.54199999999997</v>
      </c>
      <c r="O48" s="3"/>
      <c r="P48" s="17"/>
      <c r="Q48" s="17"/>
      <c r="S48" s="20"/>
      <c r="T48" s="3"/>
      <c r="U48" s="17"/>
      <c r="V48" s="17"/>
      <c r="W48" s="12"/>
      <c r="X48" s="20"/>
      <c r="Y48" s="3"/>
      <c r="Z48" s="17"/>
      <c r="AA48" s="17"/>
      <c r="AB48" s="12"/>
      <c r="AC48" s="12"/>
    </row>
    <row r="49" spans="1:29">
      <c r="A49" s="5">
        <v>45</v>
      </c>
      <c r="B49" s="7" t="s">
        <v>674</v>
      </c>
      <c r="C49" s="6" t="str">
        <f>'Table 2'!E49</f>
        <v>ccv</v>
      </c>
      <c r="D49" s="3">
        <f>Sphalerite!U826</f>
        <v>3</v>
      </c>
      <c r="E49" s="17">
        <f>Sphalerite!V826</f>
        <v>4.18</v>
      </c>
      <c r="F49" s="17">
        <f>Sphalerite!W826</f>
        <v>3.6</v>
      </c>
      <c r="G49" s="17">
        <f>Sphalerite!X826</f>
        <v>0.1449</v>
      </c>
      <c r="H49" s="17">
        <f>Sphalerite!Y826</f>
        <v>5.5500000000000001E-2</v>
      </c>
      <c r="I49" s="12">
        <f>Sphalerite!Z826</f>
        <v>37</v>
      </c>
      <c r="J49" s="12">
        <f>Sphalerite!AA826</f>
        <v>19.839945833333335</v>
      </c>
      <c r="K49" s="12">
        <f>Sphalerite!AB826</f>
        <v>1727</v>
      </c>
      <c r="L49" s="12">
        <f>Sphalerite!AC826</f>
        <v>922.33333333333337</v>
      </c>
      <c r="M49" s="12">
        <f>Sphalerite!AD826</f>
        <v>950.35000000000014</v>
      </c>
      <c r="N49" s="20">
        <f>Sphalerite!AE826</f>
        <v>748.98333333333335</v>
      </c>
      <c r="O49" s="3"/>
      <c r="P49" s="17"/>
      <c r="Q49" s="17"/>
      <c r="S49" s="20"/>
      <c r="T49" s="3"/>
      <c r="U49" s="17"/>
      <c r="V49" s="17"/>
      <c r="W49" s="12"/>
      <c r="X49" s="20"/>
      <c r="Y49" s="3"/>
      <c r="Z49" s="17"/>
      <c r="AA49" s="17"/>
      <c r="AB49" s="12"/>
      <c r="AC49" s="12"/>
    </row>
    <row r="50" spans="1:29">
      <c r="A50" s="7">
        <v>46</v>
      </c>
      <c r="B50" s="6" t="s">
        <v>678</v>
      </c>
      <c r="C50" s="6" t="str">
        <f>'Table 2'!E50</f>
        <v>ccv</v>
      </c>
      <c r="D50" s="3">
        <f>Sphalerite!U85</f>
        <v>18</v>
      </c>
      <c r="E50" s="17">
        <f>Sphalerite!V85</f>
        <v>0.43219999999999997</v>
      </c>
      <c r="F50" s="17">
        <f>Sphalerite!W85</f>
        <v>0.1789611111111111</v>
      </c>
      <c r="G50" s="17">
        <f>Sphalerite!X85</f>
        <v>0.33489999999999998</v>
      </c>
      <c r="H50" s="17">
        <f>Sphalerite!Y85</f>
        <v>3.9322222222222224E-2</v>
      </c>
      <c r="I50" s="12">
        <f>Sphalerite!Z85</f>
        <v>97</v>
      </c>
      <c r="J50" s="12">
        <f>Sphalerite!AA85</f>
        <v>15.999999999999998</v>
      </c>
      <c r="K50" s="12">
        <f>Sphalerite!AB85</f>
        <v>4928</v>
      </c>
      <c r="L50" s="12">
        <f>Sphalerite!AC85</f>
        <v>4088.4444444444453</v>
      </c>
      <c r="M50" s="12">
        <f>Sphalerite!AD85</f>
        <v>630</v>
      </c>
      <c r="N50" s="20">
        <f>Sphalerite!AE85</f>
        <v>467.5888888888889</v>
      </c>
      <c r="O50" s="3">
        <f>Chalcopyrite!S190</f>
        <v>12</v>
      </c>
      <c r="P50" s="17">
        <f>Chalcopyrite!T190</f>
        <v>4.4999999999999998E-2</v>
      </c>
      <c r="Q50" s="17">
        <f>Chalcopyrite!U190</f>
        <v>2.1125000000000001E-2</v>
      </c>
      <c r="R50" s="12">
        <f>Chalcopyrite!V190</f>
        <v>2</v>
      </c>
      <c r="S50" s="20">
        <f>Chalcopyrite!W190</f>
        <v>0.16666666666666669</v>
      </c>
      <c r="T50" s="3"/>
      <c r="U50" s="17"/>
      <c r="V50" s="17"/>
      <c r="W50" s="12"/>
      <c r="X50" s="20"/>
      <c r="Y50" s="3"/>
      <c r="Z50" s="17"/>
      <c r="AA50" s="17"/>
      <c r="AB50" s="12"/>
      <c r="AC50" s="12"/>
    </row>
    <row r="51" spans="1:29">
      <c r="A51" s="5">
        <v>47</v>
      </c>
      <c r="B51" s="7" t="s">
        <v>682</v>
      </c>
      <c r="C51" s="6" t="str">
        <f>'Table 2'!E51</f>
        <v>ccv</v>
      </c>
      <c r="D51" s="3">
        <f>Sphalerite!U791</f>
        <v>24</v>
      </c>
      <c r="E51" s="17">
        <f>Sphalerite!V791</f>
        <v>1.59</v>
      </c>
      <c r="F51" s="17">
        <f>Sphalerite!W791</f>
        <v>0.47340833333333338</v>
      </c>
      <c r="G51" s="17">
        <f>Sphalerite!X791</f>
        <v>2.74</v>
      </c>
      <c r="H51" s="17">
        <f>Sphalerite!Y791</f>
        <v>0.53755416666666656</v>
      </c>
      <c r="I51" s="12">
        <f>Sphalerite!Z791</f>
        <v>42</v>
      </c>
      <c r="J51" s="12">
        <f>Sphalerite!AA791</f>
        <v>6.3041687499999979</v>
      </c>
      <c r="K51" s="12">
        <f>Sphalerite!AB791</f>
        <v>17400</v>
      </c>
      <c r="L51" s="12">
        <f>Sphalerite!AC791</f>
        <v>5427.833333333333</v>
      </c>
      <c r="M51" s="12">
        <f>Sphalerite!AD791</f>
        <v>1366.15</v>
      </c>
      <c r="N51" s="20">
        <f>Sphalerite!AE791</f>
        <v>783.60833333333335</v>
      </c>
      <c r="O51" s="3">
        <f>Chalcopyrite!S1053</f>
        <v>35</v>
      </c>
      <c r="P51" s="17">
        <f>Chalcopyrite!T1053</f>
        <v>0.31590000000000001</v>
      </c>
      <c r="Q51" s="17">
        <f>Chalcopyrite!U1053</f>
        <v>6.0394285714285713E-2</v>
      </c>
      <c r="R51" s="12">
        <f>Chalcopyrite!V1053</f>
        <v>744.12807499999997</v>
      </c>
      <c r="S51" s="20">
        <f>Chalcopyrite!W1053</f>
        <v>179.203585</v>
      </c>
      <c r="T51" s="3"/>
      <c r="U51" s="17"/>
      <c r="V51" s="17"/>
      <c r="W51" s="12"/>
      <c r="X51" s="20"/>
      <c r="Y51" s="3"/>
      <c r="Z51" s="17"/>
      <c r="AA51" s="17"/>
      <c r="AB51" s="12"/>
      <c r="AC51" s="12"/>
    </row>
    <row r="52" spans="1:29">
      <c r="A52" s="7">
        <v>48</v>
      </c>
      <c r="B52" s="7" t="s">
        <v>292</v>
      </c>
      <c r="C52" s="6" t="str">
        <f>'Table 2'!E52</f>
        <v>ccv - (psl)</v>
      </c>
      <c r="D52" s="3">
        <f>Sphalerite!U671</f>
        <v>36</v>
      </c>
      <c r="E52" s="17">
        <f>Sphalerite!V671</f>
        <v>3.72</v>
      </c>
      <c r="F52" s="17">
        <f>Sphalerite!W671</f>
        <v>1.9818027777777785</v>
      </c>
      <c r="G52" s="17">
        <f>Sphalerite!X671</f>
        <v>1.55</v>
      </c>
      <c r="H52" s="17">
        <f>Sphalerite!Y671</f>
        <v>0.42835277777777775</v>
      </c>
      <c r="I52" s="12">
        <f>Sphalerite!Z671</f>
        <v>975</v>
      </c>
      <c r="J52" s="12">
        <f>Sphalerite!AA671</f>
        <v>106.12160416666669</v>
      </c>
      <c r="K52" s="12">
        <f>Sphalerite!AB671</f>
        <v>15500</v>
      </c>
      <c r="L52" s="12">
        <f>Sphalerite!AC671</f>
        <v>4700.1944444444443</v>
      </c>
      <c r="M52" s="12">
        <f>Sphalerite!AD671</f>
        <v>1004</v>
      </c>
      <c r="N52" s="20">
        <f>Sphalerite!AE671</f>
        <v>546.69999999999993</v>
      </c>
      <c r="O52" s="3">
        <f>Chalcopyrite!S978</f>
        <v>53</v>
      </c>
      <c r="P52" s="17">
        <f>Chalcopyrite!T978</f>
        <v>0.2135</v>
      </c>
      <c r="Q52" s="17">
        <f>Chalcopyrite!U978</f>
        <v>3.2692452830188672E-2</v>
      </c>
      <c r="R52" s="12">
        <f>Chalcopyrite!V978</f>
        <v>285.48876249999995</v>
      </c>
      <c r="S52" s="20">
        <f>Chalcopyrite!W978</f>
        <v>93.384347877358508</v>
      </c>
      <c r="T52" s="3"/>
      <c r="U52" s="17"/>
      <c r="V52" s="17"/>
      <c r="W52" s="12"/>
      <c r="X52" s="20"/>
      <c r="Y52" s="3"/>
      <c r="Z52" s="17"/>
      <c r="AA52" s="17"/>
      <c r="AB52" s="12"/>
      <c r="AC52" s="12"/>
    </row>
    <row r="53" spans="1:29">
      <c r="A53" s="7">
        <v>49</v>
      </c>
      <c r="B53" s="5" t="s">
        <v>123</v>
      </c>
      <c r="C53" s="6" t="str">
        <f>'Table 2'!E53</f>
        <v>ccv</v>
      </c>
      <c r="D53" s="3">
        <f>Sphalerite!U930</f>
        <v>54</v>
      </c>
      <c r="E53" s="17">
        <f>Sphalerite!V930</f>
        <v>11.01</v>
      </c>
      <c r="F53" s="17">
        <f>Sphalerite!W930</f>
        <v>1.1868425925925925</v>
      </c>
      <c r="G53" s="17">
        <f>Sphalerite!X930</f>
        <v>0.6381</v>
      </c>
      <c r="H53" s="17">
        <f>Sphalerite!Y930</f>
        <v>7.7085185185185187E-2</v>
      </c>
      <c r="I53" s="12">
        <f>10000*Sphalerite!Z930</f>
        <v>424</v>
      </c>
      <c r="J53" s="12">
        <f>10000*Sphalerite!AA930</f>
        <v>23.374905324074071</v>
      </c>
      <c r="K53" s="12">
        <f>10000*Sphalerite!AB930</f>
        <v>11200.000000000002</v>
      </c>
      <c r="L53" s="12">
        <f>10000*Sphalerite!AC930</f>
        <v>3736.1481481481474</v>
      </c>
      <c r="M53" s="12">
        <f>10000*Sphalerite!AD930</f>
        <v>925</v>
      </c>
      <c r="N53" s="12">
        <f>10000*Sphalerite!AE930</f>
        <v>624.50370370370365</v>
      </c>
      <c r="O53" s="3">
        <f>Chalcopyrite!S1150</f>
        <v>1</v>
      </c>
      <c r="P53" s="3">
        <f>Chalcopyrite!T1150</f>
        <v>2.5299999999999998</v>
      </c>
      <c r="Q53" s="3">
        <f>Chalcopyrite!U1150</f>
        <v>2.5299999999999998</v>
      </c>
      <c r="R53" s="3">
        <f>Chalcopyrite!V1150</f>
        <v>0</v>
      </c>
      <c r="S53" s="3">
        <f>Chalcopyrite!W1150</f>
        <v>0</v>
      </c>
      <c r="T53" s="3"/>
      <c r="U53" s="17"/>
      <c r="V53" s="17"/>
      <c r="W53" s="12"/>
      <c r="X53" s="12"/>
      <c r="Y53" s="3"/>
      <c r="Z53" s="17"/>
      <c r="AA53" s="17"/>
      <c r="AB53" s="12"/>
      <c r="AC53" s="12"/>
    </row>
    <row r="54" spans="1:29">
      <c r="C54" s="6"/>
      <c r="D54" s="3"/>
      <c r="E54" s="3"/>
      <c r="H54" s="16"/>
      <c r="I54" s="16"/>
      <c r="S54" s="12"/>
      <c r="T54" s="12"/>
      <c r="U54" s="17"/>
      <c r="V54" s="17"/>
      <c r="W54" s="12"/>
      <c r="X54" s="12"/>
      <c r="Y54" s="3"/>
      <c r="Z54" s="17"/>
      <c r="AA54" s="17"/>
      <c r="AB54" s="12"/>
      <c r="AC54" s="12"/>
    </row>
    <row r="55" spans="1:29">
      <c r="C55" s="2"/>
      <c r="D55" s="3"/>
      <c r="E55" s="3"/>
      <c r="H55" s="16"/>
      <c r="I55" s="16"/>
      <c r="S55" s="12"/>
      <c r="T55" s="12"/>
      <c r="U55" s="17"/>
      <c r="V55" s="17"/>
      <c r="W55" s="12"/>
      <c r="X55" s="12"/>
      <c r="Y55" s="3"/>
      <c r="Z55" s="17"/>
      <c r="AA55" s="17"/>
      <c r="AB55" s="12"/>
      <c r="AC55" s="12"/>
    </row>
    <row r="56" spans="1:29">
      <c r="C56" s="5"/>
      <c r="D56" s="3"/>
      <c r="E56" s="3"/>
      <c r="H56" s="16"/>
      <c r="I56" s="16"/>
      <c r="S56" s="12"/>
      <c r="T56" s="12"/>
      <c r="U56" s="17"/>
      <c r="V56" s="17"/>
      <c r="W56" s="12"/>
      <c r="X56" s="12"/>
      <c r="Y56" s="3"/>
      <c r="Z56" s="17"/>
      <c r="AA56" s="17"/>
      <c r="AB56" s="12"/>
      <c r="AC56" s="12"/>
    </row>
  </sheetData>
  <mergeCells count="2">
    <mergeCell ref="A7:B7"/>
    <mergeCell ref="A46:B46"/>
  </mergeCells>
  <phoneticPr fontId="1" type="noConversion"/>
  <printOptions gridLines="1"/>
  <pageMargins left="0.39370078740157483" right="0.39370078740157483" top="0.39370078740157483" bottom="0.39370078740157483" header="0.19685039370078741" footer="0.39370078740157483"/>
  <pageSetup paperSize="9" scale="76" orientation="landscape" horizontalDpi="1200" verticalDpi="12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A5C68-7768-4829-9A50-8036C0696A19}">
  <dimension ref="A1:H56"/>
  <sheetViews>
    <sheetView topLeftCell="A19" workbookViewId="0">
      <selection activeCell="A2" sqref="A2:H53"/>
    </sheetView>
  </sheetViews>
  <sheetFormatPr defaultRowHeight="12.75"/>
  <cols>
    <col min="1" max="1" width="11.85546875" style="5" customWidth="1"/>
    <col min="2" max="2" width="20.28515625" style="5" customWidth="1"/>
    <col min="3" max="3" width="14.42578125" style="3" bestFit="1" customWidth="1"/>
    <col min="4" max="6" width="8.28515625" style="12" customWidth="1"/>
    <col min="7" max="7" width="9.140625" style="12"/>
    <col min="8" max="8" width="9.140625" style="17"/>
  </cols>
  <sheetData>
    <row r="1" spans="1:8">
      <c r="C1" s="1" t="s">
        <v>489</v>
      </c>
      <c r="D1" s="8" t="s">
        <v>697</v>
      </c>
      <c r="E1" s="8"/>
      <c r="F1" s="8"/>
      <c r="H1" s="20"/>
    </row>
    <row r="2" spans="1:8">
      <c r="A2" s="32" t="s">
        <v>494</v>
      </c>
      <c r="C2" s="1"/>
      <c r="D2" s="3" t="s">
        <v>314</v>
      </c>
      <c r="E2" s="3" t="s">
        <v>203</v>
      </c>
      <c r="F2" s="3" t="s">
        <v>204</v>
      </c>
      <c r="G2" s="12" t="s">
        <v>205</v>
      </c>
      <c r="H2" s="20" t="s">
        <v>206</v>
      </c>
    </row>
    <row r="3" spans="1:8">
      <c r="A3" s="5">
        <v>1</v>
      </c>
      <c r="B3" s="5" t="s">
        <v>36</v>
      </c>
      <c r="C3" s="6" t="s">
        <v>495</v>
      </c>
      <c r="D3" s="3">
        <v>13</v>
      </c>
      <c r="E3" s="17">
        <v>7.1199999999999999E-2</v>
      </c>
      <c r="F3" s="17">
        <v>4.2030769230769233E-2</v>
      </c>
      <c r="G3" s="12">
        <v>21</v>
      </c>
      <c r="H3" s="20">
        <v>2.8461538461538463</v>
      </c>
    </row>
    <row r="4" spans="1:8">
      <c r="A4" s="6">
        <v>2</v>
      </c>
      <c r="B4" s="6" t="s">
        <v>191</v>
      </c>
      <c r="C4" s="6" t="s">
        <v>500</v>
      </c>
      <c r="D4" s="3">
        <v>12</v>
      </c>
      <c r="E4" s="17">
        <v>9.5500000000000002E-2</v>
      </c>
      <c r="F4" s="17">
        <v>5.3824999999999991E-2</v>
      </c>
      <c r="G4" s="12">
        <v>42</v>
      </c>
      <c r="H4" s="20">
        <v>8.8333333333333357</v>
      </c>
    </row>
    <row r="5" spans="1:8">
      <c r="A5" s="6">
        <v>3</v>
      </c>
      <c r="B5" s="6" t="s">
        <v>119</v>
      </c>
      <c r="C5" s="6" t="s">
        <v>500</v>
      </c>
      <c r="D5" s="3"/>
      <c r="E5" s="17"/>
      <c r="F5" s="17"/>
      <c r="H5" s="20"/>
    </row>
    <row r="6" spans="1:8">
      <c r="A6" s="6">
        <v>4</v>
      </c>
      <c r="B6" s="6" t="s">
        <v>426</v>
      </c>
      <c r="C6" s="6" t="s">
        <v>500</v>
      </c>
      <c r="D6" s="3"/>
      <c r="E6" s="17"/>
      <c r="F6" s="17"/>
      <c r="H6" s="20"/>
    </row>
    <row r="7" spans="1:8">
      <c r="A7" s="35" t="s">
        <v>513</v>
      </c>
      <c r="B7" s="37"/>
      <c r="C7" s="6"/>
      <c r="D7" s="3"/>
      <c r="E7" s="17"/>
      <c r="F7" s="17"/>
      <c r="H7" s="20"/>
    </row>
    <row r="8" spans="1:8">
      <c r="A8" s="7">
        <v>5</v>
      </c>
      <c r="B8" s="34" t="s">
        <v>514</v>
      </c>
      <c r="C8" s="6" t="s">
        <v>515</v>
      </c>
      <c r="D8" s="3"/>
      <c r="E8" s="17"/>
      <c r="F8" s="17"/>
      <c r="H8" s="20"/>
    </row>
    <row r="9" spans="1:8">
      <c r="A9" s="5">
        <v>6</v>
      </c>
      <c r="B9" s="5" t="s">
        <v>520</v>
      </c>
      <c r="C9" s="6" t="s">
        <v>515</v>
      </c>
      <c r="D9" s="3"/>
      <c r="E9" s="17"/>
      <c r="F9" s="17"/>
      <c r="H9" s="20"/>
    </row>
    <row r="10" spans="1:8">
      <c r="A10" s="6">
        <v>7</v>
      </c>
      <c r="B10" s="6" t="s">
        <v>121</v>
      </c>
      <c r="C10" s="6" t="s">
        <v>515</v>
      </c>
      <c r="D10" s="3">
        <v>9</v>
      </c>
      <c r="E10" s="17">
        <v>0.6321</v>
      </c>
      <c r="F10" s="17">
        <v>0.13403333333333334</v>
      </c>
      <c r="G10" s="12">
        <v>85</v>
      </c>
      <c r="H10" s="12">
        <v>62.55555555555555</v>
      </c>
    </row>
    <row r="11" spans="1:8">
      <c r="A11" s="6">
        <v>8</v>
      </c>
      <c r="B11" s="6" t="s">
        <v>60</v>
      </c>
      <c r="C11" s="6" t="s">
        <v>528</v>
      </c>
      <c r="D11" s="3">
        <v>25</v>
      </c>
      <c r="E11" s="17">
        <v>0.86119999999999997</v>
      </c>
      <c r="F11" s="17">
        <v>0.13730799999999999</v>
      </c>
      <c r="G11" s="12">
        <v>438.16790000000003</v>
      </c>
      <c r="H11" s="20">
        <v>102.28671600000001</v>
      </c>
    </row>
    <row r="12" spans="1:8">
      <c r="A12" s="6">
        <v>9</v>
      </c>
      <c r="B12" s="6" t="s">
        <v>533</v>
      </c>
      <c r="C12" s="6" t="s">
        <v>528</v>
      </c>
      <c r="D12" s="3"/>
      <c r="E12" s="17"/>
      <c r="F12" s="17"/>
      <c r="H12" s="20"/>
    </row>
    <row r="13" spans="1:8">
      <c r="A13" s="6">
        <v>10</v>
      </c>
      <c r="B13" s="6" t="s">
        <v>171</v>
      </c>
      <c r="C13" s="6" t="s">
        <v>528</v>
      </c>
      <c r="D13" s="3">
        <v>21</v>
      </c>
      <c r="E13" s="17">
        <v>0.10150000000000001</v>
      </c>
      <c r="F13" s="17">
        <v>4.0842857142857153E-2</v>
      </c>
      <c r="G13" s="12">
        <v>1331</v>
      </c>
      <c r="H13" s="20">
        <v>1143.0952380952383</v>
      </c>
    </row>
    <row r="14" spans="1:8">
      <c r="A14" s="5">
        <v>11</v>
      </c>
      <c r="B14" s="5" t="s">
        <v>17</v>
      </c>
      <c r="C14" s="6" t="s">
        <v>541</v>
      </c>
      <c r="D14" s="3">
        <v>67</v>
      </c>
      <c r="E14" s="17">
        <v>0.1477</v>
      </c>
      <c r="F14" s="17">
        <v>3.3013432835820901E-2</v>
      </c>
      <c r="G14" s="12">
        <v>539</v>
      </c>
      <c r="H14" s="20">
        <v>339.716417910448</v>
      </c>
    </row>
    <row r="15" spans="1:8">
      <c r="A15" s="5">
        <v>12</v>
      </c>
      <c r="B15" s="5" t="s">
        <v>44</v>
      </c>
      <c r="C15" s="6" t="s">
        <v>546</v>
      </c>
      <c r="D15" s="3">
        <v>132</v>
      </c>
      <c r="E15" s="17">
        <v>0.40660000000000002</v>
      </c>
      <c r="F15" s="17">
        <v>6.8350000000000036E-2</v>
      </c>
      <c r="G15" s="12">
        <v>1147</v>
      </c>
      <c r="H15" s="20">
        <v>157.36363636363635</v>
      </c>
    </row>
    <row r="16" spans="1:8">
      <c r="A16" s="5">
        <v>13</v>
      </c>
      <c r="B16" s="5" t="s">
        <v>550</v>
      </c>
      <c r="C16" s="6" t="s">
        <v>551</v>
      </c>
      <c r="D16" s="3"/>
      <c r="E16" s="17"/>
      <c r="F16" s="17"/>
      <c r="H16" s="20"/>
    </row>
    <row r="17" spans="1:8">
      <c r="A17" s="5">
        <v>14</v>
      </c>
      <c r="B17" s="5" t="s">
        <v>556</v>
      </c>
      <c r="C17" s="6" t="s">
        <v>551</v>
      </c>
      <c r="D17" s="3"/>
      <c r="E17" s="17"/>
      <c r="F17" s="17"/>
      <c r="H17" s="20"/>
    </row>
    <row r="18" spans="1:8">
      <c r="A18" s="5">
        <v>15</v>
      </c>
      <c r="B18" s="5" t="s">
        <v>560</v>
      </c>
      <c r="C18" s="6" t="s">
        <v>551</v>
      </c>
      <c r="D18" s="3"/>
      <c r="E18" s="17"/>
      <c r="F18" s="17"/>
      <c r="H18" s="20"/>
    </row>
    <row r="19" spans="1:8">
      <c r="A19" s="5">
        <v>16</v>
      </c>
      <c r="B19" s="6" t="s">
        <v>38</v>
      </c>
      <c r="C19" s="6" t="s">
        <v>562</v>
      </c>
      <c r="D19" s="3">
        <v>57</v>
      </c>
      <c r="E19" s="17">
        <v>5.0500000000000003E-2</v>
      </c>
      <c r="F19" s="17">
        <v>2.0256140350877194E-2</v>
      </c>
      <c r="G19" s="12">
        <v>822</v>
      </c>
      <c r="H19" s="20">
        <v>203.38596491228071</v>
      </c>
    </row>
    <row r="20" spans="1:8">
      <c r="A20" s="5">
        <v>17</v>
      </c>
      <c r="B20" s="6" t="s">
        <v>49</v>
      </c>
      <c r="C20" s="6" t="s">
        <v>562</v>
      </c>
      <c r="D20" s="3">
        <v>28</v>
      </c>
      <c r="E20" s="17">
        <v>8.9399999999999993E-2</v>
      </c>
      <c r="F20" s="17">
        <v>2.5227999999999997E-2</v>
      </c>
      <c r="G20" s="12">
        <v>947.00000000000011</v>
      </c>
      <c r="H20" s="20">
        <v>342.32142857142861</v>
      </c>
    </row>
    <row r="21" spans="1:8">
      <c r="A21" s="5">
        <v>18</v>
      </c>
      <c r="B21" s="5" t="s">
        <v>24</v>
      </c>
      <c r="C21" s="6" t="s">
        <v>562</v>
      </c>
      <c r="D21" s="3">
        <v>67</v>
      </c>
      <c r="E21" s="17">
        <v>0.56430000000000002</v>
      </c>
      <c r="F21" s="17">
        <v>5.65358208955224E-2</v>
      </c>
      <c r="G21" s="12">
        <v>2214</v>
      </c>
      <c r="H21" s="20">
        <v>648.01002686567165</v>
      </c>
    </row>
    <row r="22" spans="1:8">
      <c r="A22" s="5">
        <v>19</v>
      </c>
      <c r="B22" s="6" t="s">
        <v>46</v>
      </c>
      <c r="C22" s="6" t="s">
        <v>562</v>
      </c>
      <c r="D22" s="3"/>
      <c r="E22" s="17"/>
      <c r="F22" s="17"/>
      <c r="H22" s="20"/>
    </row>
    <row r="23" spans="1:8">
      <c r="A23" s="5">
        <v>20</v>
      </c>
      <c r="B23" s="5" t="s">
        <v>579</v>
      </c>
      <c r="C23" s="6" t="s">
        <v>580</v>
      </c>
      <c r="D23" s="3"/>
      <c r="E23" s="17"/>
      <c r="F23" s="17"/>
      <c r="H23" s="20"/>
    </row>
    <row r="24" spans="1:8">
      <c r="A24" s="5">
        <v>21</v>
      </c>
      <c r="B24" s="5" t="s">
        <v>53</v>
      </c>
      <c r="C24" s="6" t="s">
        <v>562</v>
      </c>
      <c r="D24" s="3">
        <v>57</v>
      </c>
      <c r="E24" s="17">
        <v>0.47860000000000003</v>
      </c>
      <c r="F24" s="17">
        <v>5.4901754385964924E-2</v>
      </c>
      <c r="G24" s="12">
        <v>203</v>
      </c>
      <c r="H24" s="20">
        <v>59.981408333333334</v>
      </c>
    </row>
    <row r="25" spans="1:8">
      <c r="A25" s="5">
        <v>22</v>
      </c>
      <c r="B25" s="5" t="s">
        <v>135</v>
      </c>
      <c r="C25" s="6" t="s">
        <v>562</v>
      </c>
      <c r="D25" s="3"/>
      <c r="E25" s="17"/>
      <c r="F25" s="17"/>
      <c r="H25" s="20"/>
    </row>
    <row r="26" spans="1:8">
      <c r="A26" s="5">
        <v>23</v>
      </c>
      <c r="B26" s="6" t="s">
        <v>187</v>
      </c>
      <c r="C26" s="6" t="s">
        <v>562</v>
      </c>
      <c r="D26" s="3">
        <v>31</v>
      </c>
      <c r="E26" s="17">
        <v>9.6299999999999997E-2</v>
      </c>
      <c r="F26" s="17">
        <v>3.6248387096774193E-2</v>
      </c>
      <c r="G26" s="12">
        <v>685</v>
      </c>
      <c r="H26" s="20">
        <v>430.45161290322585</v>
      </c>
    </row>
    <row r="27" spans="1:8">
      <c r="A27" s="5">
        <v>24</v>
      </c>
      <c r="B27" s="5" t="s">
        <v>171</v>
      </c>
      <c r="C27" s="6" t="s">
        <v>562</v>
      </c>
      <c r="D27" s="3"/>
      <c r="E27" s="17"/>
      <c r="F27" s="17"/>
      <c r="H27" s="20"/>
    </row>
    <row r="28" spans="1:8">
      <c r="A28" s="5">
        <v>25</v>
      </c>
      <c r="B28" s="5" t="s">
        <v>189</v>
      </c>
      <c r="C28" s="6" t="s">
        <v>562</v>
      </c>
      <c r="D28" s="3">
        <v>9</v>
      </c>
      <c r="E28" s="17">
        <v>0.69069999999999998</v>
      </c>
      <c r="F28" s="17">
        <v>0.38790000000000002</v>
      </c>
      <c r="G28" s="12">
        <v>35</v>
      </c>
      <c r="H28" s="20">
        <v>8.4444444444444446</v>
      </c>
    </row>
    <row r="29" spans="1:8">
      <c r="A29" s="5">
        <v>26</v>
      </c>
      <c r="B29" s="5" t="s">
        <v>83</v>
      </c>
      <c r="C29" s="6" t="s">
        <v>562</v>
      </c>
      <c r="D29" s="3">
        <v>16</v>
      </c>
      <c r="E29" s="17">
        <v>0.3599</v>
      </c>
      <c r="F29" s="17">
        <v>7.9024999999999998E-2</v>
      </c>
      <c r="G29" s="12">
        <v>357</v>
      </c>
      <c r="H29" s="20">
        <v>148.56250000000003</v>
      </c>
    </row>
    <row r="30" spans="1:8">
      <c r="A30" s="5">
        <v>27</v>
      </c>
      <c r="B30" s="5" t="s">
        <v>131</v>
      </c>
      <c r="C30" s="6" t="s">
        <v>562</v>
      </c>
      <c r="D30" s="3">
        <v>63</v>
      </c>
      <c r="E30" s="17">
        <v>0.59240000000000004</v>
      </c>
      <c r="F30" s="17">
        <v>6.2628571428571408E-2</v>
      </c>
      <c r="G30" s="12">
        <v>1519</v>
      </c>
      <c r="H30" s="20">
        <v>602.07936507936518</v>
      </c>
    </row>
    <row r="31" spans="1:8">
      <c r="A31" s="5">
        <v>28</v>
      </c>
      <c r="B31" s="5" t="s">
        <v>71</v>
      </c>
      <c r="C31" s="6" t="s">
        <v>562</v>
      </c>
      <c r="D31" s="3">
        <v>21</v>
      </c>
      <c r="E31" s="17">
        <v>8.3299999999999999E-2</v>
      </c>
      <c r="F31" s="17">
        <v>4.1057142857142861E-2</v>
      </c>
      <c r="G31" s="12">
        <v>221.00000000000003</v>
      </c>
      <c r="H31" s="20">
        <v>109.42857142857143</v>
      </c>
    </row>
    <row r="32" spans="1:8">
      <c r="A32" s="5">
        <v>29</v>
      </c>
      <c r="B32" s="5" t="s">
        <v>81</v>
      </c>
      <c r="C32" s="6" t="s">
        <v>562</v>
      </c>
      <c r="D32" s="3">
        <v>4</v>
      </c>
      <c r="E32" s="17">
        <v>1.84</v>
      </c>
      <c r="F32" s="17">
        <v>1.6624999999999999</v>
      </c>
      <c r="G32" s="12">
        <v>0</v>
      </c>
      <c r="H32" s="20">
        <v>0</v>
      </c>
    </row>
    <row r="33" spans="1:8">
      <c r="A33" s="5">
        <v>30</v>
      </c>
      <c r="B33" s="5" t="s">
        <v>138</v>
      </c>
      <c r="C33" s="6" t="s">
        <v>562</v>
      </c>
      <c r="D33" s="3"/>
      <c r="E33" s="17"/>
      <c r="F33" s="17"/>
      <c r="H33" s="20"/>
    </row>
    <row r="34" spans="1:8">
      <c r="A34" s="5">
        <v>31</v>
      </c>
      <c r="B34" s="5" t="s">
        <v>380</v>
      </c>
      <c r="C34" s="6" t="s">
        <v>562</v>
      </c>
      <c r="D34" s="3"/>
      <c r="E34" s="17"/>
      <c r="F34" s="17"/>
      <c r="H34" s="20"/>
    </row>
    <row r="35" spans="1:8">
      <c r="A35" s="6">
        <v>32</v>
      </c>
      <c r="B35" s="5" t="s">
        <v>112</v>
      </c>
      <c r="C35" s="6" t="s">
        <v>562</v>
      </c>
      <c r="D35" s="3">
        <v>18</v>
      </c>
      <c r="E35" s="17">
        <v>0.441</v>
      </c>
      <c r="F35" s="17">
        <v>4.9750000000000003E-2</v>
      </c>
      <c r="G35" s="12">
        <v>248.99999999999997</v>
      </c>
      <c r="H35" s="20">
        <v>137.55555555555554</v>
      </c>
    </row>
    <row r="36" spans="1:8">
      <c r="A36" s="6">
        <v>33</v>
      </c>
      <c r="B36" s="5" t="s">
        <v>104</v>
      </c>
      <c r="C36" s="6" t="s">
        <v>562</v>
      </c>
      <c r="D36" s="3">
        <v>52</v>
      </c>
      <c r="E36" s="17">
        <v>0.2266</v>
      </c>
      <c r="F36" s="17">
        <v>2.7898076923076928E-2</v>
      </c>
      <c r="G36" s="12">
        <v>1147</v>
      </c>
      <c r="H36" s="20">
        <v>272.65384615384613</v>
      </c>
    </row>
    <row r="37" spans="1:8">
      <c r="A37" s="6">
        <v>34</v>
      </c>
      <c r="B37" s="5" t="s">
        <v>21</v>
      </c>
      <c r="C37" s="6" t="s">
        <v>562</v>
      </c>
      <c r="D37" s="3">
        <v>82</v>
      </c>
      <c r="E37" s="17">
        <v>5.8000000000000003E-2</v>
      </c>
      <c r="F37" s="17">
        <v>2.3046341463414634E-2</v>
      </c>
      <c r="G37" s="12">
        <v>488.00000000000006</v>
      </c>
      <c r="H37" s="20">
        <v>286.71951219512192</v>
      </c>
    </row>
    <row r="38" spans="1:8">
      <c r="A38" s="5">
        <v>35</v>
      </c>
      <c r="B38" s="5" t="s">
        <v>33</v>
      </c>
      <c r="C38" s="6" t="s">
        <v>562</v>
      </c>
      <c r="D38" s="3">
        <v>20</v>
      </c>
      <c r="E38" s="17">
        <v>0.28179999999999999</v>
      </c>
      <c r="F38" s="17">
        <v>5.3544999999999995E-2</v>
      </c>
      <c r="G38" s="12">
        <v>281</v>
      </c>
      <c r="H38" s="20">
        <v>166.39999999999998</v>
      </c>
    </row>
    <row r="39" spans="1:8">
      <c r="A39" s="5">
        <v>36</v>
      </c>
      <c r="B39" s="5" t="s">
        <v>299</v>
      </c>
      <c r="C39" s="6" t="s">
        <v>636</v>
      </c>
      <c r="D39" s="3">
        <v>39</v>
      </c>
      <c r="E39" s="17">
        <v>0.23</v>
      </c>
      <c r="F39" s="17">
        <v>3.9482051282051282E-2</v>
      </c>
      <c r="G39" s="12">
        <v>1040</v>
      </c>
      <c r="H39" s="20">
        <v>443.64102564102581</v>
      </c>
    </row>
    <row r="40" spans="1:8">
      <c r="A40" s="5">
        <v>37</v>
      </c>
      <c r="B40" s="5" t="s">
        <v>297</v>
      </c>
      <c r="C40" s="6" t="s">
        <v>562</v>
      </c>
      <c r="D40" s="3">
        <v>1</v>
      </c>
      <c r="E40" s="17">
        <v>5.2200000000000003E-2</v>
      </c>
      <c r="F40" s="17">
        <v>5.2200000000000003E-2</v>
      </c>
      <c r="G40" s="12">
        <v>61</v>
      </c>
      <c r="H40" s="20">
        <v>61</v>
      </c>
    </row>
    <row r="41" spans="1:8">
      <c r="A41" s="6">
        <v>38</v>
      </c>
      <c r="B41" s="5" t="s">
        <v>102</v>
      </c>
      <c r="C41" s="6" t="s">
        <v>580</v>
      </c>
      <c r="D41" s="3">
        <v>170</v>
      </c>
      <c r="E41" s="17">
        <v>0.23219999999999999</v>
      </c>
      <c r="F41" s="17">
        <v>4.4694117647058836E-2</v>
      </c>
      <c r="G41" s="12">
        <v>646.99999999999989</v>
      </c>
      <c r="H41" s="20">
        <v>188.90588235294109</v>
      </c>
    </row>
    <row r="42" spans="1:8">
      <c r="A42" s="5">
        <v>39</v>
      </c>
      <c r="B42" s="5" t="s">
        <v>405</v>
      </c>
      <c r="C42" s="6" t="s">
        <v>562</v>
      </c>
      <c r="D42" s="3"/>
      <c r="E42" s="17"/>
      <c r="F42" s="17"/>
      <c r="H42" s="20"/>
    </row>
    <row r="43" spans="1:8">
      <c r="A43" s="5">
        <v>40</v>
      </c>
      <c r="B43" s="5" t="s">
        <v>652</v>
      </c>
      <c r="C43" s="6" t="s">
        <v>562</v>
      </c>
      <c r="D43" s="3"/>
      <c r="E43" s="17"/>
      <c r="F43" s="17"/>
      <c r="H43" s="20"/>
    </row>
    <row r="44" spans="1:8">
      <c r="A44" s="5">
        <v>41</v>
      </c>
      <c r="B44" s="5" t="s">
        <v>656</v>
      </c>
      <c r="C44" s="6" t="s">
        <v>562</v>
      </c>
      <c r="D44" s="3"/>
      <c r="E44" s="17"/>
      <c r="F44" s="17"/>
      <c r="H44" s="20"/>
    </row>
    <row r="45" spans="1:8">
      <c r="A45" s="5">
        <v>42</v>
      </c>
      <c r="B45" s="5" t="s">
        <v>290</v>
      </c>
      <c r="C45" s="6" t="s">
        <v>562</v>
      </c>
      <c r="D45" s="3">
        <v>6</v>
      </c>
      <c r="E45" s="17">
        <v>0.11360000000000001</v>
      </c>
      <c r="F45" s="17">
        <v>6.2933333333333327E-2</v>
      </c>
      <c r="G45" s="12">
        <v>73</v>
      </c>
      <c r="H45" s="20">
        <v>29.833333333333332</v>
      </c>
    </row>
    <row r="46" spans="1:8">
      <c r="A46" s="35" t="s">
        <v>663</v>
      </c>
      <c r="B46" s="37"/>
      <c r="C46" s="6"/>
      <c r="D46" s="3"/>
      <c r="E46" s="17"/>
      <c r="F46" s="17"/>
      <c r="H46" s="20"/>
    </row>
    <row r="47" spans="1:8">
      <c r="A47" s="5">
        <v>43</v>
      </c>
      <c r="B47" s="6" t="s">
        <v>240</v>
      </c>
      <c r="C47" s="6" t="s">
        <v>664</v>
      </c>
      <c r="D47" s="3">
        <v>9</v>
      </c>
      <c r="E47" s="17">
        <v>5.5599999999999997E-2</v>
      </c>
      <c r="F47" s="17">
        <v>3.6277777777777784E-2</v>
      </c>
      <c r="G47" s="12">
        <v>296</v>
      </c>
      <c r="H47" s="20">
        <v>86.555555555555557</v>
      </c>
    </row>
    <row r="48" spans="1:8">
      <c r="A48" s="5">
        <v>44</v>
      </c>
      <c r="B48" s="5" t="s">
        <v>669</v>
      </c>
      <c r="C48" s="6" t="s">
        <v>664</v>
      </c>
      <c r="D48" s="3"/>
      <c r="E48" s="17"/>
      <c r="F48" s="17"/>
      <c r="H48" s="20"/>
    </row>
    <row r="49" spans="1:8">
      <c r="A49" s="5">
        <v>45</v>
      </c>
      <c r="B49" s="7" t="s">
        <v>674</v>
      </c>
      <c r="C49" s="6" t="s">
        <v>664</v>
      </c>
      <c r="D49" s="3"/>
      <c r="E49" s="17"/>
      <c r="F49" s="17"/>
      <c r="H49" s="20"/>
    </row>
    <row r="50" spans="1:8">
      <c r="A50" s="7">
        <v>46</v>
      </c>
      <c r="B50" s="6" t="s">
        <v>678</v>
      </c>
      <c r="C50" s="6" t="s">
        <v>664</v>
      </c>
      <c r="D50" s="3">
        <v>12</v>
      </c>
      <c r="E50" s="17">
        <v>4.4999999999999998E-2</v>
      </c>
      <c r="F50" s="17">
        <v>2.1125000000000001E-2</v>
      </c>
      <c r="G50" s="12">
        <v>2</v>
      </c>
      <c r="H50" s="20">
        <v>0.16666666666666669</v>
      </c>
    </row>
    <row r="51" spans="1:8">
      <c r="A51" s="5">
        <v>47</v>
      </c>
      <c r="B51" s="7" t="s">
        <v>682</v>
      </c>
      <c r="C51" s="6" t="s">
        <v>664</v>
      </c>
      <c r="D51" s="3">
        <v>35</v>
      </c>
      <c r="E51" s="17">
        <v>0.31590000000000001</v>
      </c>
      <c r="F51" s="17">
        <v>6.0394285714285713E-2</v>
      </c>
      <c r="G51" s="12">
        <v>744.12807499999997</v>
      </c>
      <c r="H51" s="20">
        <v>179.203585</v>
      </c>
    </row>
    <row r="52" spans="1:8">
      <c r="A52" s="7">
        <v>48</v>
      </c>
      <c r="B52" s="7" t="s">
        <v>292</v>
      </c>
      <c r="C52" s="6" t="s">
        <v>687</v>
      </c>
      <c r="D52" s="3">
        <v>53</v>
      </c>
      <c r="E52" s="17">
        <v>0.2135</v>
      </c>
      <c r="F52" s="17">
        <v>3.2692452830188672E-2</v>
      </c>
      <c r="G52" s="12">
        <v>285.48876249999995</v>
      </c>
      <c r="H52" s="20">
        <v>93.384347877358508</v>
      </c>
    </row>
    <row r="53" spans="1:8">
      <c r="A53" s="7">
        <v>49</v>
      </c>
      <c r="B53" s="5" t="s">
        <v>123</v>
      </c>
      <c r="C53" s="6" t="s">
        <v>664</v>
      </c>
      <c r="D53" s="3">
        <v>1</v>
      </c>
      <c r="E53" s="3">
        <v>2.5299999999999998</v>
      </c>
      <c r="F53" s="3">
        <v>2.5299999999999998</v>
      </c>
      <c r="G53" s="3">
        <v>0</v>
      </c>
      <c r="H53" s="3">
        <v>0</v>
      </c>
    </row>
    <row r="54" spans="1:8">
      <c r="C54" s="6"/>
      <c r="H54" s="12"/>
    </row>
    <row r="55" spans="1:8">
      <c r="C55" s="2"/>
      <c r="H55" s="12"/>
    </row>
    <row r="56" spans="1:8">
      <c r="C56" s="5"/>
      <c r="H56" s="12"/>
    </row>
  </sheetData>
  <mergeCells count="2">
    <mergeCell ref="A7:B7"/>
    <mergeCell ref="A46:B4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0B0AA-3391-4EB4-8766-1DD3A6A80874}">
  <dimension ref="A1:M21"/>
  <sheetViews>
    <sheetView workbookViewId="0">
      <selection activeCell="M18" sqref="A1:M18"/>
    </sheetView>
  </sheetViews>
  <sheetFormatPr defaultRowHeight="12.75"/>
  <cols>
    <col min="2" max="2" width="21.28515625" customWidth="1"/>
    <col min="3" max="3" width="14.7109375" customWidth="1"/>
  </cols>
  <sheetData>
    <row r="1" spans="1:13">
      <c r="A1" s="5"/>
      <c r="B1" s="5"/>
      <c r="C1" s="1" t="s">
        <v>489</v>
      </c>
      <c r="D1" t="s">
        <v>698</v>
      </c>
      <c r="I1" t="s">
        <v>699</v>
      </c>
    </row>
    <row r="2" spans="1:13">
      <c r="A2" s="35" t="s">
        <v>513</v>
      </c>
      <c r="B2" s="37"/>
      <c r="C2" s="1"/>
      <c r="D2" t="s">
        <v>314</v>
      </c>
      <c r="E2" t="s">
        <v>203</v>
      </c>
      <c r="F2" t="s">
        <v>204</v>
      </c>
      <c r="G2" t="s">
        <v>205</v>
      </c>
      <c r="H2" t="s">
        <v>206</v>
      </c>
      <c r="I2" t="s">
        <v>314</v>
      </c>
      <c r="J2" t="s">
        <v>328</v>
      </c>
      <c r="K2" t="s">
        <v>329</v>
      </c>
      <c r="L2" t="s">
        <v>205</v>
      </c>
      <c r="M2" t="s">
        <v>206</v>
      </c>
    </row>
    <row r="3" spans="1:13">
      <c r="A3" s="6">
        <v>10</v>
      </c>
      <c r="B3" s="6" t="s">
        <v>171</v>
      </c>
      <c r="C3" s="6" t="str">
        <f>'Table 2'!E13</f>
        <v>ssk</v>
      </c>
      <c r="E3" s="24"/>
      <c r="F3" s="24"/>
      <c r="G3" s="25"/>
      <c r="H3" s="25"/>
      <c r="I3">
        <v>4</v>
      </c>
      <c r="J3" s="24">
        <v>0.28970000000000001</v>
      </c>
      <c r="K3" s="24">
        <v>0.12890000000000001</v>
      </c>
      <c r="L3" s="25">
        <v>235.27374999999989</v>
      </c>
      <c r="M3" s="25">
        <v>186.48187499999995</v>
      </c>
    </row>
    <row r="4" spans="1:13">
      <c r="A4" s="5">
        <v>11</v>
      </c>
      <c r="B4" s="5" t="s">
        <v>17</v>
      </c>
      <c r="C4" s="6" t="str">
        <f>'Table 2'!E14</f>
        <v>gbsv (psl)</v>
      </c>
      <c r="D4">
        <v>17</v>
      </c>
      <c r="E4" s="24">
        <v>13.61</v>
      </c>
      <c r="F4" s="24">
        <v>8.3670588235294119</v>
      </c>
      <c r="G4" s="25">
        <v>659.78375000000005</v>
      </c>
      <c r="H4" s="25">
        <v>434.80441176470589</v>
      </c>
      <c r="I4">
        <v>6</v>
      </c>
      <c r="J4" s="24">
        <v>0.30320000000000003</v>
      </c>
      <c r="K4" s="24">
        <v>0.14641666666666667</v>
      </c>
      <c r="L4" s="25">
        <v>426.19999999999993</v>
      </c>
      <c r="M4" s="25">
        <v>353.73937499999994</v>
      </c>
    </row>
    <row r="5" spans="1:13">
      <c r="A5" s="5">
        <v>12</v>
      </c>
      <c r="B5" s="5" t="s">
        <v>44</v>
      </c>
      <c r="C5" s="6" t="str">
        <f>'Table 2'!E15</f>
        <v>gbsv - psl</v>
      </c>
      <c r="D5">
        <v>7</v>
      </c>
      <c r="E5" s="24">
        <v>5.16</v>
      </c>
      <c r="F5" s="24">
        <v>3.9885714285714284</v>
      </c>
      <c r="G5" s="25">
        <v>265.27125000000001</v>
      </c>
      <c r="H5" s="25">
        <v>229.38124999999999</v>
      </c>
      <c r="I5">
        <v>6</v>
      </c>
      <c r="J5" s="24">
        <v>0.25719999999999998</v>
      </c>
      <c r="K5" s="24">
        <v>8.8283333333333325E-2</v>
      </c>
      <c r="L5" s="25">
        <v>758.41250000000002</v>
      </c>
      <c r="M5" s="25">
        <v>584.82458333333341</v>
      </c>
    </row>
    <row r="6" spans="1:13">
      <c r="A6" s="5">
        <v>16</v>
      </c>
      <c r="B6" s="6" t="s">
        <v>38</v>
      </c>
      <c r="C6" s="6" t="str">
        <f>'Table 2'!E19</f>
        <v>psl</v>
      </c>
      <c r="E6" s="24"/>
      <c r="F6" s="24"/>
      <c r="G6" s="25"/>
      <c r="H6" s="25"/>
      <c r="I6">
        <v>18</v>
      </c>
      <c r="J6" s="24">
        <v>1.32</v>
      </c>
      <c r="K6" s="24">
        <v>0.30806111111111112</v>
      </c>
      <c r="L6" s="25">
        <v>1876.1400000000003</v>
      </c>
      <c r="M6" s="25">
        <v>863.38111111111118</v>
      </c>
    </row>
    <row r="7" spans="1:13">
      <c r="A7" s="5">
        <v>17</v>
      </c>
      <c r="B7" s="6" t="s">
        <v>49</v>
      </c>
      <c r="C7" s="6" t="str">
        <f>'Table 2'!E20</f>
        <v>psl</v>
      </c>
      <c r="D7">
        <v>27</v>
      </c>
      <c r="E7" s="24">
        <v>9.1999999999999993</v>
      </c>
      <c r="F7" s="24">
        <v>3.1114814814814822</v>
      </c>
      <c r="G7" s="25">
        <v>6814.6774999999989</v>
      </c>
      <c r="H7" s="25">
        <v>3167.8138888888898</v>
      </c>
      <c r="J7" s="24"/>
      <c r="K7" s="24"/>
      <c r="L7" s="25"/>
      <c r="M7" s="25"/>
    </row>
    <row r="8" spans="1:13">
      <c r="A8" s="5">
        <v>18</v>
      </c>
      <c r="B8" s="5" t="s">
        <v>24</v>
      </c>
      <c r="C8" s="6" t="str">
        <f>'Table 2'!E21</f>
        <v>psl</v>
      </c>
      <c r="E8" s="24"/>
      <c r="F8" s="24"/>
      <c r="G8" s="25"/>
      <c r="H8" s="25"/>
      <c r="I8">
        <v>16</v>
      </c>
      <c r="J8" s="24">
        <v>1.71</v>
      </c>
      <c r="K8" s="24">
        <v>0.37696874999999996</v>
      </c>
      <c r="L8" s="25">
        <v>1554.1587500000003</v>
      </c>
      <c r="M8" s="25">
        <v>507.4975781249999</v>
      </c>
    </row>
    <row r="9" spans="1:13">
      <c r="A9" s="5">
        <v>22</v>
      </c>
      <c r="B9" s="5" t="s">
        <v>135</v>
      </c>
      <c r="C9" s="6" t="str">
        <f>'Table 2'!E25</f>
        <v>psl</v>
      </c>
      <c r="E9" s="24"/>
      <c r="F9" s="24"/>
      <c r="G9" s="25"/>
      <c r="H9" s="25"/>
      <c r="I9">
        <v>7</v>
      </c>
      <c r="J9" s="24">
        <v>0.80630000000000002</v>
      </c>
      <c r="K9" s="24">
        <v>0.43062857142857142</v>
      </c>
      <c r="L9" s="25">
        <v>495.90749999999991</v>
      </c>
      <c r="M9" s="25">
        <v>465.48428571428559</v>
      </c>
    </row>
    <row r="10" spans="1:13">
      <c r="A10" s="5">
        <v>26</v>
      </c>
      <c r="B10" s="5" t="s">
        <v>83</v>
      </c>
      <c r="C10" s="6" t="str">
        <f>'Table 2'!E29</f>
        <v>psl</v>
      </c>
      <c r="E10" s="24"/>
      <c r="F10" s="24"/>
      <c r="G10" s="25"/>
      <c r="H10" s="25"/>
      <c r="I10">
        <v>4</v>
      </c>
      <c r="J10" s="24">
        <v>0.52239999999999998</v>
      </c>
      <c r="K10" s="24">
        <v>0.15909999999999999</v>
      </c>
      <c r="L10" s="25">
        <v>461.31375000000003</v>
      </c>
      <c r="M10" s="25">
        <v>442.79437499999995</v>
      </c>
    </row>
    <row r="11" spans="1:13">
      <c r="A11" s="5">
        <v>27</v>
      </c>
      <c r="B11" s="5" t="s">
        <v>131</v>
      </c>
      <c r="C11" s="6" t="str">
        <f>'Table 2'!E30</f>
        <v>psl</v>
      </c>
      <c r="E11" s="24"/>
      <c r="F11" s="24"/>
      <c r="G11" s="25"/>
      <c r="H11" s="25"/>
      <c r="I11">
        <v>1</v>
      </c>
      <c r="J11" s="24">
        <v>0.99119999999999997</v>
      </c>
      <c r="K11" s="24">
        <v>0.99119999999999997</v>
      </c>
      <c r="L11" s="25">
        <v>969.61624999999992</v>
      </c>
      <c r="M11" s="25">
        <v>969.61624999999992</v>
      </c>
    </row>
    <row r="12" spans="1:13">
      <c r="A12" s="5">
        <v>28</v>
      </c>
      <c r="B12" s="5" t="s">
        <v>71</v>
      </c>
      <c r="C12" s="6" t="str">
        <f>'Table 2'!E31</f>
        <v>psl</v>
      </c>
      <c r="E12" s="24"/>
      <c r="F12" s="24"/>
      <c r="G12" s="25"/>
      <c r="H12" s="25"/>
      <c r="I12">
        <v>2</v>
      </c>
      <c r="J12" s="24">
        <v>0.30170000000000002</v>
      </c>
      <c r="K12" s="24">
        <v>0.17225000000000001</v>
      </c>
      <c r="L12" s="25">
        <v>486.21875000000011</v>
      </c>
      <c r="M12" s="25">
        <v>446.89499999999998</v>
      </c>
    </row>
    <row r="13" spans="1:13">
      <c r="A13" s="6">
        <v>32</v>
      </c>
      <c r="B13" s="5" t="s">
        <v>112</v>
      </c>
      <c r="C13" s="6" t="str">
        <f>'Table 2'!E35</f>
        <v>psl</v>
      </c>
      <c r="E13" s="24"/>
      <c r="F13" s="24"/>
      <c r="G13" s="25"/>
      <c r="H13" s="25"/>
      <c r="I13">
        <v>2</v>
      </c>
      <c r="J13" s="24">
        <v>0.64390000000000003</v>
      </c>
      <c r="K13" s="24">
        <v>0.50990000000000002</v>
      </c>
      <c r="L13" s="25">
        <v>134.93874999999989</v>
      </c>
      <c r="M13" s="25">
        <v>121.03125000000006</v>
      </c>
    </row>
    <row r="14" spans="1:13">
      <c r="A14" s="6">
        <v>33</v>
      </c>
      <c r="B14" s="5" t="s">
        <v>104</v>
      </c>
      <c r="C14" s="6" t="str">
        <f>'Table 2'!E36</f>
        <v>psl</v>
      </c>
      <c r="E14" s="24"/>
      <c r="F14" s="24"/>
      <c r="G14" s="25"/>
      <c r="H14" s="25"/>
      <c r="I14">
        <v>1</v>
      </c>
      <c r="J14" s="24">
        <v>0.56599999999999995</v>
      </c>
      <c r="K14" s="24">
        <v>0.56599999999999995</v>
      </c>
      <c r="L14" s="25">
        <v>697.04999999999984</v>
      </c>
      <c r="M14" s="25">
        <v>697.04999999999984</v>
      </c>
    </row>
    <row r="15" spans="1:13">
      <c r="A15" s="6">
        <v>34</v>
      </c>
      <c r="B15" s="5" t="s">
        <v>21</v>
      </c>
      <c r="C15" s="6" t="str">
        <f>'Table 2'!E37</f>
        <v>psl</v>
      </c>
      <c r="E15" s="24"/>
      <c r="F15" s="24"/>
      <c r="G15" s="25"/>
      <c r="H15" s="25"/>
      <c r="I15">
        <v>3</v>
      </c>
      <c r="J15" s="24">
        <v>0.87670000000000003</v>
      </c>
      <c r="K15" s="24">
        <v>0.60426666666666673</v>
      </c>
      <c r="L15" s="25">
        <v>744.37750000000028</v>
      </c>
      <c r="M15" s="25">
        <v>371.81125000000003</v>
      </c>
    </row>
    <row r="16" spans="1:13">
      <c r="A16" s="5">
        <v>35</v>
      </c>
      <c r="B16" s="5" t="s">
        <v>33</v>
      </c>
      <c r="C16" s="6" t="str">
        <f>'Table 2'!E38</f>
        <v>psl</v>
      </c>
      <c r="D16">
        <v>16</v>
      </c>
      <c r="E16" s="24">
        <v>2.87</v>
      </c>
      <c r="F16" s="24">
        <v>1.6463125000000001</v>
      </c>
      <c r="G16" s="25">
        <v>687.03249999999991</v>
      </c>
      <c r="H16" s="25">
        <v>252.98249999999999</v>
      </c>
      <c r="I16">
        <v>1</v>
      </c>
      <c r="J16" s="24">
        <v>0.15490000000000001</v>
      </c>
      <c r="K16" s="24">
        <v>0.15490000000000001</v>
      </c>
      <c r="L16" s="25">
        <v>294.12125000000009</v>
      </c>
      <c r="M16" s="25">
        <v>294.12125000000009</v>
      </c>
    </row>
    <row r="17" spans="1:13">
      <c r="A17" s="6">
        <v>38</v>
      </c>
      <c r="B17" s="5" t="s">
        <v>102</v>
      </c>
      <c r="C17" s="6" t="str">
        <f>'Table 2'!E41</f>
        <v>qtv - psl</v>
      </c>
      <c r="D17">
        <v>13</v>
      </c>
      <c r="E17" s="24">
        <v>1.82</v>
      </c>
      <c r="F17" s="24">
        <v>1.0624923076923076</v>
      </c>
      <c r="G17" s="25">
        <v>875.97874999999988</v>
      </c>
      <c r="H17" s="25">
        <v>410.48711538461532</v>
      </c>
      <c r="I17">
        <v>3</v>
      </c>
      <c r="J17" s="24">
        <v>0.39560000000000001</v>
      </c>
      <c r="K17" s="24">
        <v>0.24113333333333334</v>
      </c>
      <c r="L17" s="25">
        <v>630.24499999999978</v>
      </c>
      <c r="M17" s="25">
        <v>606.62541666666664</v>
      </c>
    </row>
    <row r="18" spans="1:13">
      <c r="A18" s="5">
        <v>42</v>
      </c>
      <c r="B18" s="5" t="s">
        <v>290</v>
      </c>
      <c r="C18" s="6" t="str">
        <f>'Table 2'!E45</f>
        <v>psl</v>
      </c>
      <c r="E18" s="24"/>
      <c r="F18" s="24"/>
      <c r="G18" s="25"/>
      <c r="H18" s="25"/>
      <c r="I18">
        <v>2</v>
      </c>
      <c r="J18" s="24">
        <v>0.92100000000000004</v>
      </c>
      <c r="K18" s="24">
        <v>0.57235000000000003</v>
      </c>
      <c r="L18" s="25">
        <v>18.872499999999793</v>
      </c>
      <c r="M18" s="25">
        <v>3.4299999999998221</v>
      </c>
    </row>
    <row r="19" spans="1:13">
      <c r="E19" s="24"/>
      <c r="F19" s="24"/>
      <c r="G19" s="25"/>
      <c r="H19" s="25"/>
      <c r="J19" s="24"/>
      <c r="K19" s="24"/>
      <c r="L19" s="25"/>
      <c r="M19" s="25"/>
    </row>
    <row r="20" spans="1:13">
      <c r="E20" s="24"/>
      <c r="F20" s="24"/>
      <c r="G20" s="25"/>
      <c r="H20" s="25"/>
      <c r="J20" s="24"/>
      <c r="K20" s="24"/>
      <c r="L20" s="25"/>
      <c r="M20" s="25"/>
    </row>
    <row r="21" spans="1:13">
      <c r="E21" s="24"/>
      <c r="F21" s="24"/>
      <c r="G21" s="25"/>
      <c r="H21" s="25"/>
      <c r="J21" s="24"/>
      <c r="K21" s="24"/>
      <c r="L21" s="25"/>
      <c r="M21" s="25"/>
    </row>
  </sheetData>
  <mergeCells count="1">
    <mergeCell ref="A2: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9770C754368F49BB2A63D8816AD496" ma:contentTypeVersion="3" ma:contentTypeDescription="Create a new document." ma:contentTypeScope="" ma:versionID="6cd95dd43520703c042c7d5ccfb67660">
  <xsd:schema xmlns:xsd="http://www.w3.org/2001/XMLSchema" xmlns:xs="http://www.w3.org/2001/XMLSchema" xmlns:p="http://schemas.microsoft.com/office/2006/metadata/properties" xmlns:ns2="07286b27-ac00-4b57-920d-5e26223b3ea4" targetNamespace="http://schemas.microsoft.com/office/2006/metadata/properties" ma:root="true" ma:fieldsID="dc5f8338b6116805ec1a3fefc0475030" ns2:_="">
    <xsd:import namespace="07286b27-ac00-4b57-920d-5e26223b3ea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286b27-ac00-4b57-920d-5e26223b3e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FCD7E26-DBE6-4E36-ACC7-7DB21BC42B0E}"/>
</file>

<file path=customXml/itemProps2.xml><?xml version="1.0" encoding="utf-8"?>
<ds:datastoreItem xmlns:ds="http://schemas.openxmlformats.org/officeDocument/2006/customXml" ds:itemID="{E4344E6A-B38F-4839-852A-D1B11E94A742}"/>
</file>

<file path=customXml/itemProps3.xml><?xml version="1.0" encoding="utf-8"?>
<ds:datastoreItem xmlns:ds="http://schemas.openxmlformats.org/officeDocument/2006/customXml" ds:itemID="{A05BC301-71F2-4582-BB20-99754B529E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2012-04-26T12:24:20Z</dcterms:created>
  <dcterms:modified xsi:type="dcterms:W3CDTF">2025-01-27T19:44:10Z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0x010100E89770C754368F49BB2A63D8816AD496</vt:lpwstr>
  </property>
</Properties>
</file>