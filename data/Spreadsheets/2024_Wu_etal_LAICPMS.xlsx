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05"/>
  <workbookPr/>
  <mc:AlternateContent xmlns:mc="http://schemas.openxmlformats.org/markup-compatibility/2006">
    <mc:Choice Requires="x15">
      <x15ac:absPath xmlns:x15ac="http://schemas.microsoft.com/office/spreadsheetml/2010/11/ac" url="F:\凡口铅锌矿部分研究资料\Fankou 投稿 2023-10-3\审稿意见Dec-8-2023\ORGEO-D-23-00639-R1\"/>
    </mc:Choice>
  </mc:AlternateContent>
  <xr:revisionPtr revIDLastSave="0" documentId="8_{4ECD7325-6EDB-4FE1-85AF-A27EF84C2E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2" i="1" l="1"/>
  <c r="D252" i="1"/>
  <c r="E252" i="1"/>
  <c r="F252" i="1"/>
  <c r="G252" i="1"/>
  <c r="H252" i="1"/>
  <c r="I252" i="1"/>
  <c r="J252" i="1"/>
  <c r="K252" i="1"/>
  <c r="L252" i="1"/>
  <c r="M252" i="1"/>
  <c r="N252" i="1"/>
  <c r="B252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N214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F251" i="1"/>
  <c r="F250" i="1"/>
  <c r="F249" i="1"/>
  <c r="F248" i="1"/>
  <c r="F213" i="1"/>
  <c r="F212" i="1"/>
  <c r="F211" i="1"/>
  <c r="F210" i="1"/>
  <c r="F99" i="1"/>
  <c r="F98" i="1"/>
  <c r="F97" i="1"/>
  <c r="F96" i="1"/>
</calcChain>
</file>

<file path=xl/sharedStrings.xml><?xml version="1.0" encoding="utf-8"?>
<sst xmlns="http://schemas.openxmlformats.org/spreadsheetml/2006/main" count="367" uniqueCount="86">
  <si>
    <t>Appendix Table 2. Summary statistics of LA-ICP-MS data and temperature estimated results for sphalerite (ppm)</t>
    <phoneticPr fontId="3" type="noConversion"/>
  </si>
  <si>
    <t>Samples.No</t>
  </si>
  <si>
    <t>S</t>
    <phoneticPr fontId="3" type="noConversion"/>
  </si>
  <si>
    <t>Fe</t>
    <phoneticPr fontId="3" type="noConversion"/>
  </si>
  <si>
    <t>Cd</t>
    <phoneticPr fontId="3" type="noConversion"/>
  </si>
  <si>
    <t>Mn</t>
    <phoneticPr fontId="3" type="noConversion"/>
  </si>
  <si>
    <t>Cu</t>
    <phoneticPr fontId="3" type="noConversion"/>
  </si>
  <si>
    <t>Ga</t>
    <phoneticPr fontId="3" type="noConversion"/>
  </si>
  <si>
    <t>Ge</t>
    <phoneticPr fontId="3" type="noConversion"/>
  </si>
  <si>
    <t>Ag</t>
    <phoneticPr fontId="3" type="noConversion"/>
  </si>
  <si>
    <t>In</t>
    <phoneticPr fontId="3" type="noConversion"/>
  </si>
  <si>
    <t>Sb</t>
    <phoneticPr fontId="3" type="noConversion"/>
  </si>
  <si>
    <t>Hg</t>
    <phoneticPr fontId="3" type="noConversion"/>
  </si>
  <si>
    <t>Pb</t>
    <phoneticPr fontId="3" type="noConversion"/>
  </si>
  <si>
    <t>T</t>
  </si>
  <si>
    <t>error</t>
  </si>
  <si>
    <t>Sp1a n=92</t>
    <phoneticPr fontId="3" type="noConversion"/>
  </si>
  <si>
    <t>160-115-1-2</t>
  </si>
  <si>
    <t>BDL</t>
  </si>
  <si>
    <t>160-117-1-1</t>
  </si>
  <si>
    <t>200-6-2-1</t>
  </si>
  <si>
    <t>200-6-2-2</t>
  </si>
  <si>
    <t>240-131-1-1</t>
  </si>
  <si>
    <t>240-131-1-2</t>
  </si>
  <si>
    <t>280-56-1-6</t>
  </si>
  <si>
    <t>280-56-1-7</t>
  </si>
  <si>
    <t>320-157-1-1</t>
  </si>
  <si>
    <t>360-22-1-5</t>
  </si>
  <si>
    <t>400-11-1-2</t>
  </si>
  <si>
    <t>400-12-1-1</t>
  </si>
  <si>
    <t>400-12-1-2</t>
  </si>
  <si>
    <t>400-138-1-1</t>
  </si>
  <si>
    <t>400-138-1-2</t>
  </si>
  <si>
    <t>400-143-1-1</t>
  </si>
  <si>
    <t>400-143-1-2</t>
  </si>
  <si>
    <t>455-17-1-1</t>
  </si>
  <si>
    <t>455-17-1-2</t>
  </si>
  <si>
    <t>500-180-2-1</t>
  </si>
  <si>
    <t>500-180-2-2</t>
  </si>
  <si>
    <t>500-30-1-1</t>
  </si>
  <si>
    <t>500-30-1-2</t>
  </si>
  <si>
    <t>500-44-1-1</t>
  </si>
  <si>
    <t>500-50-1-1</t>
  </si>
  <si>
    <t>500-50-1-2</t>
  </si>
  <si>
    <t>500-85-1-1</t>
  </si>
  <si>
    <t>500-85-1-2</t>
  </si>
  <si>
    <t>550-87-1-1</t>
  </si>
  <si>
    <t>550-87-1-2</t>
  </si>
  <si>
    <t>550-108-2-1</t>
  </si>
  <si>
    <t>550-54-1-1</t>
  </si>
  <si>
    <t>600-163-1-1</t>
  </si>
  <si>
    <t>710-77-1-1</t>
  </si>
  <si>
    <t>710-77-2-1</t>
  </si>
  <si>
    <t>710-77-2-2</t>
  </si>
  <si>
    <t>80-2-1-1</t>
  </si>
  <si>
    <t>80-2-1-2</t>
  </si>
  <si>
    <t>Min.</t>
  </si>
  <si>
    <t>Max.</t>
  </si>
  <si>
    <t>Median</t>
  </si>
  <si>
    <t>Mean</t>
  </si>
  <si>
    <t>S.D</t>
    <phoneticPr fontId="2" type="noConversion"/>
  </si>
  <si>
    <t>Sp1b n=108</t>
    <phoneticPr fontId="3" type="noConversion"/>
  </si>
  <si>
    <t>160-115-1-1</t>
  </si>
  <si>
    <t>160-117-1-2</t>
  </si>
  <si>
    <t>240-123-1-1</t>
  </si>
  <si>
    <t>240-123-1-2</t>
  </si>
  <si>
    <t>320-62-1-1</t>
  </si>
  <si>
    <t>320-62-1-2</t>
  </si>
  <si>
    <t>360-22-1-6</t>
  </si>
  <si>
    <t>400-11-1-1</t>
  </si>
  <si>
    <t>455-23-1-1</t>
  </si>
  <si>
    <t>500-42-1-1</t>
  </si>
  <si>
    <t>500-42-1-2</t>
  </si>
  <si>
    <t>500-44-1-2</t>
  </si>
  <si>
    <t>550-54-1-2</t>
  </si>
  <si>
    <t>55054-1-2</t>
  </si>
  <si>
    <t>550-52-1-1</t>
  </si>
  <si>
    <t>550-52-1-2</t>
  </si>
  <si>
    <t>600-163-1-2</t>
  </si>
  <si>
    <t>600-2-1-1</t>
  </si>
  <si>
    <t>600-2-1-2</t>
  </si>
  <si>
    <t>625-18-2-1</t>
  </si>
  <si>
    <t>625-18-2-2</t>
  </si>
  <si>
    <t>710-77-1-2</t>
  </si>
  <si>
    <t>Sp2 n=32</t>
    <phoneticPr fontId="3" type="noConversion"/>
  </si>
  <si>
    <t>BDL means concentration low than detection limits;
Sphalerite formation temperatures were estimated using the GGIMFis geothermometer (Frenzel et al. 2022).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</si>
</sst>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_);[Red]\(0\)"/>
    <numFmt numFmtId="165" formatCode="0_ "/>
    <numFmt numFmtId="166" formatCode="0.00_ "/>
    <numFmt numFmtId="167" formatCode="0.00_);[Red]\(0.00\)"/>
  </numFmts>
  <fonts count="6">
    <font>
      <sz val="11"/>
      <color theme="1"/>
      <name val="等线"/>
      <family val="2"/>
      <scheme val="minor"/>
    </font>
    <font>
      <sz val="9"/>
      <name val="Times New Roman"/>
      <family val="1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b/>
      <sz val="9"/>
      <name val="Times New Roman"/>
      <family val="1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1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167" fontId="4" fillId="0" borderId="1" xfId="0" applyNumberFormat="1" applyFont="1" applyBorder="1" applyAlignment="1">
      <alignment horizontal="center" wrapText="1"/>
    </xf>
    <xf numFmtId="167" fontId="4" fillId="0" borderId="1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center"/>
    </xf>
    <xf numFmtId="167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 wrapText="1"/>
    </xf>
    <xf numFmtId="16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3"/>
  <sheetViews>
    <sheetView tabSelected="1" workbookViewId="0">
      <selection activeCell="V12" sqref="V12"/>
    </sheetView>
  </sheetViews>
  <sheetFormatPr defaultRowHeight="14.25"/>
  <cols>
    <col min="2" max="14" width="9" style="12"/>
  </cols>
  <sheetData>
    <row r="1" spans="1:1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>
      <c r="A2" s="1" t="s">
        <v>1</v>
      </c>
      <c r="B2" s="2" t="s">
        <v>2</v>
      </c>
      <c r="C2" s="3" t="s">
        <v>3</v>
      </c>
      <c r="D2" s="2" t="s">
        <v>4</v>
      </c>
      <c r="E2" s="4" t="s">
        <v>5</v>
      </c>
      <c r="F2" s="5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2" t="s">
        <v>14</v>
      </c>
      <c r="O2" s="2" t="s">
        <v>15</v>
      </c>
    </row>
    <row r="3" spans="1:15">
      <c r="A3" s="15" t="s">
        <v>16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5">
      <c r="A4" s="13" t="s">
        <v>17</v>
      </c>
      <c r="B4" s="7">
        <v>162467.57358611299</v>
      </c>
      <c r="C4" s="8">
        <v>32863.337500149697</v>
      </c>
      <c r="D4" s="7">
        <v>2586.7291379143699</v>
      </c>
      <c r="E4" s="9">
        <v>179.79983602882001</v>
      </c>
      <c r="F4" s="10">
        <v>132.41631126451799</v>
      </c>
      <c r="G4" s="10">
        <v>21.7898478704296</v>
      </c>
      <c r="H4" s="10">
        <v>46.501861323407702</v>
      </c>
      <c r="I4" s="10">
        <v>26.917590241134</v>
      </c>
      <c r="J4" s="10">
        <v>9.3401669004296903E-2</v>
      </c>
      <c r="K4" s="10">
        <v>15.141260871613101</v>
      </c>
      <c r="L4" s="7">
        <v>945.56849574969704</v>
      </c>
      <c r="M4" s="10">
        <v>23.9576651211162</v>
      </c>
      <c r="N4" s="7">
        <v>192.70783681711507</v>
      </c>
      <c r="O4" s="7">
        <v>12.052073368291545</v>
      </c>
    </row>
    <row r="5" spans="1:15">
      <c r="A5" s="13" t="s">
        <v>17</v>
      </c>
      <c r="B5" s="7">
        <v>206687.35351064501</v>
      </c>
      <c r="C5" s="8">
        <v>28210.234123709401</v>
      </c>
      <c r="D5" s="7">
        <v>2421.7048909559999</v>
      </c>
      <c r="E5" s="7">
        <v>344.75632963493598</v>
      </c>
      <c r="F5" s="7">
        <v>1768.69150008373</v>
      </c>
      <c r="G5" s="10">
        <v>36.748463646069098</v>
      </c>
      <c r="H5" s="10" t="s">
        <v>18</v>
      </c>
      <c r="I5" s="10">
        <v>69.461030170369895</v>
      </c>
      <c r="J5" s="10" t="s">
        <v>18</v>
      </c>
      <c r="K5" s="10">
        <v>56.076632630440201</v>
      </c>
      <c r="L5" s="7">
        <v>1208.28590654299</v>
      </c>
      <c r="M5" s="10">
        <v>47.414484498699402</v>
      </c>
      <c r="N5" s="7">
        <v>202.87459127409323</v>
      </c>
      <c r="O5" s="7">
        <v>10.687784626822047</v>
      </c>
    </row>
    <row r="6" spans="1:15">
      <c r="A6" s="13" t="s">
        <v>17</v>
      </c>
      <c r="B6" s="7">
        <v>213534.04693476699</v>
      </c>
      <c r="C6" s="8">
        <v>28067.064664637699</v>
      </c>
      <c r="D6" s="7">
        <v>2510.9669179277298</v>
      </c>
      <c r="E6" s="9">
        <v>164.42090331603899</v>
      </c>
      <c r="F6" s="7">
        <v>531.71742757346101</v>
      </c>
      <c r="G6" s="10">
        <v>44.997967348632002</v>
      </c>
      <c r="H6" s="10">
        <v>179.87063823394399</v>
      </c>
      <c r="I6" s="10">
        <v>69.540248850235997</v>
      </c>
      <c r="J6" s="10">
        <v>0.173915848439856</v>
      </c>
      <c r="K6" s="10">
        <v>73.823864881042496</v>
      </c>
      <c r="L6" s="7">
        <v>1328.0673973949599</v>
      </c>
      <c r="M6" s="10">
        <v>37.387606348855002</v>
      </c>
      <c r="N6" s="7">
        <v>167.07290728304918</v>
      </c>
      <c r="O6" s="7">
        <v>15.492054721208476</v>
      </c>
    </row>
    <row r="7" spans="1:15">
      <c r="A7" s="13" t="s">
        <v>19</v>
      </c>
      <c r="B7" s="7">
        <v>186408.50255806299</v>
      </c>
      <c r="C7" s="8">
        <v>28521.834312102699</v>
      </c>
      <c r="D7" s="7">
        <v>1326.5810639188301</v>
      </c>
      <c r="E7" s="9">
        <v>129.51414040001001</v>
      </c>
      <c r="F7" s="7">
        <v>3462.6873952954302</v>
      </c>
      <c r="G7" s="10">
        <v>14.9022447777346</v>
      </c>
      <c r="H7" s="10">
        <v>55.0926930422292</v>
      </c>
      <c r="I7" s="10">
        <v>61.167746544642696</v>
      </c>
      <c r="J7" s="10">
        <v>0.103654260473358</v>
      </c>
      <c r="K7" s="10">
        <v>77.163390960977694</v>
      </c>
      <c r="L7" s="7">
        <v>402.06499371161101</v>
      </c>
      <c r="M7" s="10">
        <v>52.0349566045548</v>
      </c>
      <c r="N7" s="7">
        <v>189.37145943952387</v>
      </c>
      <c r="O7" s="7">
        <v>12.49978577374036</v>
      </c>
    </row>
    <row r="8" spans="1:15">
      <c r="A8" s="13" t="s">
        <v>19</v>
      </c>
      <c r="B8" s="7">
        <v>180916.804937571</v>
      </c>
      <c r="C8" s="8">
        <v>31571.206669206</v>
      </c>
      <c r="D8" s="7">
        <v>1501.94038119678</v>
      </c>
      <c r="E8" s="9">
        <v>161.50598254633601</v>
      </c>
      <c r="F8" s="7">
        <v>4471.3552128811998</v>
      </c>
      <c r="G8" s="10">
        <v>25.949722623264901</v>
      </c>
      <c r="H8" s="7">
        <v>265.77477171879701</v>
      </c>
      <c r="I8" s="10">
        <v>79.837638834064407</v>
      </c>
      <c r="J8" s="10">
        <v>0.50821152276975701</v>
      </c>
      <c r="K8" s="10">
        <v>77.464692186753695</v>
      </c>
      <c r="L8" s="7">
        <v>366.75173246204997</v>
      </c>
      <c r="M8" s="10">
        <v>81.2587208063524</v>
      </c>
      <c r="N8" s="7">
        <v>176.99519929312632</v>
      </c>
      <c r="O8" s="7">
        <v>14.160570683091507</v>
      </c>
    </row>
    <row r="9" spans="1:15">
      <c r="A9" s="13" t="s">
        <v>19</v>
      </c>
      <c r="B9" s="7">
        <v>171674.935892473</v>
      </c>
      <c r="C9" s="8">
        <v>33685.925265811697</v>
      </c>
      <c r="D9" s="7">
        <v>2240.1397376039299</v>
      </c>
      <c r="E9" s="9">
        <v>155.32632906554699</v>
      </c>
      <c r="F9" s="7">
        <v>3278.4932168471701</v>
      </c>
      <c r="G9" s="10">
        <v>13.878358899441301</v>
      </c>
      <c r="H9" s="10">
        <v>189.28211810008301</v>
      </c>
      <c r="I9" s="10">
        <v>59.666827783642702</v>
      </c>
      <c r="J9" s="10">
        <v>26.209598823100901</v>
      </c>
      <c r="K9" s="10">
        <v>65.845646568083197</v>
      </c>
      <c r="L9" s="7">
        <v>377.31386227421899</v>
      </c>
      <c r="M9" s="10">
        <v>82.915867705508603</v>
      </c>
      <c r="N9" s="7">
        <v>210.87754937548306</v>
      </c>
      <c r="O9" s="7">
        <v>9.6138582639517214</v>
      </c>
    </row>
    <row r="10" spans="1:15">
      <c r="A10" s="13" t="s">
        <v>20</v>
      </c>
      <c r="B10" s="7">
        <v>172452.31305626099</v>
      </c>
      <c r="C10" s="8">
        <v>49293.891705431997</v>
      </c>
      <c r="D10" s="7">
        <v>1699.52058113679</v>
      </c>
      <c r="E10" s="7">
        <v>418.75663198388901</v>
      </c>
      <c r="F10" s="7">
        <v>1333.3097811673899</v>
      </c>
      <c r="G10" s="10">
        <v>47.503272956042302</v>
      </c>
      <c r="H10" s="7">
        <v>669.01552099852904</v>
      </c>
      <c r="I10" s="7">
        <v>491.434500878481</v>
      </c>
      <c r="J10" s="10">
        <v>0.147108970115326</v>
      </c>
      <c r="K10" s="10">
        <v>35.0255831190386</v>
      </c>
      <c r="L10" s="10">
        <v>103.910812052919</v>
      </c>
      <c r="M10" s="10">
        <v>69.209341782526707</v>
      </c>
      <c r="N10" s="7">
        <v>171.30046006985967</v>
      </c>
      <c r="O10" s="7">
        <v>14.92475443915486</v>
      </c>
    </row>
    <row r="11" spans="1:15">
      <c r="A11" s="13" t="s">
        <v>20</v>
      </c>
      <c r="B11" s="7">
        <v>175891.527220102</v>
      </c>
      <c r="C11" s="8">
        <v>66813.128025889193</v>
      </c>
      <c r="D11" s="7">
        <v>2236.3504347185899</v>
      </c>
      <c r="E11" s="9">
        <v>110.18810203369701</v>
      </c>
      <c r="F11" s="7">
        <v>1152.63753285805</v>
      </c>
      <c r="G11" s="10">
        <v>98.915253725865696</v>
      </c>
      <c r="H11" s="7">
        <v>470.60049323044899</v>
      </c>
      <c r="I11" s="10">
        <v>197.994925728412</v>
      </c>
      <c r="J11" s="10" t="s">
        <v>18</v>
      </c>
      <c r="K11" s="10">
        <v>10.4668975410295</v>
      </c>
      <c r="L11" s="10">
        <v>118.195433168973</v>
      </c>
      <c r="M11" s="10">
        <v>15.6968583842051</v>
      </c>
      <c r="N11" s="7">
        <v>143.57030568782227</v>
      </c>
      <c r="O11" s="7">
        <v>18.645896479391496</v>
      </c>
    </row>
    <row r="12" spans="1:15">
      <c r="A12" s="13" t="s">
        <v>20</v>
      </c>
      <c r="B12" s="7">
        <v>173804.42467861201</v>
      </c>
      <c r="C12" s="8">
        <v>68146.811297864697</v>
      </c>
      <c r="D12" s="7">
        <v>2170.1935690964501</v>
      </c>
      <c r="E12" s="9">
        <v>123.656130030245</v>
      </c>
      <c r="F12" s="7">
        <v>522.54748512345395</v>
      </c>
      <c r="G12" s="10">
        <v>23.5707970182096</v>
      </c>
      <c r="H12" s="7">
        <v>295.85430539816798</v>
      </c>
      <c r="I12" s="7">
        <v>252.498465056904</v>
      </c>
      <c r="J12" s="10">
        <v>5.2772246750775499E-2</v>
      </c>
      <c r="K12" s="10">
        <v>33.407261285479301</v>
      </c>
      <c r="L12" s="10">
        <v>114.197461045019</v>
      </c>
      <c r="M12" s="10">
        <v>39.8757555657631</v>
      </c>
      <c r="N12" s="7">
        <v>177.12313751062862</v>
      </c>
      <c r="O12" s="7">
        <v>14.143402503169321</v>
      </c>
    </row>
    <row r="13" spans="1:15">
      <c r="A13" s="13" t="s">
        <v>20</v>
      </c>
      <c r="B13" s="7">
        <v>177916.259119992</v>
      </c>
      <c r="C13" s="8">
        <v>90284.912244717998</v>
      </c>
      <c r="D13" s="7">
        <v>2869.9959159304899</v>
      </c>
      <c r="E13" s="9">
        <v>178.293755239799</v>
      </c>
      <c r="F13" s="7">
        <v>806.33497524833001</v>
      </c>
      <c r="G13" s="10">
        <v>6.3824234032653502</v>
      </c>
      <c r="H13" s="7">
        <v>419.33093566554999</v>
      </c>
      <c r="I13" s="7">
        <v>354.87050639186498</v>
      </c>
      <c r="J13" s="10">
        <v>2.8708529155820801E-2</v>
      </c>
      <c r="K13" s="10">
        <v>16.162254715581099</v>
      </c>
      <c r="L13" s="10">
        <v>143.029613132767</v>
      </c>
      <c r="M13" s="10">
        <v>33.049426889894598</v>
      </c>
      <c r="N13" s="7">
        <v>194.91609942672659</v>
      </c>
      <c r="O13" s="7">
        <v>11.755744010751764</v>
      </c>
    </row>
    <row r="14" spans="1:15">
      <c r="A14" s="13" t="s">
        <v>21</v>
      </c>
      <c r="B14" s="7">
        <v>163335.574367439</v>
      </c>
      <c r="C14" s="8">
        <v>66335.545280800099</v>
      </c>
      <c r="D14" s="7">
        <v>1941.39249594438</v>
      </c>
      <c r="E14" s="9">
        <v>131.14636061248001</v>
      </c>
      <c r="F14" s="7">
        <v>1525.2654811156301</v>
      </c>
      <c r="G14" s="10">
        <v>3.9390262834399299</v>
      </c>
      <c r="H14" s="7">
        <v>714.88151617904805</v>
      </c>
      <c r="I14" s="7">
        <v>250.37492108909299</v>
      </c>
      <c r="J14" s="10">
        <v>2.8947489443388898E-2</v>
      </c>
      <c r="K14" s="10">
        <v>3.3983071408695298</v>
      </c>
      <c r="L14" s="10">
        <v>107.771460758541</v>
      </c>
      <c r="M14" s="10">
        <v>10.1847271505014</v>
      </c>
      <c r="N14" s="7">
        <v>184.8069201700871</v>
      </c>
      <c r="O14" s="7">
        <v>13.112306668352282</v>
      </c>
    </row>
    <row r="15" spans="1:15">
      <c r="A15" s="13" t="s">
        <v>21</v>
      </c>
      <c r="B15" s="7">
        <v>168558.398521392</v>
      </c>
      <c r="C15" s="8">
        <v>92824.742023999497</v>
      </c>
      <c r="D15" s="7">
        <v>2234.5641810567699</v>
      </c>
      <c r="E15" s="7">
        <v>209.15729019302799</v>
      </c>
      <c r="F15" s="7">
        <v>1236.45076882342</v>
      </c>
      <c r="G15" s="10">
        <v>3.1976560845873698</v>
      </c>
      <c r="H15" s="7">
        <v>639.45794034435596</v>
      </c>
      <c r="I15" s="7">
        <v>347.09754729968103</v>
      </c>
      <c r="J15" s="10">
        <v>4.3552451596904303E-2</v>
      </c>
      <c r="K15" s="10">
        <v>1.0803531801228401</v>
      </c>
      <c r="L15" s="10">
        <v>148.47302975712799</v>
      </c>
      <c r="M15" s="10">
        <v>16.169942484084899</v>
      </c>
      <c r="N15" s="7">
        <v>202.70020119941128</v>
      </c>
      <c r="O15" s="7">
        <v>10.711186236108414</v>
      </c>
    </row>
    <row r="16" spans="1:15">
      <c r="A16" s="13" t="s">
        <v>22</v>
      </c>
      <c r="B16" s="7">
        <v>161384.94171033599</v>
      </c>
      <c r="C16" s="8">
        <v>33788.945930394402</v>
      </c>
      <c r="D16" s="7">
        <v>2558.08846310842</v>
      </c>
      <c r="E16" s="9">
        <v>161.75675951141699</v>
      </c>
      <c r="F16" s="7">
        <v>2267.8090876902302</v>
      </c>
      <c r="G16" s="10">
        <v>14.290813194494101</v>
      </c>
      <c r="H16" s="7">
        <v>549.76239962018496</v>
      </c>
      <c r="I16" s="10">
        <v>132.12170106417599</v>
      </c>
      <c r="J16" s="10">
        <v>2.53443140682727E-2</v>
      </c>
      <c r="K16" s="10">
        <v>33.546765070721499</v>
      </c>
      <c r="L16" s="7">
        <v>294.22013088600397</v>
      </c>
      <c r="M16" s="7">
        <v>948.76670516420199</v>
      </c>
      <c r="N16" s="7">
        <v>160.50819975882362</v>
      </c>
      <c r="O16" s="7">
        <v>16.372980547069623</v>
      </c>
    </row>
    <row r="17" spans="1:15">
      <c r="A17" s="13" t="s">
        <v>22</v>
      </c>
      <c r="B17" s="7">
        <v>162801.963029451</v>
      </c>
      <c r="C17" s="8">
        <v>42559.067882826399</v>
      </c>
      <c r="D17" s="7">
        <v>3056.6505790237102</v>
      </c>
      <c r="E17" s="9">
        <v>169.85460681772801</v>
      </c>
      <c r="F17" s="7">
        <v>577.34716235917494</v>
      </c>
      <c r="G17" s="10">
        <v>7.5940999892983703</v>
      </c>
      <c r="H17" s="10">
        <v>199.34315131232901</v>
      </c>
      <c r="I17" s="10">
        <v>81.895129313871607</v>
      </c>
      <c r="J17" s="10">
        <v>1.2364382979766201E-2</v>
      </c>
      <c r="K17" s="10">
        <v>0.83126002234306395</v>
      </c>
      <c r="L17" s="7">
        <v>228.77914765289299</v>
      </c>
      <c r="M17" s="10">
        <v>42.067181092818302</v>
      </c>
      <c r="N17" s="7">
        <v>181.48767496190621</v>
      </c>
      <c r="O17" s="7">
        <v>13.557720087832438</v>
      </c>
    </row>
    <row r="18" spans="1:15">
      <c r="A18" s="13" t="s">
        <v>22</v>
      </c>
      <c r="B18" s="7">
        <v>164946.93996384001</v>
      </c>
      <c r="C18" s="8">
        <v>41033.131542568197</v>
      </c>
      <c r="D18" s="7">
        <v>2648.8463637845098</v>
      </c>
      <c r="E18" s="9">
        <v>115.715549863346</v>
      </c>
      <c r="F18" s="7">
        <v>2585.8105173576801</v>
      </c>
      <c r="G18" s="10">
        <v>58.719107764825701</v>
      </c>
      <c r="H18" s="7">
        <v>826.12257805495199</v>
      </c>
      <c r="I18" s="7">
        <v>221.36654631483</v>
      </c>
      <c r="J18" s="10">
        <v>0.33850285847383998</v>
      </c>
      <c r="K18" s="10">
        <v>93.190474660668102</v>
      </c>
      <c r="L18" s="7">
        <v>236.26800538748901</v>
      </c>
      <c r="M18" s="10">
        <v>78.9767647456936</v>
      </c>
      <c r="N18" s="7">
        <v>153.08738578667783</v>
      </c>
      <c r="O18" s="7">
        <v>17.368788304361249</v>
      </c>
    </row>
    <row r="19" spans="1:15">
      <c r="A19" s="13" t="s">
        <v>23</v>
      </c>
      <c r="B19" s="7">
        <v>160115.53098595401</v>
      </c>
      <c r="C19" s="8">
        <v>33676.586077352003</v>
      </c>
      <c r="D19" s="7">
        <v>2108.6476423317499</v>
      </c>
      <c r="E19" s="9">
        <v>149.62602062986201</v>
      </c>
      <c r="F19" s="7">
        <v>1587.1234810349599</v>
      </c>
      <c r="G19" s="10">
        <v>20.854345028845401</v>
      </c>
      <c r="H19" s="7">
        <v>480.48973874037898</v>
      </c>
      <c r="I19" s="10">
        <v>104.89968545327299</v>
      </c>
      <c r="J19" s="10">
        <v>2.2500219091344101E-2</v>
      </c>
      <c r="K19" s="10">
        <v>10.228063516830799</v>
      </c>
      <c r="L19" s="7">
        <v>279.73652820074801</v>
      </c>
      <c r="M19" s="10">
        <v>36.066851897069903</v>
      </c>
      <c r="N19" s="7">
        <v>156.03409157172496</v>
      </c>
      <c r="O19" s="7">
        <v>16.973366388353085</v>
      </c>
    </row>
    <row r="20" spans="1:15">
      <c r="A20" s="13" t="s">
        <v>24</v>
      </c>
      <c r="B20" s="7">
        <v>162756.47074068201</v>
      </c>
      <c r="C20" s="8">
        <v>40647.474273995002</v>
      </c>
      <c r="D20" s="7">
        <v>1223.2121865459101</v>
      </c>
      <c r="E20" s="7">
        <v>223.44770331180999</v>
      </c>
      <c r="F20" s="10">
        <v>76.519791024702798</v>
      </c>
      <c r="G20" s="10">
        <v>49.742784573768503</v>
      </c>
      <c r="H20" s="10">
        <v>2.8996629630861599</v>
      </c>
      <c r="I20" s="10">
        <v>30.457709627102801</v>
      </c>
      <c r="J20" s="10">
        <v>1.44965739783535</v>
      </c>
      <c r="K20" s="10">
        <v>1.01994550658927</v>
      </c>
      <c r="L20" s="10">
        <v>154.44516448566901</v>
      </c>
      <c r="M20" s="10">
        <v>12.9540718120987</v>
      </c>
      <c r="N20" s="7">
        <v>237.5999710410843</v>
      </c>
      <c r="O20" s="7">
        <v>6.0279450625015549</v>
      </c>
    </row>
    <row r="21" spans="1:15">
      <c r="A21" s="13" t="s">
        <v>24</v>
      </c>
      <c r="B21" s="7">
        <v>169768.75288285999</v>
      </c>
      <c r="C21" s="8">
        <v>77156.679307085302</v>
      </c>
      <c r="D21" s="7">
        <v>1768.3860156672299</v>
      </c>
      <c r="E21" s="9">
        <v>167.16685591245499</v>
      </c>
      <c r="F21" s="10">
        <v>1447.5038614016601</v>
      </c>
      <c r="G21" s="10">
        <v>0.17495757264659101</v>
      </c>
      <c r="H21" s="7">
        <v>578.72575010526305</v>
      </c>
      <c r="I21" s="10">
        <v>171.95965351489701</v>
      </c>
      <c r="J21" s="10" t="s">
        <v>18</v>
      </c>
      <c r="K21" s="10" t="s">
        <v>18</v>
      </c>
      <c r="L21" s="10">
        <v>163.16318105896701</v>
      </c>
      <c r="M21" s="10">
        <v>6.8858106297005701</v>
      </c>
      <c r="N21" s="7">
        <v>221.20913296650224</v>
      </c>
      <c r="O21" s="7">
        <v>8.227450907068631</v>
      </c>
    </row>
    <row r="22" spans="1:15">
      <c r="A22" s="13" t="s">
        <v>25</v>
      </c>
      <c r="B22" s="7">
        <v>166841.15532911199</v>
      </c>
      <c r="C22" s="8">
        <v>65183.840629045597</v>
      </c>
      <c r="D22" s="7">
        <v>1709.25257775712</v>
      </c>
      <c r="E22" s="9">
        <v>157.55576103979601</v>
      </c>
      <c r="F22" s="10">
        <v>83.5301063441742</v>
      </c>
      <c r="G22" s="10">
        <v>1.2077428700508099</v>
      </c>
      <c r="H22" s="10">
        <v>29.578748060832002</v>
      </c>
      <c r="I22" s="10">
        <v>112.640128089534</v>
      </c>
      <c r="J22" s="10">
        <v>0.18090674593763401</v>
      </c>
      <c r="K22" s="10">
        <v>12.943354422597199</v>
      </c>
      <c r="L22" s="10">
        <v>196.74537256229601</v>
      </c>
      <c r="M22" s="10">
        <v>56.2393159137917</v>
      </c>
      <c r="N22" s="7">
        <v>248.6864277694923</v>
      </c>
      <c r="O22" s="7">
        <v>4.5402403912262193</v>
      </c>
    </row>
    <row r="23" spans="1:15">
      <c r="A23" s="13" t="s">
        <v>25</v>
      </c>
      <c r="B23" s="7">
        <v>157381.361858711</v>
      </c>
      <c r="C23" s="8">
        <v>45288.290179418203</v>
      </c>
      <c r="D23" s="7">
        <v>1258.6052805766001</v>
      </c>
      <c r="E23" s="9">
        <v>152.06348970664899</v>
      </c>
      <c r="F23" s="10">
        <v>53.623337858969101</v>
      </c>
      <c r="G23" s="10">
        <v>27.661814121993899</v>
      </c>
      <c r="H23" s="10">
        <v>2.7635597361977799</v>
      </c>
      <c r="I23" s="10">
        <v>39.667656704389998</v>
      </c>
      <c r="J23" s="10">
        <v>1.1689768072851501</v>
      </c>
      <c r="K23" s="10">
        <v>2.0470674981844601</v>
      </c>
      <c r="L23" s="10">
        <v>140.379974350851</v>
      </c>
      <c r="M23" s="10">
        <v>15.631290981700801</v>
      </c>
      <c r="N23" s="7">
        <v>242.01621218252544</v>
      </c>
      <c r="O23" s="7">
        <v>5.4353244681537562</v>
      </c>
    </row>
    <row r="24" spans="1:15">
      <c r="A24" s="13" t="s">
        <v>25</v>
      </c>
      <c r="B24" s="7">
        <v>156209.73484487701</v>
      </c>
      <c r="C24" s="8">
        <v>92887.682499862305</v>
      </c>
      <c r="D24" s="7">
        <v>1772.14617749284</v>
      </c>
      <c r="E24" s="9">
        <v>183.62715847476301</v>
      </c>
      <c r="F24" s="7">
        <v>362.656009665478</v>
      </c>
      <c r="G24" s="10">
        <v>1.2910127487724199</v>
      </c>
      <c r="H24" s="10">
        <v>75.904378790746605</v>
      </c>
      <c r="I24" s="10">
        <v>86.834352656809301</v>
      </c>
      <c r="J24" s="10" t="s">
        <v>18</v>
      </c>
      <c r="K24" s="10">
        <v>5.2964686520247204</v>
      </c>
      <c r="L24" s="10">
        <v>122.366432058011</v>
      </c>
      <c r="M24" s="10">
        <v>23.020220290791801</v>
      </c>
      <c r="N24" s="7">
        <v>228.52252902336087</v>
      </c>
      <c r="O24" s="7">
        <v>7.246057686203411</v>
      </c>
    </row>
    <row r="25" spans="1:15">
      <c r="A25" s="13" t="s">
        <v>25</v>
      </c>
      <c r="B25" s="7">
        <v>154764.42820743099</v>
      </c>
      <c r="C25" s="8">
        <v>86815.349702579202</v>
      </c>
      <c r="D25" s="7">
        <v>1863.04035554452</v>
      </c>
      <c r="E25" s="9">
        <v>138.855389425082</v>
      </c>
      <c r="F25" s="7">
        <v>918.680816638529</v>
      </c>
      <c r="G25" s="10">
        <v>0.94107606000639199</v>
      </c>
      <c r="H25" s="7">
        <v>347.30041789795399</v>
      </c>
      <c r="I25" s="7">
        <v>217.80489874204099</v>
      </c>
      <c r="J25" s="10" t="s">
        <v>18</v>
      </c>
      <c r="K25" s="10">
        <v>26.302592512279599</v>
      </c>
      <c r="L25" s="10">
        <v>93.662317569420793</v>
      </c>
      <c r="M25" s="10">
        <v>21.779400744894001</v>
      </c>
      <c r="N25" s="7">
        <v>207.86863743421239</v>
      </c>
      <c r="O25" s="7">
        <v>10.017627697247235</v>
      </c>
    </row>
    <row r="26" spans="1:15">
      <c r="A26" s="13" t="s">
        <v>25</v>
      </c>
      <c r="B26" s="7">
        <v>145153.028928913</v>
      </c>
      <c r="C26" s="8">
        <v>47821.412376377702</v>
      </c>
      <c r="D26" s="7">
        <v>1376.58806200302</v>
      </c>
      <c r="E26" s="9">
        <v>65.860096133988506</v>
      </c>
      <c r="F26" s="7">
        <v>1514.4318308828799</v>
      </c>
      <c r="G26" s="10">
        <v>17.830041861877401</v>
      </c>
      <c r="H26" s="7">
        <v>505.98323093012402</v>
      </c>
      <c r="I26" s="7">
        <v>222.201787463073</v>
      </c>
      <c r="J26" s="10">
        <v>7.1827654930975496E-2</v>
      </c>
      <c r="K26" s="10">
        <v>25.142628247851601</v>
      </c>
      <c r="L26" s="10">
        <v>109.116061597062</v>
      </c>
      <c r="M26" s="10">
        <v>13.619366487913901</v>
      </c>
      <c r="N26" s="7">
        <v>161.7350444300032</v>
      </c>
      <c r="O26" s="7">
        <v>16.208348817297367</v>
      </c>
    </row>
    <row r="27" spans="1:15">
      <c r="A27" s="13" t="s">
        <v>26</v>
      </c>
      <c r="B27" s="7">
        <v>149649.157162269</v>
      </c>
      <c r="C27" s="8">
        <v>35269.957928481199</v>
      </c>
      <c r="D27" s="7">
        <v>1141.1548401597499</v>
      </c>
      <c r="E27" s="9">
        <v>61.232621752224297</v>
      </c>
      <c r="F27" s="10">
        <v>44.079472557860797</v>
      </c>
      <c r="G27" s="10">
        <v>13.0105625374523</v>
      </c>
      <c r="H27" s="10">
        <v>0.79514841512734102</v>
      </c>
      <c r="I27" s="10">
        <v>111.635321883131</v>
      </c>
      <c r="J27" s="10">
        <v>0.27210978512113498</v>
      </c>
      <c r="K27" s="10">
        <v>25.2773875377225</v>
      </c>
      <c r="L27" s="10">
        <v>114.237757422664</v>
      </c>
      <c r="M27" s="10">
        <v>49.222739232982597</v>
      </c>
      <c r="N27" s="7">
        <v>243.09390410529298</v>
      </c>
      <c r="O27" s="7">
        <v>5.29070772116473</v>
      </c>
    </row>
    <row r="28" spans="1:15">
      <c r="A28" s="13" t="s">
        <v>26</v>
      </c>
      <c r="B28" s="7">
        <v>166617.26017681099</v>
      </c>
      <c r="C28" s="8">
        <v>76522.235953902593</v>
      </c>
      <c r="D28" s="7">
        <v>1531.7539663617699</v>
      </c>
      <c r="E28" s="9">
        <v>149.40348404146201</v>
      </c>
      <c r="F28" s="10">
        <v>105.34336197645</v>
      </c>
      <c r="G28" s="10">
        <v>7.3924250715160698</v>
      </c>
      <c r="H28" s="10">
        <v>56.973527448470897</v>
      </c>
      <c r="I28" s="10">
        <v>86.2346317063474</v>
      </c>
      <c r="J28" s="10">
        <v>0.131201890112738</v>
      </c>
      <c r="K28" s="10">
        <v>11.8672757639822</v>
      </c>
      <c r="L28" s="10">
        <v>125.78926351749701</v>
      </c>
      <c r="M28" s="10">
        <v>79.9594726123252</v>
      </c>
      <c r="N28" s="7">
        <v>220.06089207270259</v>
      </c>
      <c r="O28" s="7">
        <v>8.3815347034792467</v>
      </c>
    </row>
    <row r="29" spans="1:15">
      <c r="A29" s="13" t="s">
        <v>27</v>
      </c>
      <c r="B29" s="7">
        <v>161171.401171284</v>
      </c>
      <c r="C29" s="8">
        <v>40164.444361293499</v>
      </c>
      <c r="D29" s="7">
        <v>1273.4347995570099</v>
      </c>
      <c r="E29" s="9">
        <v>156.616339880612</v>
      </c>
      <c r="F29" s="7">
        <v>256.69103488928403</v>
      </c>
      <c r="G29" s="10">
        <v>0.17972243803603999</v>
      </c>
      <c r="H29" s="7">
        <v>229.77224652294299</v>
      </c>
      <c r="I29" s="7">
        <v>373.45057496415598</v>
      </c>
      <c r="J29" s="10" t="s">
        <v>18</v>
      </c>
      <c r="K29" s="10" t="s">
        <v>18</v>
      </c>
      <c r="L29" s="10">
        <v>175.343066319336</v>
      </c>
      <c r="M29" s="10">
        <v>26.3434288404444</v>
      </c>
      <c r="N29" s="7">
        <v>219.29339320230164</v>
      </c>
      <c r="O29" s="7">
        <v>8.4845262798381995</v>
      </c>
    </row>
    <row r="30" spans="1:15">
      <c r="A30" s="13" t="s">
        <v>27</v>
      </c>
      <c r="B30" s="7">
        <v>164134.649550756</v>
      </c>
      <c r="C30" s="8">
        <v>49182.742440834998</v>
      </c>
      <c r="D30" s="7">
        <v>1372.3840460422</v>
      </c>
      <c r="E30" s="9">
        <v>195.25025430466201</v>
      </c>
      <c r="F30" s="7">
        <v>228.93034159186001</v>
      </c>
      <c r="G30" s="10">
        <v>67.912244119311097</v>
      </c>
      <c r="H30" s="10">
        <v>199.42613540813099</v>
      </c>
      <c r="I30" s="7">
        <v>354.18858537711702</v>
      </c>
      <c r="J30" s="10">
        <v>9.8352659163988804E-2</v>
      </c>
      <c r="K30" s="10">
        <v>0.32450409262743501</v>
      </c>
      <c r="L30" s="10">
        <v>170.263928845207</v>
      </c>
      <c r="M30" s="10">
        <v>4.7042629964787501</v>
      </c>
      <c r="N30" s="7">
        <v>170.9713312287704</v>
      </c>
      <c r="O30" s="7">
        <v>14.968920625551029</v>
      </c>
    </row>
    <row r="31" spans="1:15">
      <c r="A31" s="13" t="s">
        <v>27</v>
      </c>
      <c r="B31" s="7">
        <v>167022.62826736699</v>
      </c>
      <c r="C31" s="8">
        <v>44083.6794165096</v>
      </c>
      <c r="D31" s="7">
        <v>1830.9808030837501</v>
      </c>
      <c r="E31" s="7">
        <v>230.653141849127</v>
      </c>
      <c r="F31" s="7">
        <v>829.04240571719401</v>
      </c>
      <c r="G31" s="10">
        <v>6.3036659421751198</v>
      </c>
      <c r="H31" s="7">
        <v>1437.55948800959</v>
      </c>
      <c r="I31" s="7">
        <v>1825.9234669397299</v>
      </c>
      <c r="J31" s="10">
        <v>0.12430990085599</v>
      </c>
      <c r="K31" s="10" t="s">
        <v>18</v>
      </c>
      <c r="L31" s="10">
        <v>172.81953988279801</v>
      </c>
      <c r="M31" s="10">
        <v>3.1652790331215601</v>
      </c>
      <c r="N31" s="7">
        <v>176.66443310626065</v>
      </c>
      <c r="O31" s="7">
        <v>14.204956586843702</v>
      </c>
    </row>
    <row r="32" spans="1:15">
      <c r="A32" s="13" t="s">
        <v>28</v>
      </c>
      <c r="B32" s="7">
        <v>131756.68656854701</v>
      </c>
      <c r="C32" s="8">
        <v>41742.032133726898</v>
      </c>
      <c r="D32" s="7">
        <v>1345.63041843153</v>
      </c>
      <c r="E32" s="9">
        <v>120.68653866468</v>
      </c>
      <c r="F32" s="10">
        <v>21.1004040906151</v>
      </c>
      <c r="G32" s="10">
        <v>9.4206301860500794</v>
      </c>
      <c r="H32" s="10">
        <v>2.99791830827149</v>
      </c>
      <c r="I32" s="10">
        <v>9.0132706338036996</v>
      </c>
      <c r="J32" s="10" t="s">
        <v>18</v>
      </c>
      <c r="K32" s="10" t="s">
        <v>18</v>
      </c>
      <c r="L32" s="10">
        <v>81.570821427958094</v>
      </c>
      <c r="M32" s="10">
        <v>7.5902552050525802</v>
      </c>
      <c r="N32" s="7">
        <v>222.97339697015099</v>
      </c>
      <c r="O32" s="7">
        <v>7.9907022448142992</v>
      </c>
    </row>
    <row r="33" spans="1:15">
      <c r="A33" s="13" t="s">
        <v>29</v>
      </c>
      <c r="B33" s="7">
        <v>135815.62188349699</v>
      </c>
      <c r="C33" s="8">
        <v>62345.650724301799</v>
      </c>
      <c r="D33" s="7">
        <v>1753.7084617402099</v>
      </c>
      <c r="E33" s="9">
        <v>166.15773131660799</v>
      </c>
      <c r="F33" s="7">
        <v>669.37672218630303</v>
      </c>
      <c r="G33" s="10">
        <v>0.91516065549233205</v>
      </c>
      <c r="H33" s="7">
        <v>328.40186226608699</v>
      </c>
      <c r="I33" s="10">
        <v>63.213218380815299</v>
      </c>
      <c r="J33" s="10" t="s">
        <v>18</v>
      </c>
      <c r="K33" s="10">
        <v>0.42816639425509501</v>
      </c>
      <c r="L33" s="10">
        <v>81.236693355198199</v>
      </c>
      <c r="M33" s="10">
        <v>17.895946335774099</v>
      </c>
      <c r="N33" s="7">
        <v>205.68659421106034</v>
      </c>
      <c r="O33" s="7">
        <v>10.310438644471681</v>
      </c>
    </row>
    <row r="34" spans="1:15">
      <c r="A34" s="13" t="s">
        <v>29</v>
      </c>
      <c r="B34" s="7">
        <v>133560.268589538</v>
      </c>
      <c r="C34" s="8">
        <v>51869.377236352797</v>
      </c>
      <c r="D34" s="7">
        <v>1552.9906381924</v>
      </c>
      <c r="E34" s="9">
        <v>147.07513833233901</v>
      </c>
      <c r="F34" s="7">
        <v>1623.5451426094301</v>
      </c>
      <c r="G34" s="10">
        <v>2.7589292908068801</v>
      </c>
      <c r="H34" s="7">
        <v>754.82116826235801</v>
      </c>
      <c r="I34" s="10">
        <v>115.200399573274</v>
      </c>
      <c r="J34" s="10" t="s">
        <v>18</v>
      </c>
      <c r="K34" s="10">
        <v>0.90891431164925596</v>
      </c>
      <c r="L34" s="10">
        <v>62.689758334425399</v>
      </c>
      <c r="M34" s="10">
        <v>27.355728285750299</v>
      </c>
      <c r="N34" s="7">
        <v>174.69270801480377</v>
      </c>
      <c r="O34" s="7">
        <v>14.469544696542878</v>
      </c>
    </row>
    <row r="35" spans="1:15">
      <c r="A35" s="13" t="s">
        <v>30</v>
      </c>
      <c r="B35" s="7">
        <v>138392.453960321</v>
      </c>
      <c r="C35" s="8">
        <v>62380.1118983208</v>
      </c>
      <c r="D35" s="7">
        <v>1721.4274940979301</v>
      </c>
      <c r="E35" s="9">
        <v>175.18878565454301</v>
      </c>
      <c r="F35" s="10">
        <v>88.463605904484297</v>
      </c>
      <c r="G35" s="10">
        <v>0.28458082045769401</v>
      </c>
      <c r="H35" s="10">
        <v>45.653337964247797</v>
      </c>
      <c r="I35" s="10">
        <v>25.4858404878124</v>
      </c>
      <c r="J35" s="10" t="s">
        <v>18</v>
      </c>
      <c r="K35" s="10" t="s">
        <v>18</v>
      </c>
      <c r="L35" s="10">
        <v>69.591999898931107</v>
      </c>
      <c r="M35" s="10">
        <v>34.7735480552263</v>
      </c>
      <c r="N35" s="7">
        <v>234.8283399573202</v>
      </c>
      <c r="O35" s="7">
        <v>6.3998734983743137</v>
      </c>
    </row>
    <row r="36" spans="1:15">
      <c r="A36" s="13" t="s">
        <v>30</v>
      </c>
      <c r="B36" s="7">
        <v>137413.450961439</v>
      </c>
      <c r="C36" s="8">
        <v>58222.696600263102</v>
      </c>
      <c r="D36" s="7">
        <v>1612.3419529667599</v>
      </c>
      <c r="E36" s="9">
        <v>159.573459205788</v>
      </c>
      <c r="F36" s="7">
        <v>655.54504242123596</v>
      </c>
      <c r="G36" s="10">
        <v>0.87681857798602902</v>
      </c>
      <c r="H36" s="7">
        <v>298.84379296556301</v>
      </c>
      <c r="I36" s="10">
        <v>49.520499989649103</v>
      </c>
      <c r="J36" s="10" t="s">
        <v>18</v>
      </c>
      <c r="K36" s="10">
        <v>0.30152046064691501</v>
      </c>
      <c r="L36" s="10">
        <v>95.663429238379706</v>
      </c>
      <c r="M36" s="10">
        <v>20.045038221851801</v>
      </c>
      <c r="N36" s="7">
        <v>205.95726445654228</v>
      </c>
      <c r="O36" s="7">
        <v>10.274117085794877</v>
      </c>
    </row>
    <row r="37" spans="1:15">
      <c r="A37" s="13" t="s">
        <v>31</v>
      </c>
      <c r="B37" s="7">
        <v>140025.58762392099</v>
      </c>
      <c r="C37" s="8">
        <v>21796.511966102302</v>
      </c>
      <c r="D37" s="7">
        <v>1275.5190000831301</v>
      </c>
      <c r="E37" s="7">
        <v>302.368511287866</v>
      </c>
      <c r="F37" s="7">
        <v>543.16513123767504</v>
      </c>
      <c r="G37" s="7">
        <v>263.44222923597698</v>
      </c>
      <c r="H37" s="10">
        <v>168.18279918657001</v>
      </c>
      <c r="I37" s="7">
        <v>281.97729036387398</v>
      </c>
      <c r="J37" s="10">
        <v>0.87289156106982901</v>
      </c>
      <c r="K37" s="10">
        <v>9.4407464730587005</v>
      </c>
      <c r="L37" s="10">
        <v>77.951667344414403</v>
      </c>
      <c r="M37" s="10">
        <v>194.967992632662</v>
      </c>
      <c r="N37" s="7">
        <v>157.04194671314025</v>
      </c>
      <c r="O37" s="7">
        <v>16.838121121214638</v>
      </c>
    </row>
    <row r="38" spans="1:15">
      <c r="A38" s="13" t="s">
        <v>32</v>
      </c>
      <c r="B38" s="7">
        <v>151316.17915809099</v>
      </c>
      <c r="C38" s="8">
        <v>32964.480378648099</v>
      </c>
      <c r="D38" s="7">
        <v>2226.0160510616502</v>
      </c>
      <c r="E38" s="7">
        <v>995.00683628670402</v>
      </c>
      <c r="F38" s="7">
        <v>1325.62379256908</v>
      </c>
      <c r="G38" s="10">
        <v>61.5258072407063</v>
      </c>
      <c r="H38" s="7">
        <v>668.17959451675495</v>
      </c>
      <c r="I38" s="7">
        <v>413.71342230630597</v>
      </c>
      <c r="J38" s="10">
        <v>0.40640170644698198</v>
      </c>
      <c r="K38" s="10">
        <v>1.4937894498556299</v>
      </c>
      <c r="L38" s="7">
        <v>230.71710242015999</v>
      </c>
      <c r="M38" s="10">
        <v>133.682059103</v>
      </c>
      <c r="N38" s="7">
        <v>175.06506691435911</v>
      </c>
      <c r="O38" s="7">
        <v>14.419577417742254</v>
      </c>
    </row>
    <row r="39" spans="1:15">
      <c r="A39" s="13" t="s">
        <v>33</v>
      </c>
      <c r="B39" s="7">
        <v>169869.31910043399</v>
      </c>
      <c r="C39" s="8">
        <v>66452.889195941403</v>
      </c>
      <c r="D39" s="7">
        <v>2176.6715530746701</v>
      </c>
      <c r="E39" s="9">
        <v>172.97021849312</v>
      </c>
      <c r="F39" s="10">
        <v>6.9934766184616999</v>
      </c>
      <c r="G39" s="10">
        <v>4.4710366125033696</v>
      </c>
      <c r="H39" s="10" t="s">
        <v>18</v>
      </c>
      <c r="I39" s="10">
        <v>58.258875267564001</v>
      </c>
      <c r="J39" s="10">
        <v>0.10406404231152</v>
      </c>
      <c r="K39" s="10">
        <v>3.8817388665300001</v>
      </c>
      <c r="L39" s="10">
        <v>106.509127145695</v>
      </c>
      <c r="M39" s="10">
        <v>30.429411847343399</v>
      </c>
      <c r="N39" s="7">
        <v>283.78829025050243</v>
      </c>
      <c r="O39" s="7">
        <v>0</v>
      </c>
    </row>
    <row r="40" spans="1:15">
      <c r="A40" s="13" t="s">
        <v>33</v>
      </c>
      <c r="B40" s="7">
        <v>178749.36683054001</v>
      </c>
      <c r="C40" s="8">
        <v>95312.498668350207</v>
      </c>
      <c r="D40" s="7">
        <v>2619.5002036178698</v>
      </c>
      <c r="E40" s="9">
        <v>171.020497065613</v>
      </c>
      <c r="F40" s="10">
        <v>3.4892755042888099</v>
      </c>
      <c r="G40" s="10">
        <v>2.1322576077433202</v>
      </c>
      <c r="H40" s="10" t="s">
        <v>18</v>
      </c>
      <c r="I40" s="10">
        <v>43.550189622116399</v>
      </c>
      <c r="J40" s="10">
        <v>0.10363808436996599</v>
      </c>
      <c r="K40" s="10">
        <v>4.0966203161270203</v>
      </c>
      <c r="L40" s="10">
        <v>91.831665012706694</v>
      </c>
      <c r="M40" s="10">
        <v>22.632889529630901</v>
      </c>
      <c r="N40" s="7">
        <v>300.18433109287315</v>
      </c>
      <c r="O40" s="7">
        <v>2</v>
      </c>
    </row>
    <row r="41" spans="1:15">
      <c r="A41" s="13" t="s">
        <v>33</v>
      </c>
      <c r="B41" s="7">
        <v>172830.30933093099</v>
      </c>
      <c r="C41" s="8">
        <v>81340.195647694898</v>
      </c>
      <c r="D41" s="7">
        <v>2704.2663816323302</v>
      </c>
      <c r="E41" s="9">
        <v>150.28194413063699</v>
      </c>
      <c r="F41" s="10">
        <v>1.9264100586561399</v>
      </c>
      <c r="G41" s="10">
        <v>0.65130953058252805</v>
      </c>
      <c r="H41" s="10" t="s">
        <v>18</v>
      </c>
      <c r="I41" s="10">
        <v>20.569576586219601</v>
      </c>
      <c r="J41" s="10">
        <v>2.72330844365785E-2</v>
      </c>
      <c r="K41" s="10">
        <v>0.58467816271541695</v>
      </c>
      <c r="L41" s="10">
        <v>71.138488037103102</v>
      </c>
      <c r="M41" s="10">
        <v>10.186374231543599</v>
      </c>
      <c r="N41" s="7">
        <v>301.86206507476669</v>
      </c>
      <c r="O41" s="7">
        <v>3</v>
      </c>
    </row>
    <row r="42" spans="1:15">
      <c r="A42" s="13" t="s">
        <v>33</v>
      </c>
      <c r="B42" s="7">
        <v>175618.84406486299</v>
      </c>
      <c r="C42" s="8">
        <v>90457.494122475793</v>
      </c>
      <c r="D42" s="7">
        <v>2383.8213953551999</v>
      </c>
      <c r="E42" s="9">
        <v>146.140194018958</v>
      </c>
      <c r="F42" s="10">
        <v>188.034756755377</v>
      </c>
      <c r="G42" s="10">
        <v>197.00675371614</v>
      </c>
      <c r="H42" s="10">
        <v>2.3613103282699099</v>
      </c>
      <c r="I42" s="7">
        <v>205.37011462699601</v>
      </c>
      <c r="J42" s="10">
        <v>3.4316651277817703E-2</v>
      </c>
      <c r="K42" s="10">
        <v>7.1602874071924898</v>
      </c>
      <c r="L42" s="10">
        <v>129.61920456058201</v>
      </c>
      <c r="M42" s="10">
        <v>51.092521794960398</v>
      </c>
      <c r="N42" s="7">
        <v>214.70261992978376</v>
      </c>
      <c r="O42" s="7">
        <v>9.1005675461871061</v>
      </c>
    </row>
    <row r="43" spans="1:15">
      <c r="A43" s="13" t="s">
        <v>34</v>
      </c>
      <c r="B43" s="7">
        <v>182234.54056231899</v>
      </c>
      <c r="C43" s="8">
        <v>122909.170027503</v>
      </c>
      <c r="D43" s="7">
        <v>2500.0962817828699</v>
      </c>
      <c r="E43" s="7">
        <v>204.979226015525</v>
      </c>
      <c r="F43" s="10">
        <v>23.749870121359201</v>
      </c>
      <c r="G43" s="10">
        <v>23.302481279781599</v>
      </c>
      <c r="H43" s="10" t="s">
        <v>18</v>
      </c>
      <c r="I43" s="10">
        <v>39.9642711604209</v>
      </c>
      <c r="J43" s="10">
        <v>7.1386271258732301E-2</v>
      </c>
      <c r="K43" s="10">
        <v>0.26789348482626202</v>
      </c>
      <c r="L43" s="10">
        <v>83.144695806016102</v>
      </c>
      <c r="M43" s="10">
        <v>5.2443674712770001</v>
      </c>
      <c r="N43" s="7">
        <v>279.26460124278731</v>
      </c>
      <c r="O43" s="7">
        <v>0.43691931852303156</v>
      </c>
    </row>
    <row r="44" spans="1:15">
      <c r="A44" s="13" t="s">
        <v>34</v>
      </c>
      <c r="B44" s="7">
        <v>163112.94005820699</v>
      </c>
      <c r="C44" s="8">
        <v>40951.7012493742</v>
      </c>
      <c r="D44" s="7">
        <v>2359.8911095133199</v>
      </c>
      <c r="E44" s="9">
        <v>45.706557846840603</v>
      </c>
      <c r="F44" s="10">
        <v>6.94239340776664</v>
      </c>
      <c r="G44" s="10">
        <v>5.5795573607110001</v>
      </c>
      <c r="H44" s="10">
        <v>0.41164394351182199</v>
      </c>
      <c r="I44" s="10">
        <v>58.575385970731503</v>
      </c>
      <c r="J44" s="10">
        <v>0.170607795165857</v>
      </c>
      <c r="K44" s="10">
        <v>2.7455509013886399</v>
      </c>
      <c r="L44" s="10">
        <v>101.021433352258</v>
      </c>
      <c r="M44" s="10">
        <v>28.495562865904901</v>
      </c>
      <c r="N44" s="7">
        <v>258.39103410516566</v>
      </c>
      <c r="O44" s="7">
        <v>3.2379678498582827</v>
      </c>
    </row>
    <row r="45" spans="1:15">
      <c r="A45" s="13" t="s">
        <v>34</v>
      </c>
      <c r="B45" s="7">
        <v>159565.98695423399</v>
      </c>
      <c r="C45" s="8">
        <v>33032.633632683901</v>
      </c>
      <c r="D45" s="7">
        <v>1670.2274167227999</v>
      </c>
      <c r="E45" s="9">
        <v>90.365664265127904</v>
      </c>
      <c r="F45" s="10">
        <v>14.713460107621</v>
      </c>
      <c r="G45" s="10">
        <v>13.326725760457901</v>
      </c>
      <c r="H45" s="10" t="s">
        <v>18</v>
      </c>
      <c r="I45" s="10">
        <v>59.746813269931003</v>
      </c>
      <c r="J45" s="10">
        <v>0.31666092567833398</v>
      </c>
      <c r="K45" s="10">
        <v>1.8733136623333999</v>
      </c>
      <c r="L45" s="10">
        <v>136.703889638905</v>
      </c>
      <c r="M45" s="10">
        <v>36.081295981974897</v>
      </c>
      <c r="N45" s="7">
        <v>258.84722960576585</v>
      </c>
      <c r="O45" s="7">
        <v>3.1767504389321539</v>
      </c>
    </row>
    <row r="46" spans="1:15">
      <c r="A46" s="13" t="s">
        <v>34</v>
      </c>
      <c r="B46" s="7">
        <v>180490.310010018</v>
      </c>
      <c r="C46" s="8">
        <v>119979.97703291501</v>
      </c>
      <c r="D46" s="7">
        <v>2448.0408033756298</v>
      </c>
      <c r="E46" s="9">
        <v>186.96510711539</v>
      </c>
      <c r="F46" s="10">
        <v>18.0810033800723</v>
      </c>
      <c r="G46" s="10">
        <v>16.066429461171001</v>
      </c>
      <c r="H46" s="10" t="s">
        <v>18</v>
      </c>
      <c r="I46" s="10">
        <v>69.853846192704793</v>
      </c>
      <c r="J46" s="10">
        <v>4.7147150953929698E-2</v>
      </c>
      <c r="K46" s="10">
        <v>2.2635602937266999</v>
      </c>
      <c r="L46" s="10">
        <v>106.63799563488099</v>
      </c>
      <c r="M46" s="10">
        <v>17.361452606629499</v>
      </c>
      <c r="N46" s="7">
        <v>276.7215446617771</v>
      </c>
      <c r="O46" s="7">
        <v>0.7781750729600585</v>
      </c>
    </row>
    <row r="47" spans="1:15">
      <c r="A47" s="13" t="s">
        <v>35</v>
      </c>
      <c r="B47" s="7">
        <v>190535.64724937201</v>
      </c>
      <c r="C47" s="8">
        <v>98781.643980290493</v>
      </c>
      <c r="D47" s="7">
        <v>1492.6334658873</v>
      </c>
      <c r="E47" s="9">
        <v>196.121235414838</v>
      </c>
      <c r="F47" s="10">
        <v>9.3899742389058201</v>
      </c>
      <c r="G47" s="10">
        <v>0.54898338010855796</v>
      </c>
      <c r="H47" s="10">
        <v>0.49718426607094102</v>
      </c>
      <c r="I47" s="10">
        <v>16.5791387879237</v>
      </c>
      <c r="J47" s="10" t="s">
        <v>18</v>
      </c>
      <c r="K47" s="10">
        <v>10.2069230398121</v>
      </c>
      <c r="L47" s="10">
        <v>42.849814062183</v>
      </c>
      <c r="M47" s="10">
        <v>69.226944455194399</v>
      </c>
      <c r="N47" s="7">
        <v>299.66224354413669</v>
      </c>
      <c r="O47" s="7">
        <v>2</v>
      </c>
    </row>
    <row r="48" spans="1:15">
      <c r="A48" s="13" t="s">
        <v>36</v>
      </c>
      <c r="B48" s="7">
        <v>157966.397092584</v>
      </c>
      <c r="C48" s="8">
        <v>48431.944560555203</v>
      </c>
      <c r="D48" s="7">
        <v>2055.4155357909099</v>
      </c>
      <c r="E48" s="9">
        <v>158.817316811539</v>
      </c>
      <c r="F48" s="10">
        <v>161.64461784505301</v>
      </c>
      <c r="G48" s="10">
        <v>2.9061136569786998</v>
      </c>
      <c r="H48" s="10">
        <v>22.197682756904999</v>
      </c>
      <c r="I48" s="10">
        <v>62.686216737855098</v>
      </c>
      <c r="J48" s="10">
        <v>7.9200093911352298E-2</v>
      </c>
      <c r="K48" s="10">
        <v>18.684529407747402</v>
      </c>
      <c r="L48" s="10">
        <v>59.701663424335798</v>
      </c>
      <c r="M48" s="10">
        <v>86.093632002585693</v>
      </c>
      <c r="N48" s="7">
        <v>231.22764137901186</v>
      </c>
      <c r="O48" s="7">
        <v>6.8830554767134835</v>
      </c>
    </row>
    <row r="49" spans="1:15">
      <c r="A49" s="13" t="s">
        <v>36</v>
      </c>
      <c r="B49" s="7">
        <v>158155.94696897399</v>
      </c>
      <c r="C49" s="8">
        <v>60546.675507040098</v>
      </c>
      <c r="D49" s="7">
        <v>1804.68821012942</v>
      </c>
      <c r="E49" s="9">
        <v>123.264639403027</v>
      </c>
      <c r="F49" s="10">
        <v>24.143377295280501</v>
      </c>
      <c r="G49" s="10">
        <v>0.98414364478026795</v>
      </c>
      <c r="H49" s="10">
        <v>8.2595883676201591</v>
      </c>
      <c r="I49" s="10">
        <v>30.043412636215301</v>
      </c>
      <c r="J49" s="10">
        <v>6.5363308595748307E-2</v>
      </c>
      <c r="K49" s="10">
        <v>3.3345697331605701</v>
      </c>
      <c r="L49" s="10">
        <v>113.595940594178</v>
      </c>
      <c r="M49" s="10">
        <v>68.719761800109694</v>
      </c>
      <c r="N49" s="7">
        <v>256.71020092867354</v>
      </c>
      <c r="O49" s="7">
        <v>3.4635208312625583</v>
      </c>
    </row>
    <row r="50" spans="1:15">
      <c r="A50" s="13" t="s">
        <v>37</v>
      </c>
      <c r="B50" s="7">
        <v>184469.04985791701</v>
      </c>
      <c r="C50" s="8">
        <v>45931.084439072503</v>
      </c>
      <c r="D50" s="7">
        <v>2181.9758787666101</v>
      </c>
      <c r="E50" s="9">
        <v>84.289657410647195</v>
      </c>
      <c r="F50" s="10">
        <v>9.0014427062346307</v>
      </c>
      <c r="G50" s="10">
        <v>1.37146010403015</v>
      </c>
      <c r="H50" s="10" t="s">
        <v>18</v>
      </c>
      <c r="I50" s="10">
        <v>20.799084913871901</v>
      </c>
      <c r="J50" s="10" t="s">
        <v>18</v>
      </c>
      <c r="K50" s="10">
        <v>3.3298041968080199</v>
      </c>
      <c r="L50" s="10">
        <v>126.449357247348</v>
      </c>
      <c r="M50" s="10">
        <v>9.9557876951902493</v>
      </c>
      <c r="N50" s="7">
        <v>270.54336753898417</v>
      </c>
      <c r="O50" s="7">
        <v>1.6072319295113182</v>
      </c>
    </row>
    <row r="51" spans="1:15">
      <c r="A51" s="13" t="s">
        <v>37</v>
      </c>
      <c r="B51" s="7">
        <v>185041.68890883599</v>
      </c>
      <c r="C51" s="8">
        <v>44825.412213441203</v>
      </c>
      <c r="D51" s="7">
        <v>2188.3279163819798</v>
      </c>
      <c r="E51" s="9">
        <v>83.3904996730314</v>
      </c>
      <c r="F51" s="10">
        <v>2.75000140286219</v>
      </c>
      <c r="G51" s="10">
        <v>0.91266098598776202</v>
      </c>
      <c r="H51" s="10" t="s">
        <v>18</v>
      </c>
      <c r="I51" s="10">
        <v>2.5161456317700499</v>
      </c>
      <c r="J51" s="10" t="s">
        <v>18</v>
      </c>
      <c r="K51" s="10" t="s">
        <v>18</v>
      </c>
      <c r="L51" s="10">
        <v>104.150245402374</v>
      </c>
      <c r="M51" s="10">
        <v>0.17576304088713501</v>
      </c>
      <c r="N51" s="7">
        <v>275.71012710199705</v>
      </c>
      <c r="O51" s="7">
        <v>0.91389838520995248</v>
      </c>
    </row>
    <row r="52" spans="1:15">
      <c r="A52" s="13" t="s">
        <v>37</v>
      </c>
      <c r="B52" s="7">
        <v>188340.03116320801</v>
      </c>
      <c r="C52" s="8">
        <v>53526.237047158298</v>
      </c>
      <c r="D52" s="7">
        <v>2225.2317894778198</v>
      </c>
      <c r="E52" s="9">
        <v>107.39831528003999</v>
      </c>
      <c r="F52" s="10">
        <v>11.5489168197956</v>
      </c>
      <c r="G52" s="10">
        <v>1.5477609617429799</v>
      </c>
      <c r="H52" s="10" t="s">
        <v>18</v>
      </c>
      <c r="I52" s="10">
        <v>31.511913956177001</v>
      </c>
      <c r="J52" s="10">
        <v>7.26008156849844E-3</v>
      </c>
      <c r="K52" s="10">
        <v>5.6273951117062904</v>
      </c>
      <c r="L52" s="10">
        <v>119.204960448202</v>
      </c>
      <c r="M52" s="10">
        <v>29.2164981492277</v>
      </c>
      <c r="N52" s="7">
        <v>275.12267151455728</v>
      </c>
      <c r="O52" s="7">
        <v>0.99272974161272032</v>
      </c>
    </row>
    <row r="53" spans="1:15">
      <c r="A53" s="13" t="s">
        <v>37</v>
      </c>
      <c r="B53" s="7">
        <v>188596.682520009</v>
      </c>
      <c r="C53" s="8">
        <v>51511.785871443702</v>
      </c>
      <c r="D53" s="7">
        <v>2040.50368747274</v>
      </c>
      <c r="E53" s="9">
        <v>104.963784825773</v>
      </c>
      <c r="F53" s="10">
        <v>3.5809869836383501</v>
      </c>
      <c r="G53" s="10">
        <v>1.3643528137938801</v>
      </c>
      <c r="H53" s="10" t="s">
        <v>18</v>
      </c>
      <c r="I53" s="10">
        <v>4.9137867929512096</v>
      </c>
      <c r="J53" s="10" t="s">
        <v>18</v>
      </c>
      <c r="K53" s="10" t="s">
        <v>18</v>
      </c>
      <c r="L53" s="10">
        <v>110.88024912306101</v>
      </c>
      <c r="M53" s="10">
        <v>1.30309763830045</v>
      </c>
      <c r="N53" s="7">
        <v>277.65142235243621</v>
      </c>
      <c r="O53" s="7">
        <v>0.65339369167675621</v>
      </c>
    </row>
    <row r="54" spans="1:15">
      <c r="A54" s="13" t="s">
        <v>38</v>
      </c>
      <c r="B54" s="7">
        <v>191262.47671478399</v>
      </c>
      <c r="C54" s="8">
        <v>61869.084782825899</v>
      </c>
      <c r="D54" s="7">
        <v>1807.24268493207</v>
      </c>
      <c r="E54" s="9">
        <v>156.102005588699</v>
      </c>
      <c r="F54" s="7">
        <v>220.451181706894</v>
      </c>
      <c r="G54" s="10">
        <v>144.93934506630401</v>
      </c>
      <c r="H54" s="10">
        <v>8.9901912916921507</v>
      </c>
      <c r="I54" s="10">
        <v>24.742331550777699</v>
      </c>
      <c r="J54" s="10">
        <v>0.123975662853069</v>
      </c>
      <c r="K54" s="10">
        <v>1.99471057447416</v>
      </c>
      <c r="L54" s="10">
        <v>99.753539005167895</v>
      </c>
      <c r="M54" s="10">
        <v>3.2812918193391698</v>
      </c>
      <c r="N54" s="7">
        <v>202.43472741879427</v>
      </c>
      <c r="O54" s="7">
        <v>10.746810475051504</v>
      </c>
    </row>
    <row r="55" spans="1:15">
      <c r="A55" s="13" t="s">
        <v>38</v>
      </c>
      <c r="B55" s="7">
        <v>189949.70757247499</v>
      </c>
      <c r="C55" s="8">
        <v>53469.2539208651</v>
      </c>
      <c r="D55" s="7">
        <v>1670.07690197034</v>
      </c>
      <c r="E55" s="9">
        <v>109.508489546462</v>
      </c>
      <c r="F55" s="7">
        <v>278.99047394789699</v>
      </c>
      <c r="G55" s="7">
        <v>200.98295348021</v>
      </c>
      <c r="H55" s="10">
        <v>1.8581012540603099</v>
      </c>
      <c r="I55" s="10">
        <v>30.606357157673798</v>
      </c>
      <c r="J55" s="10">
        <v>0.219570176776372</v>
      </c>
      <c r="K55" s="10">
        <v>0.32764309516832102</v>
      </c>
      <c r="L55" s="10">
        <v>92.201934022277598</v>
      </c>
      <c r="M55" s="10">
        <v>3.0261513029093501</v>
      </c>
      <c r="N55" s="7">
        <v>213.70626383830225</v>
      </c>
      <c r="O55" s="7">
        <v>9.2342697422866475</v>
      </c>
    </row>
    <row r="56" spans="1:15">
      <c r="A56" s="13" t="s">
        <v>39</v>
      </c>
      <c r="B56" s="7">
        <v>198152.13872773401</v>
      </c>
      <c r="C56" s="8">
        <v>88214.965020688993</v>
      </c>
      <c r="D56" s="7">
        <v>1835.0335495320501</v>
      </c>
      <c r="E56" s="7">
        <v>316.42272877885301</v>
      </c>
      <c r="F56" s="7">
        <v>374.881877513527</v>
      </c>
      <c r="G56" s="10">
        <v>1.4288831669616</v>
      </c>
      <c r="H56" s="7">
        <v>289.75020237413298</v>
      </c>
      <c r="I56" s="10">
        <v>86.154343688409497</v>
      </c>
      <c r="J56" s="10">
        <v>0.21992912973166201</v>
      </c>
      <c r="K56" s="10">
        <v>16.1273163394584</v>
      </c>
      <c r="L56" s="7">
        <v>311.16728992810999</v>
      </c>
      <c r="M56" s="10">
        <v>91.411437162146498</v>
      </c>
      <c r="N56" s="7">
        <v>234.10280513217</v>
      </c>
      <c r="O56" s="7">
        <v>6.4972338701316001</v>
      </c>
    </row>
    <row r="57" spans="1:15">
      <c r="A57" s="13" t="s">
        <v>39</v>
      </c>
      <c r="B57" s="7">
        <v>195986.132413994</v>
      </c>
      <c r="C57" s="8">
        <v>88076.378428042197</v>
      </c>
      <c r="D57" s="7">
        <v>2332.3770319596101</v>
      </c>
      <c r="E57" s="7">
        <v>328.30207677707</v>
      </c>
      <c r="F57" s="7">
        <v>591.86838948957995</v>
      </c>
      <c r="G57" s="10">
        <v>0.64802627011604697</v>
      </c>
      <c r="H57" s="7">
        <v>378.59941484329403</v>
      </c>
      <c r="I57" s="10">
        <v>122.54566474428201</v>
      </c>
      <c r="J57" s="10">
        <v>2.3092124475334101E-2</v>
      </c>
      <c r="K57" s="10">
        <v>5.0959581631915496</v>
      </c>
      <c r="L57" s="7">
        <v>433.52965489760101</v>
      </c>
      <c r="M57" s="7">
        <v>2635.6980111523399</v>
      </c>
      <c r="N57" s="7">
        <v>228.47374334300662</v>
      </c>
      <c r="O57" s="7">
        <v>7.2526042940450681</v>
      </c>
    </row>
    <row r="58" spans="1:15">
      <c r="A58" s="13" t="s">
        <v>40</v>
      </c>
      <c r="B58" s="7">
        <v>192038.25640172799</v>
      </c>
      <c r="C58" s="8">
        <v>69391.201141064899</v>
      </c>
      <c r="D58" s="7">
        <v>1859.75588293908</v>
      </c>
      <c r="E58" s="9">
        <v>148.52256269412601</v>
      </c>
      <c r="F58" s="7">
        <v>676.49319524694795</v>
      </c>
      <c r="G58" s="10">
        <v>7.4528953828476698</v>
      </c>
      <c r="H58" s="7">
        <v>304.00379788509798</v>
      </c>
      <c r="I58" s="10">
        <v>148.732785860923</v>
      </c>
      <c r="J58" s="10">
        <v>6.4405337175665097E-3</v>
      </c>
      <c r="K58" s="10">
        <v>36.908834041218597</v>
      </c>
      <c r="L58" s="7">
        <v>398.39341477620701</v>
      </c>
      <c r="M58" s="7">
        <v>1383.90448941151</v>
      </c>
      <c r="N58" s="7">
        <v>181.49339974576685</v>
      </c>
      <c r="O58" s="7">
        <v>13.55695187235114</v>
      </c>
    </row>
    <row r="59" spans="1:15">
      <c r="A59" s="13" t="s">
        <v>40</v>
      </c>
      <c r="B59" s="7">
        <v>172866.89887221699</v>
      </c>
      <c r="C59" s="8">
        <v>16084.8647833176</v>
      </c>
      <c r="D59" s="7">
        <v>982.528743718991</v>
      </c>
      <c r="E59" s="9">
        <v>155.005803512303</v>
      </c>
      <c r="F59" s="7">
        <v>640.82783250322404</v>
      </c>
      <c r="G59" s="7">
        <v>238.03491568091201</v>
      </c>
      <c r="H59" s="10">
        <v>194.56533388182001</v>
      </c>
      <c r="I59" s="10">
        <v>109.46557405446001</v>
      </c>
      <c r="J59" s="10">
        <v>0.38742745542694701</v>
      </c>
      <c r="K59" s="10">
        <v>11.891940746148</v>
      </c>
      <c r="L59" s="7">
        <v>206.72099996680899</v>
      </c>
      <c r="M59" s="10">
        <v>82.560431253019203</v>
      </c>
      <c r="N59" s="7">
        <v>138.70678778074011</v>
      </c>
      <c r="O59" s="7">
        <v>19.298537669128621</v>
      </c>
    </row>
    <row r="60" spans="1:15">
      <c r="A60" s="13" t="s">
        <v>41</v>
      </c>
      <c r="B60" s="7">
        <v>155506.41049948099</v>
      </c>
      <c r="C60" s="8">
        <v>68350.216153018206</v>
      </c>
      <c r="D60" s="7">
        <v>1818.0369286134601</v>
      </c>
      <c r="E60" s="9">
        <v>214.74277312306799</v>
      </c>
      <c r="F60" s="7">
        <v>506.97152786331702</v>
      </c>
      <c r="G60" s="10">
        <v>6.0604213812864502</v>
      </c>
      <c r="H60" s="7">
        <v>263.620170207142</v>
      </c>
      <c r="I60" s="10">
        <v>161.867499659689</v>
      </c>
      <c r="J60" s="10">
        <v>0.112920818379911</v>
      </c>
      <c r="K60" s="10">
        <v>7.08427521940055</v>
      </c>
      <c r="L60" s="7">
        <v>298.21913108983802</v>
      </c>
      <c r="M60" s="10">
        <v>41.564440234806298</v>
      </c>
      <c r="N60" s="7">
        <v>204.96229854382395</v>
      </c>
      <c r="O60" s="7">
        <v>10.407632732170685</v>
      </c>
    </row>
    <row r="61" spans="1:15">
      <c r="A61" s="13" t="s">
        <v>41</v>
      </c>
      <c r="B61" s="7">
        <v>155156.132743422</v>
      </c>
      <c r="C61" s="8">
        <v>60124.487027957097</v>
      </c>
      <c r="D61" s="7">
        <v>2061.49019938945</v>
      </c>
      <c r="E61" s="9">
        <v>174.87161495786501</v>
      </c>
      <c r="F61" s="7">
        <v>545.14681116615895</v>
      </c>
      <c r="G61" s="10">
        <v>9.5111580443903208</v>
      </c>
      <c r="H61" s="7">
        <v>258.63641547173</v>
      </c>
      <c r="I61" s="7">
        <v>209.65587174373701</v>
      </c>
      <c r="J61" s="10">
        <v>0.115080850739159</v>
      </c>
      <c r="K61" s="10">
        <v>8.4087992103206108</v>
      </c>
      <c r="L61" s="7">
        <v>342.01059154836997</v>
      </c>
      <c r="M61" s="7">
        <v>955.180303788777</v>
      </c>
      <c r="N61" s="7">
        <v>195.08438994643356</v>
      </c>
      <c r="O61" s="7">
        <v>11.733160907923438</v>
      </c>
    </row>
    <row r="62" spans="1:15">
      <c r="A62" s="13" t="s">
        <v>42</v>
      </c>
      <c r="B62" s="7">
        <v>165854.24219190201</v>
      </c>
      <c r="C62" s="8">
        <v>65526.504233947897</v>
      </c>
      <c r="D62" s="7">
        <v>4839.7213491013999</v>
      </c>
      <c r="E62" s="7">
        <v>385.924577894062</v>
      </c>
      <c r="F62" s="10">
        <v>133.899338111216</v>
      </c>
      <c r="G62" s="10">
        <v>199.174813685397</v>
      </c>
      <c r="H62" s="7">
        <v>570.45118550293205</v>
      </c>
      <c r="I62" s="7">
        <v>886.99585946868399</v>
      </c>
      <c r="J62" s="10">
        <v>0.17603478726608701</v>
      </c>
      <c r="K62" s="10">
        <v>1.4766561615793501</v>
      </c>
      <c r="L62" s="7">
        <v>618.81621632832298</v>
      </c>
      <c r="M62" s="10">
        <v>22.1130623117898</v>
      </c>
      <c r="N62" s="7">
        <v>161.87089292214006</v>
      </c>
      <c r="O62" s="7">
        <v>16.190119148315766</v>
      </c>
    </row>
    <row r="63" spans="1:15">
      <c r="A63" s="13" t="s">
        <v>42</v>
      </c>
      <c r="B63" s="7">
        <v>171223.035874925</v>
      </c>
      <c r="C63" s="8">
        <v>50868.089400985198</v>
      </c>
      <c r="D63" s="7">
        <v>4774.9395795882201</v>
      </c>
      <c r="E63" s="7">
        <v>391.49203263413</v>
      </c>
      <c r="F63" s="7">
        <v>311.103413268059</v>
      </c>
      <c r="G63" s="7">
        <v>232.41104783878399</v>
      </c>
      <c r="H63" s="7">
        <v>875.40915307599505</v>
      </c>
      <c r="I63" s="7">
        <v>1920.6385527119701</v>
      </c>
      <c r="J63" s="10">
        <v>0.34564002969652802</v>
      </c>
      <c r="K63" s="10">
        <v>2.1618227967738899</v>
      </c>
      <c r="L63" s="7">
        <v>490.959900556533</v>
      </c>
      <c r="M63" s="10">
        <v>75.811418549280106</v>
      </c>
      <c r="N63" s="7">
        <v>153.62797709250924</v>
      </c>
      <c r="O63" s="7">
        <v>17.296245721041956</v>
      </c>
    </row>
    <row r="64" spans="1:15">
      <c r="A64" s="13" t="s">
        <v>43</v>
      </c>
      <c r="B64" s="7">
        <v>173571.04556125501</v>
      </c>
      <c r="C64" s="8">
        <v>48898.887265761899</v>
      </c>
      <c r="D64" s="7">
        <v>4437.7329589211604</v>
      </c>
      <c r="E64" s="7">
        <v>274.64966429939602</v>
      </c>
      <c r="F64" s="10">
        <v>148.00248379716601</v>
      </c>
      <c r="G64" s="10">
        <v>167.227203870539</v>
      </c>
      <c r="H64" s="7">
        <v>1073.22310639548</v>
      </c>
      <c r="I64" s="7">
        <v>1426.58236462272</v>
      </c>
      <c r="J64" s="10">
        <v>0.25351299282991702</v>
      </c>
      <c r="K64" s="10">
        <v>5.1116770565418799</v>
      </c>
      <c r="L64" s="7">
        <v>514.76204086973701</v>
      </c>
      <c r="M64" s="10">
        <v>72.612757507699399</v>
      </c>
      <c r="N64" s="7">
        <v>148.79144644271173</v>
      </c>
      <c r="O64" s="7">
        <v>17.945265458974344</v>
      </c>
    </row>
    <row r="65" spans="1:15">
      <c r="A65" s="13" t="s">
        <v>44</v>
      </c>
      <c r="B65" s="7">
        <v>133285.58487008099</v>
      </c>
      <c r="C65" s="8">
        <v>49162.394678340803</v>
      </c>
      <c r="D65" s="7">
        <v>1677.4808926670601</v>
      </c>
      <c r="E65" s="7">
        <v>273.37994512785002</v>
      </c>
      <c r="F65" s="7">
        <v>334.93925183774797</v>
      </c>
      <c r="G65" s="10">
        <v>0.16459374272834101</v>
      </c>
      <c r="H65" s="7">
        <v>209.23212905058301</v>
      </c>
      <c r="I65" s="7">
        <v>256.51426387320799</v>
      </c>
      <c r="J65" s="10" t="s">
        <v>18</v>
      </c>
      <c r="K65" s="10" t="s">
        <v>18</v>
      </c>
      <c r="L65" s="10">
        <v>137.73837274579901</v>
      </c>
      <c r="M65" s="10">
        <v>4.2019803842024004</v>
      </c>
      <c r="N65" s="7">
        <v>231.10375667976288</v>
      </c>
      <c r="O65" s="7">
        <v>6.8996797102524088</v>
      </c>
    </row>
    <row r="66" spans="1:15">
      <c r="A66" s="13" t="s">
        <v>44</v>
      </c>
      <c r="B66" s="7">
        <v>129254.05706732901</v>
      </c>
      <c r="C66" s="8">
        <v>43614.3246545074</v>
      </c>
      <c r="D66" s="7">
        <v>1577.13133363983</v>
      </c>
      <c r="E66" s="7">
        <v>289.26189834718701</v>
      </c>
      <c r="F66" s="7">
        <v>335.57366633928001</v>
      </c>
      <c r="G66" s="10">
        <v>13.605537667527001</v>
      </c>
      <c r="H66" s="10">
        <v>198.132798404895</v>
      </c>
      <c r="I66" s="7">
        <v>346.97260885716901</v>
      </c>
      <c r="J66" s="10">
        <v>5.63548771496988E-2</v>
      </c>
      <c r="K66" s="10">
        <v>0.48485043828582902</v>
      </c>
      <c r="L66" s="10">
        <v>165.08260844868201</v>
      </c>
      <c r="M66" s="10">
        <v>69.088574441915895</v>
      </c>
      <c r="N66" s="7">
        <v>189.1190050793135</v>
      </c>
      <c r="O66" s="7">
        <v>12.533662921342122</v>
      </c>
    </row>
    <row r="67" spans="1:15">
      <c r="A67" s="13" t="s">
        <v>44</v>
      </c>
      <c r="B67" s="7">
        <v>128672.39621034201</v>
      </c>
      <c r="C67" s="8">
        <v>40085.059597748899</v>
      </c>
      <c r="D67" s="7">
        <v>1350.4323424438501</v>
      </c>
      <c r="E67" s="7">
        <v>289.041264325388</v>
      </c>
      <c r="F67" s="7">
        <v>288.87093892075501</v>
      </c>
      <c r="G67" s="10">
        <v>0.70409250714425098</v>
      </c>
      <c r="H67" s="10">
        <v>199.76207060657501</v>
      </c>
      <c r="I67" s="7">
        <v>272.93978824893497</v>
      </c>
      <c r="J67" s="10" t="s">
        <v>18</v>
      </c>
      <c r="K67" s="10">
        <v>0.71378813040601996</v>
      </c>
      <c r="L67" s="10">
        <v>111.997135081813</v>
      </c>
      <c r="M67" s="10">
        <v>4.1027472800215303</v>
      </c>
      <c r="N67" s="7">
        <v>211.37781246419661</v>
      </c>
      <c r="O67" s="7">
        <v>9.5467273715324392</v>
      </c>
    </row>
    <row r="68" spans="1:15">
      <c r="A68" s="13" t="s">
        <v>44</v>
      </c>
      <c r="B68" s="7">
        <v>139940.914043447</v>
      </c>
      <c r="C68" s="8">
        <v>99840.5749756437</v>
      </c>
      <c r="D68" s="7">
        <v>2021.1611806774099</v>
      </c>
      <c r="E68" s="7">
        <v>287.59467248849</v>
      </c>
      <c r="F68" s="10">
        <v>59.303279605847699</v>
      </c>
      <c r="G68" s="10">
        <v>0.38219756899912199</v>
      </c>
      <c r="H68" s="10">
        <v>82.430241066150899</v>
      </c>
      <c r="I68" s="10">
        <v>99.394005904334804</v>
      </c>
      <c r="J68" s="10">
        <v>4.12161894199886E-2</v>
      </c>
      <c r="K68" s="10">
        <v>0.62256868519998199</v>
      </c>
      <c r="L68" s="10">
        <v>165.38580851681701</v>
      </c>
      <c r="M68" s="10">
        <v>15.217547639214301</v>
      </c>
      <c r="N68" s="7">
        <v>257.27304468332994</v>
      </c>
      <c r="O68" s="7">
        <v>3.3879921656560938</v>
      </c>
    </row>
    <row r="69" spans="1:15">
      <c r="A69" s="13" t="s">
        <v>45</v>
      </c>
      <c r="B69" s="7">
        <v>122855.127492502</v>
      </c>
      <c r="C69" s="8">
        <v>27787.708734883301</v>
      </c>
      <c r="D69" s="7">
        <v>1269.00600478103</v>
      </c>
      <c r="E69" s="9">
        <v>189.33934531358099</v>
      </c>
      <c r="F69" s="10">
        <v>159.86430676296601</v>
      </c>
      <c r="G69" s="10">
        <v>105.78687467945601</v>
      </c>
      <c r="H69" s="10">
        <v>4.2625294387809403</v>
      </c>
      <c r="I69" s="10">
        <v>62.216236776768802</v>
      </c>
      <c r="J69" s="10">
        <v>4.8156083452032599</v>
      </c>
      <c r="K69" s="10">
        <v>0.28997306227676101</v>
      </c>
      <c r="L69" s="10">
        <v>175.686764612936</v>
      </c>
      <c r="M69" s="10">
        <v>20.006286475217699</v>
      </c>
      <c r="N69" s="7">
        <v>221.03173805413454</v>
      </c>
      <c r="O69" s="7">
        <v>8.2512557390591521</v>
      </c>
    </row>
    <row r="70" spans="1:15">
      <c r="A70" s="13" t="s">
        <v>45</v>
      </c>
      <c r="B70" s="7">
        <v>123636.43267336101</v>
      </c>
      <c r="C70" s="8">
        <v>44697.323360198199</v>
      </c>
      <c r="D70" s="7">
        <v>1643.0647448177299</v>
      </c>
      <c r="E70" s="7">
        <v>391.02333715103299</v>
      </c>
      <c r="F70" s="10">
        <v>3.3602018952991202</v>
      </c>
      <c r="G70" s="10">
        <v>0.68784455789424903</v>
      </c>
      <c r="H70" s="10" t="s">
        <v>18</v>
      </c>
      <c r="I70" s="10">
        <v>14.2796709522267</v>
      </c>
      <c r="J70" s="10">
        <v>6.5911240639496105E-2</v>
      </c>
      <c r="K70" s="10" t="s">
        <v>18</v>
      </c>
      <c r="L70" s="10">
        <v>145.30186777567101</v>
      </c>
      <c r="M70" s="10">
        <v>2.8674406897183098</v>
      </c>
      <c r="N70" s="7">
        <v>306.70793384578968</v>
      </c>
      <c r="O70" s="7">
        <v>3</v>
      </c>
    </row>
    <row r="71" spans="1:15">
      <c r="A71" s="13" t="s">
        <v>45</v>
      </c>
      <c r="B71" s="7">
        <v>118140.44399548099</v>
      </c>
      <c r="C71" s="8">
        <v>33512.965153379497</v>
      </c>
      <c r="D71" s="7">
        <v>1361.9013967875001</v>
      </c>
      <c r="E71" s="7">
        <v>513.32045155928097</v>
      </c>
      <c r="F71" s="7">
        <v>508.81619473824799</v>
      </c>
      <c r="G71" s="10">
        <v>14.431807495192899</v>
      </c>
      <c r="H71" s="7">
        <v>227.70692989088101</v>
      </c>
      <c r="I71" s="7">
        <v>330.91000462240498</v>
      </c>
      <c r="J71" s="10">
        <v>5.7294430105539203E-2</v>
      </c>
      <c r="K71" s="10" t="s">
        <v>18</v>
      </c>
      <c r="L71" s="10">
        <v>155.22402394586001</v>
      </c>
      <c r="M71" s="10">
        <v>1.0988248924475801</v>
      </c>
      <c r="N71" s="7">
        <v>187.77596693995469</v>
      </c>
      <c r="O71" s="7">
        <v>12.71388678930755</v>
      </c>
    </row>
    <row r="72" spans="1:15">
      <c r="A72" s="13" t="s">
        <v>45</v>
      </c>
      <c r="B72" s="7">
        <v>124243.311697021</v>
      </c>
      <c r="C72" s="8">
        <v>66416.6962540612</v>
      </c>
      <c r="D72" s="7">
        <v>2191.7924694805401</v>
      </c>
      <c r="E72" s="7">
        <v>221.39002209402099</v>
      </c>
      <c r="F72" s="7">
        <v>203.19433490735199</v>
      </c>
      <c r="G72" s="10" t="s">
        <v>18</v>
      </c>
      <c r="H72" s="7">
        <v>321.82353504480102</v>
      </c>
      <c r="I72" s="7">
        <v>308.69098536251602</v>
      </c>
      <c r="J72" s="10" t="s">
        <v>18</v>
      </c>
      <c r="K72" s="10" t="s">
        <v>18</v>
      </c>
      <c r="L72" s="10">
        <v>194.25735611345101</v>
      </c>
      <c r="M72" s="10">
        <v>0.123406594045238</v>
      </c>
      <c r="N72" s="7"/>
      <c r="O72" s="7"/>
    </row>
    <row r="73" spans="1:15">
      <c r="A73" s="13" t="s">
        <v>45</v>
      </c>
      <c r="B73" s="7">
        <v>124751.82903300801</v>
      </c>
      <c r="C73" s="8">
        <v>63396.664812779003</v>
      </c>
      <c r="D73" s="7">
        <v>1944.0314803731001</v>
      </c>
      <c r="E73" s="7">
        <v>216.47594686224301</v>
      </c>
      <c r="F73" s="7">
        <v>408.87377380865399</v>
      </c>
      <c r="G73" s="10">
        <v>2.7040122465881802</v>
      </c>
      <c r="H73" s="7">
        <v>336.83538433581703</v>
      </c>
      <c r="I73" s="7">
        <v>364.16147634934703</v>
      </c>
      <c r="J73" s="10">
        <v>5.9063173391571896E-3</v>
      </c>
      <c r="K73" s="10" t="s">
        <v>18</v>
      </c>
      <c r="L73" s="10">
        <v>177.12706225016399</v>
      </c>
      <c r="M73" s="10">
        <v>5.7505959618341401E-2</v>
      </c>
      <c r="N73" s="7">
        <v>194.2093533572795</v>
      </c>
      <c r="O73" s="7">
        <v>11.850583097276832</v>
      </c>
    </row>
    <row r="74" spans="1:15">
      <c r="A74" s="13" t="s">
        <v>45</v>
      </c>
      <c r="B74" s="7">
        <v>125520.334998572</v>
      </c>
      <c r="C74" s="8">
        <v>58008.218773098801</v>
      </c>
      <c r="D74" s="7">
        <v>1547.2024062973701</v>
      </c>
      <c r="E74" s="7">
        <v>216.17262193720501</v>
      </c>
      <c r="F74" s="10">
        <v>199.22834281641701</v>
      </c>
      <c r="G74" s="10">
        <v>12.763928305953501</v>
      </c>
      <c r="H74" s="10">
        <v>105.72433121322</v>
      </c>
      <c r="I74" s="10">
        <v>184.611020113563</v>
      </c>
      <c r="J74" s="10">
        <v>0.15573301155111699</v>
      </c>
      <c r="K74" s="10">
        <v>0.371626837077417</v>
      </c>
      <c r="L74" s="10">
        <v>150.309795689021</v>
      </c>
      <c r="M74" s="10">
        <v>3.2446266395925898</v>
      </c>
      <c r="N74" s="7">
        <v>205.50158728439729</v>
      </c>
      <c r="O74" s="7">
        <v>10.335264941615804</v>
      </c>
    </row>
    <row r="75" spans="1:15">
      <c r="A75" s="13" t="s">
        <v>45</v>
      </c>
      <c r="B75" s="7">
        <v>164415.50790995199</v>
      </c>
      <c r="C75" s="8">
        <v>166870.87503600901</v>
      </c>
      <c r="D75" s="7">
        <v>2401.0909847112498</v>
      </c>
      <c r="E75" s="7">
        <v>908.72123193047003</v>
      </c>
      <c r="F75" s="7">
        <v>222.965377978151</v>
      </c>
      <c r="G75" s="10">
        <v>84.666411171440998</v>
      </c>
      <c r="H75" s="7">
        <v>421.41857042047701</v>
      </c>
      <c r="I75" s="7">
        <v>233.915792575658</v>
      </c>
      <c r="J75" s="10">
        <v>8.6342678936974004E-2</v>
      </c>
      <c r="K75" s="10">
        <v>37.904860667957898</v>
      </c>
      <c r="L75" s="7">
        <v>210.52830578242501</v>
      </c>
      <c r="M75" s="10">
        <v>58.061253270338</v>
      </c>
      <c r="N75" s="7">
        <v>199.99033777041569</v>
      </c>
      <c r="O75" s="7">
        <v>11.074825997719953</v>
      </c>
    </row>
    <row r="76" spans="1:15">
      <c r="A76" s="13" t="s">
        <v>46</v>
      </c>
      <c r="B76" s="7">
        <v>135372.00424588699</v>
      </c>
      <c r="C76" s="8">
        <v>92492.652279530899</v>
      </c>
      <c r="D76" s="7">
        <v>2086.0432418123301</v>
      </c>
      <c r="E76" s="9">
        <v>186.650069878306</v>
      </c>
      <c r="F76" s="7">
        <v>286.53838933628901</v>
      </c>
      <c r="G76" s="10">
        <v>6.0708596394524301</v>
      </c>
      <c r="H76" s="10">
        <v>151.44887812238099</v>
      </c>
      <c r="I76" s="10">
        <v>144.24744846683899</v>
      </c>
      <c r="J76" s="10">
        <v>6.0076003787738898E-2</v>
      </c>
      <c r="K76" s="10">
        <v>27.302226137718499</v>
      </c>
      <c r="L76" s="10">
        <v>173.90662927343899</v>
      </c>
      <c r="M76" s="10">
        <v>58.084584857958198</v>
      </c>
      <c r="N76" s="7">
        <v>212.70501917142232</v>
      </c>
      <c r="O76" s="7">
        <v>9.3686279420701659</v>
      </c>
    </row>
    <row r="77" spans="1:15">
      <c r="A77" s="13" t="s">
        <v>47</v>
      </c>
      <c r="B77" s="7">
        <v>130720.633440594</v>
      </c>
      <c r="C77" s="8">
        <v>67180.181516175406</v>
      </c>
      <c r="D77" s="7">
        <v>1613.2667642194599</v>
      </c>
      <c r="E77" s="9">
        <v>145.629014213917</v>
      </c>
      <c r="F77" s="7">
        <v>356.52469161035702</v>
      </c>
      <c r="G77" s="10">
        <v>0.14812697434910399</v>
      </c>
      <c r="H77" s="10">
        <v>169.71251376837699</v>
      </c>
      <c r="I77" s="7">
        <v>203.18276548946699</v>
      </c>
      <c r="J77" s="10" t="s">
        <v>18</v>
      </c>
      <c r="K77" s="10">
        <v>1.57140679944587</v>
      </c>
      <c r="L77" s="7">
        <v>216.74167066064001</v>
      </c>
      <c r="M77" s="10">
        <v>66.360904349173296</v>
      </c>
      <c r="N77" s="7">
        <v>235.39594932934472</v>
      </c>
      <c r="O77" s="7">
        <v>6.3237053289666099</v>
      </c>
    </row>
    <row r="78" spans="1:15">
      <c r="A78" s="13" t="s">
        <v>48</v>
      </c>
      <c r="B78" s="7">
        <v>153731.886011016</v>
      </c>
      <c r="C78" s="8">
        <v>2288.4092039472898</v>
      </c>
      <c r="D78" s="7">
        <v>1818.5330994845101</v>
      </c>
      <c r="E78" s="9">
        <v>142.483351398298</v>
      </c>
      <c r="F78" s="7">
        <v>2218.8274623140501</v>
      </c>
      <c r="G78" s="10">
        <v>2.8173228104696801</v>
      </c>
      <c r="H78" s="7">
        <v>933.00998380869703</v>
      </c>
      <c r="I78" s="10">
        <v>145.05223337092701</v>
      </c>
      <c r="J78" s="10">
        <v>0.15029846605673899</v>
      </c>
      <c r="K78" s="10">
        <v>4.8799196833770102</v>
      </c>
      <c r="L78" s="7">
        <v>315.19867532729103</v>
      </c>
      <c r="M78" s="10">
        <v>24.263551475068699</v>
      </c>
      <c r="N78" s="7">
        <v>127.72506044816052</v>
      </c>
      <c r="O78" s="7">
        <v>20.772188579566695</v>
      </c>
    </row>
    <row r="79" spans="1:15">
      <c r="A79" s="13" t="s">
        <v>49</v>
      </c>
      <c r="B79" s="7">
        <v>204574.94388145799</v>
      </c>
      <c r="C79" s="8">
        <v>5777.9263384532596</v>
      </c>
      <c r="D79" s="7">
        <v>1808.85367071218</v>
      </c>
      <c r="E79" s="7">
        <v>845.98938012179099</v>
      </c>
      <c r="F79" s="7">
        <v>1326.1616558583701</v>
      </c>
      <c r="G79" s="10">
        <v>98.515967342071704</v>
      </c>
      <c r="H79" s="7">
        <v>632.83158672418995</v>
      </c>
      <c r="I79" s="10">
        <v>66.183174120771696</v>
      </c>
      <c r="J79" s="10" t="s">
        <v>18</v>
      </c>
      <c r="K79" s="10">
        <v>0.119607014048341</v>
      </c>
      <c r="L79" s="7">
        <v>539.38871312191304</v>
      </c>
      <c r="M79" s="10">
        <v>8.7186387847316702</v>
      </c>
      <c r="N79" s="7">
        <v>112.38525011883506</v>
      </c>
      <c r="O79" s="7">
        <v>22.830655774494559</v>
      </c>
    </row>
    <row r="80" spans="1:15">
      <c r="A80" s="13" t="s">
        <v>50</v>
      </c>
      <c r="B80" s="7">
        <v>167344.77435437901</v>
      </c>
      <c r="C80" s="8">
        <v>27527.124977469801</v>
      </c>
      <c r="D80" s="7">
        <v>1196.1241326699601</v>
      </c>
      <c r="E80" s="9">
        <v>30.848337950375502</v>
      </c>
      <c r="F80" s="7">
        <v>3082.0137615620401</v>
      </c>
      <c r="G80" s="10">
        <v>50.595676357635</v>
      </c>
      <c r="H80" s="7">
        <v>515.65569943412697</v>
      </c>
      <c r="I80" s="7">
        <v>306.098049311213</v>
      </c>
      <c r="J80" s="10">
        <v>3.5599505486848503E-2</v>
      </c>
      <c r="K80" s="10">
        <v>59.697200333958101</v>
      </c>
      <c r="L80" s="10">
        <v>157.195947767684</v>
      </c>
      <c r="M80" s="10">
        <v>100.970620009491</v>
      </c>
      <c r="N80" s="7">
        <v>125.83881727582792</v>
      </c>
      <c r="O80" s="7">
        <v>21.025305769971624</v>
      </c>
    </row>
    <row r="81" spans="1:15">
      <c r="A81" s="13" t="s">
        <v>50</v>
      </c>
      <c r="B81" s="7">
        <v>168647.79449609201</v>
      </c>
      <c r="C81" s="8">
        <v>25715.940712119202</v>
      </c>
      <c r="D81" s="7">
        <v>1093.13302427897</v>
      </c>
      <c r="E81" s="9">
        <v>69.358817560156794</v>
      </c>
      <c r="F81" s="7">
        <v>2681.6787274592002</v>
      </c>
      <c r="G81" s="10">
        <v>88.563367670003302</v>
      </c>
      <c r="H81" s="7">
        <v>428.36713465214598</v>
      </c>
      <c r="I81" s="7">
        <v>218.94676218182701</v>
      </c>
      <c r="J81" s="10">
        <v>4.5526668976634502E-2</v>
      </c>
      <c r="K81" s="10">
        <v>31.300605487721299</v>
      </c>
      <c r="L81" s="10">
        <v>151.99619862886499</v>
      </c>
      <c r="M81" s="10">
        <v>71.842136688692705</v>
      </c>
      <c r="N81" s="7">
        <v>130.14129473110376</v>
      </c>
      <c r="O81" s="7">
        <v>20.447951258509974</v>
      </c>
    </row>
    <row r="82" spans="1:15">
      <c r="A82" s="13" t="s">
        <v>51</v>
      </c>
      <c r="B82" s="7">
        <v>155568.42032134801</v>
      </c>
      <c r="C82" s="8">
        <v>15231.090986949799</v>
      </c>
      <c r="D82" s="7">
        <v>1008.9654503171701</v>
      </c>
      <c r="E82" s="9">
        <v>41.766374654472699</v>
      </c>
      <c r="F82" s="7">
        <v>3958.6382803638398</v>
      </c>
      <c r="G82" s="10">
        <v>0.318013900035512</v>
      </c>
      <c r="H82" s="10" t="s">
        <v>18</v>
      </c>
      <c r="I82" s="10">
        <v>29.9360841024546</v>
      </c>
      <c r="J82" s="10">
        <v>7.9841095376369404</v>
      </c>
      <c r="K82" s="10">
        <v>3.3658395782257302</v>
      </c>
      <c r="L82" s="10">
        <v>132.15525077256501</v>
      </c>
      <c r="M82" s="10">
        <v>17.912667068906998</v>
      </c>
      <c r="N82" s="7">
        <v>295.65417703052708</v>
      </c>
      <c r="O82" s="7">
        <v>2</v>
      </c>
    </row>
    <row r="83" spans="1:15">
      <c r="A83" s="13" t="s">
        <v>51</v>
      </c>
      <c r="B83" s="7">
        <v>156081.414753608</v>
      </c>
      <c r="C83" s="8">
        <v>16895.427416332299</v>
      </c>
      <c r="D83" s="7">
        <v>1016.22206940005</v>
      </c>
      <c r="E83" s="9">
        <v>39.2703021199952</v>
      </c>
      <c r="F83" s="7">
        <v>5589.7029410441301</v>
      </c>
      <c r="G83" s="10">
        <v>0.425351142156281</v>
      </c>
      <c r="H83" s="10" t="s">
        <v>18</v>
      </c>
      <c r="I83" s="10">
        <v>31.649975966836301</v>
      </c>
      <c r="J83" s="10">
        <v>5.00188835150405</v>
      </c>
      <c r="K83" s="10">
        <v>7.7933024305057002</v>
      </c>
      <c r="L83" s="10">
        <v>132.870420643735</v>
      </c>
      <c r="M83" s="10">
        <v>21.610325103956701</v>
      </c>
      <c r="N83" s="7">
        <v>289.29667566606554</v>
      </c>
      <c r="O83" s="7">
        <v>1</v>
      </c>
    </row>
    <row r="84" spans="1:15">
      <c r="A84" s="13" t="s">
        <v>52</v>
      </c>
      <c r="B84" s="7">
        <v>170634.446432589</v>
      </c>
      <c r="C84" s="8">
        <v>16508.482855802398</v>
      </c>
      <c r="D84" s="7">
        <v>1581.0089739396401</v>
      </c>
      <c r="E84" s="7">
        <v>328.34379638052502</v>
      </c>
      <c r="F84" s="7">
        <v>430.233542645998</v>
      </c>
      <c r="G84" s="10">
        <v>18.253302960868901</v>
      </c>
      <c r="H84" s="10">
        <v>225.05644666149999</v>
      </c>
      <c r="I84" s="10">
        <v>17.483669907652899</v>
      </c>
      <c r="J84" s="10" t="s">
        <v>18</v>
      </c>
      <c r="K84" s="10">
        <v>2.10626998382953</v>
      </c>
      <c r="L84" s="7">
        <v>203.74689939937201</v>
      </c>
      <c r="M84" s="10">
        <v>1.9552881782048599</v>
      </c>
      <c r="N84" s="7">
        <v>152.567127256769</v>
      </c>
      <c r="O84" s="7">
        <v>17.438602408558573</v>
      </c>
    </row>
    <row r="85" spans="1:15">
      <c r="A85" s="13" t="s">
        <v>52</v>
      </c>
      <c r="B85" s="7">
        <v>178765.27829077101</v>
      </c>
      <c r="C85" s="8">
        <v>49932.779818574898</v>
      </c>
      <c r="D85" s="7">
        <v>1915.1023727597101</v>
      </c>
      <c r="E85" s="9">
        <v>199.66295511771801</v>
      </c>
      <c r="F85" s="7">
        <v>3559.4207397720502</v>
      </c>
      <c r="G85" s="10">
        <v>45.107132139665097</v>
      </c>
      <c r="H85" s="7">
        <v>1995.1953073353</v>
      </c>
      <c r="I85" s="10">
        <v>60.092073739175397</v>
      </c>
      <c r="J85" s="10">
        <v>0.15400810940304299</v>
      </c>
      <c r="K85" s="10">
        <v>1.97371931101857</v>
      </c>
      <c r="L85" s="7">
        <v>212.000638159396</v>
      </c>
      <c r="M85" s="10">
        <v>2.4259051997048702</v>
      </c>
      <c r="N85" s="7">
        <v>151.29274010542935</v>
      </c>
      <c r="O85" s="7">
        <v>17.609613919675841</v>
      </c>
    </row>
    <row r="86" spans="1:15">
      <c r="A86" s="13" t="s">
        <v>52</v>
      </c>
      <c r="B86" s="7">
        <v>177944.786192878</v>
      </c>
      <c r="C86" s="8">
        <v>54351.707532832799</v>
      </c>
      <c r="D86" s="7">
        <v>2092.75259762614</v>
      </c>
      <c r="E86" s="9">
        <v>159.06451385823701</v>
      </c>
      <c r="F86" s="7">
        <v>1145.3128160716501</v>
      </c>
      <c r="G86" s="10">
        <v>58.497037569646899</v>
      </c>
      <c r="H86" s="7">
        <v>645.58863949531997</v>
      </c>
      <c r="I86" s="10">
        <v>89.633492499842703</v>
      </c>
      <c r="J86" s="10">
        <v>0.31823050309106199</v>
      </c>
      <c r="K86" s="10">
        <v>3.7569593420360201</v>
      </c>
      <c r="L86" s="7">
        <v>207.30577621785801</v>
      </c>
      <c r="M86" s="10">
        <v>16.790771681284301</v>
      </c>
      <c r="N86" s="7">
        <v>164.86750155929599</v>
      </c>
      <c r="O86" s="7">
        <v>15.788000709873884</v>
      </c>
    </row>
    <row r="87" spans="1:15">
      <c r="A87" s="13" t="s">
        <v>53</v>
      </c>
      <c r="B87" s="7">
        <v>171662.52997438799</v>
      </c>
      <c r="C87" s="8">
        <v>24390.247593129901</v>
      </c>
      <c r="D87" s="7">
        <v>1170.75209054891</v>
      </c>
      <c r="E87" s="9">
        <v>46.890336612272201</v>
      </c>
      <c r="F87" s="10">
        <v>44.461820884763199</v>
      </c>
      <c r="G87" s="10">
        <v>5.5082905327680596</v>
      </c>
      <c r="H87" s="10" t="s">
        <v>18</v>
      </c>
      <c r="I87" s="10">
        <v>60.249554252138502</v>
      </c>
      <c r="J87" s="10">
        <v>21.6313220220696</v>
      </c>
      <c r="K87" s="10">
        <v>19.298027867673198</v>
      </c>
      <c r="L87" s="7">
        <v>244.94643841621601</v>
      </c>
      <c r="M87" s="10">
        <v>33.634133896547297</v>
      </c>
      <c r="N87" s="7">
        <v>276.88923699817519</v>
      </c>
      <c r="O87" s="7">
        <v>0.75567224105369668</v>
      </c>
    </row>
    <row r="88" spans="1:15">
      <c r="A88" s="13" t="s">
        <v>53</v>
      </c>
      <c r="B88" s="7">
        <v>175738.870075421</v>
      </c>
      <c r="C88" s="8">
        <v>41833.623130848297</v>
      </c>
      <c r="D88" s="7">
        <v>1723.9280747338701</v>
      </c>
      <c r="E88" s="9">
        <v>130.38591461427399</v>
      </c>
      <c r="F88" s="7">
        <v>4016.67798281146</v>
      </c>
      <c r="G88" s="10">
        <v>15.8939511466701</v>
      </c>
      <c r="H88" s="7">
        <v>246.93334907744</v>
      </c>
      <c r="I88" s="10">
        <v>125.471928484787</v>
      </c>
      <c r="J88" s="10">
        <v>0.16648210413715001</v>
      </c>
      <c r="K88" s="10">
        <v>14.3690674475951</v>
      </c>
      <c r="L88" s="7">
        <v>220.862040275829</v>
      </c>
      <c r="M88" s="10">
        <v>145.97951164210301</v>
      </c>
      <c r="N88" s="7">
        <v>181.00743198958884</v>
      </c>
      <c r="O88" s="7">
        <v>13.622164457279441</v>
      </c>
    </row>
    <row r="89" spans="1:15">
      <c r="A89" s="13" t="s">
        <v>53</v>
      </c>
      <c r="B89" s="7">
        <v>171879.817113984</v>
      </c>
      <c r="C89" s="8">
        <v>42707.450435715196</v>
      </c>
      <c r="D89" s="7">
        <v>1831.5932253160499</v>
      </c>
      <c r="E89" s="9">
        <v>105.59528410500501</v>
      </c>
      <c r="F89" s="7">
        <v>12337.2522511313</v>
      </c>
      <c r="G89" s="10">
        <v>41.2227099951497</v>
      </c>
      <c r="H89" s="7">
        <v>1360.52812053001</v>
      </c>
      <c r="I89" s="7">
        <v>221.627239063519</v>
      </c>
      <c r="J89" s="10">
        <v>0.96664563455840902</v>
      </c>
      <c r="K89" s="10">
        <v>17.372732755102799</v>
      </c>
      <c r="L89" s="7">
        <v>279.27118210233601</v>
      </c>
      <c r="M89" s="10">
        <v>139.73117523717301</v>
      </c>
      <c r="N89" s="7">
        <v>156.86814641231911</v>
      </c>
      <c r="O89" s="7">
        <v>16.861443588052769</v>
      </c>
    </row>
    <row r="90" spans="1:15">
      <c r="A90" s="13" t="s">
        <v>54</v>
      </c>
      <c r="B90" s="7">
        <v>144506.08767318699</v>
      </c>
      <c r="C90" s="8">
        <v>20527.740060472501</v>
      </c>
      <c r="D90" s="7">
        <v>1728.40487142952</v>
      </c>
      <c r="E90" s="7">
        <v>257.53070908407398</v>
      </c>
      <c r="F90" s="7">
        <v>1734.8094012506799</v>
      </c>
      <c r="G90" s="10">
        <v>14.9855207662865</v>
      </c>
      <c r="H90" s="7">
        <v>730.08186889898195</v>
      </c>
      <c r="I90" s="10">
        <v>93.257186609749596</v>
      </c>
      <c r="J90" s="10">
        <v>2.8140692017942601E-2</v>
      </c>
      <c r="K90" s="10">
        <v>14.035731535434801</v>
      </c>
      <c r="L90" s="10">
        <v>155.13988862103199</v>
      </c>
      <c r="M90" s="10">
        <v>62.807728651989898</v>
      </c>
      <c r="N90" s="7">
        <v>152.14327361763139</v>
      </c>
      <c r="O90" s="7">
        <v>17.495479827045788</v>
      </c>
    </row>
    <row r="91" spans="1:15">
      <c r="A91" s="13" t="s">
        <v>54</v>
      </c>
      <c r="B91" s="7">
        <v>146766.186404037</v>
      </c>
      <c r="C91" s="8">
        <v>22124.215112378999</v>
      </c>
      <c r="D91" s="7">
        <v>1676.9908823854801</v>
      </c>
      <c r="E91" s="9">
        <v>196.72226630669201</v>
      </c>
      <c r="F91" s="10">
        <v>162.699476296722</v>
      </c>
      <c r="G91" s="10">
        <v>11.0656717492248</v>
      </c>
      <c r="H91" s="10">
        <v>49.037532686605402</v>
      </c>
      <c r="I91" s="10">
        <v>48.616153234028801</v>
      </c>
      <c r="J91" s="10">
        <v>9.55938327703615E-2</v>
      </c>
      <c r="K91" s="10">
        <v>27.453465327337099</v>
      </c>
      <c r="L91" s="10">
        <v>159.157420191368</v>
      </c>
      <c r="M91" s="10">
        <v>63.345172862145198</v>
      </c>
      <c r="N91" s="7">
        <v>193.32238505036344</v>
      </c>
      <c r="O91" s="7">
        <v>11.969606417874024</v>
      </c>
    </row>
    <row r="92" spans="1:15">
      <c r="A92" s="13" t="s">
        <v>54</v>
      </c>
      <c r="B92" s="7">
        <v>147974.79778004199</v>
      </c>
      <c r="C92" s="8">
        <v>18224.821519365199</v>
      </c>
      <c r="D92" s="7">
        <v>1649.8228779932199</v>
      </c>
      <c r="E92" s="9">
        <v>137.91703690321501</v>
      </c>
      <c r="F92" s="10">
        <v>100.771866628026</v>
      </c>
      <c r="G92" s="10">
        <v>23.633664159068299</v>
      </c>
      <c r="H92" s="10">
        <v>15.921294148857999</v>
      </c>
      <c r="I92" s="10">
        <v>68.174850742435098</v>
      </c>
      <c r="J92" s="10">
        <v>0.203164188205369</v>
      </c>
      <c r="K92" s="10">
        <v>59.786840041977399</v>
      </c>
      <c r="L92" s="10">
        <v>169.931807422307</v>
      </c>
      <c r="M92" s="10">
        <v>97.523039555513606</v>
      </c>
      <c r="N92" s="7">
        <v>194.03865579156886</v>
      </c>
      <c r="O92" s="7">
        <v>11.87348920444021</v>
      </c>
    </row>
    <row r="93" spans="1:15">
      <c r="A93" s="13" t="s">
        <v>54</v>
      </c>
      <c r="B93" s="7">
        <v>153198.06866125099</v>
      </c>
      <c r="C93" s="8">
        <v>15123.1952710491</v>
      </c>
      <c r="D93" s="7">
        <v>1727.42476101228</v>
      </c>
      <c r="E93" s="7">
        <v>230.10219321751899</v>
      </c>
      <c r="F93" s="7">
        <v>2466.6430950734002</v>
      </c>
      <c r="G93" s="10">
        <v>44.658487390391002</v>
      </c>
      <c r="H93" s="7">
        <v>1030.0048877274601</v>
      </c>
      <c r="I93" s="10">
        <v>102.704207263406</v>
      </c>
      <c r="J93" s="10">
        <v>0.19463828685857901</v>
      </c>
      <c r="K93" s="10">
        <v>74.272286855639805</v>
      </c>
      <c r="L93" s="10">
        <v>151.03038390200101</v>
      </c>
      <c r="M93" s="10">
        <v>76.728257566410704</v>
      </c>
      <c r="N93" s="7">
        <v>138.10100798324709</v>
      </c>
      <c r="O93" s="7">
        <v>19.379827972836331</v>
      </c>
    </row>
    <row r="94" spans="1:15">
      <c r="A94" s="13" t="s">
        <v>55</v>
      </c>
      <c r="B94" s="7">
        <v>156228.42304306399</v>
      </c>
      <c r="C94" s="8">
        <v>13825.318748478299</v>
      </c>
      <c r="D94" s="7">
        <v>1844.49401177411</v>
      </c>
      <c r="E94" s="7">
        <v>289.28256603784399</v>
      </c>
      <c r="F94" s="7">
        <v>642.31296546363001</v>
      </c>
      <c r="G94" s="10">
        <v>33.789638490033802</v>
      </c>
      <c r="H94" s="7">
        <v>267.85485920643299</v>
      </c>
      <c r="I94" s="10">
        <v>81.139519643984698</v>
      </c>
      <c r="J94" s="10">
        <v>8.8127370036349004E-2</v>
      </c>
      <c r="K94" s="10">
        <v>19.202758613021601</v>
      </c>
      <c r="L94" s="7">
        <v>216.40237922197099</v>
      </c>
      <c r="M94" s="10">
        <v>109.564263612405</v>
      </c>
      <c r="N94" s="7">
        <v>153.93188370487991</v>
      </c>
      <c r="O94" s="7">
        <v>17.255464135190749</v>
      </c>
    </row>
    <row r="95" spans="1:15">
      <c r="A95" s="13" t="s">
        <v>55</v>
      </c>
      <c r="B95" s="7">
        <v>155577.90415571199</v>
      </c>
      <c r="C95" s="8">
        <v>12645.113036483201</v>
      </c>
      <c r="D95" s="7">
        <v>1944.4929726029</v>
      </c>
      <c r="E95" s="7">
        <v>228.329017041029</v>
      </c>
      <c r="F95" s="7">
        <v>1184.09546397343</v>
      </c>
      <c r="G95" s="10">
        <v>11.324720132945</v>
      </c>
      <c r="H95" s="7">
        <v>499.878967149961</v>
      </c>
      <c r="I95" s="10">
        <v>101.296188684725</v>
      </c>
      <c r="J95" s="10">
        <v>0.10945689729546799</v>
      </c>
      <c r="K95" s="10">
        <v>55.2341731290702</v>
      </c>
      <c r="L95" s="7">
        <v>230.47474613766201</v>
      </c>
      <c r="M95" s="10">
        <v>102.23374174512701</v>
      </c>
      <c r="N95" s="7">
        <v>156.3564987185722</v>
      </c>
      <c r="O95" s="7">
        <v>16.930102194015131</v>
      </c>
    </row>
    <row r="96" spans="1:15">
      <c r="A96" s="13" t="s">
        <v>56</v>
      </c>
      <c r="B96" s="7">
        <v>118140.44399548099</v>
      </c>
      <c r="C96" s="8">
        <v>2288.4092039472898</v>
      </c>
      <c r="D96" s="7">
        <v>982.528743718991</v>
      </c>
      <c r="E96" s="9">
        <v>30.848337950375502</v>
      </c>
      <c r="F96" s="11">
        <f t="shared" ref="F96" si="0">MIN(F4:F95)</f>
        <v>1.9264100586561399</v>
      </c>
      <c r="G96" s="10">
        <v>0.14812697434910399</v>
      </c>
      <c r="H96" s="10">
        <v>0.41164394351182199</v>
      </c>
      <c r="I96" s="10">
        <v>2.5161456317700499</v>
      </c>
      <c r="J96" s="10">
        <v>5.9063173391571896E-3</v>
      </c>
      <c r="K96" s="10">
        <v>0.119607014048341</v>
      </c>
      <c r="L96" s="10">
        <v>42.849814062183</v>
      </c>
      <c r="M96" s="10">
        <v>5.7505959618341401E-2</v>
      </c>
      <c r="N96" s="7">
        <v>112.38525011883506</v>
      </c>
      <c r="O96" s="7"/>
    </row>
    <row r="97" spans="1:15">
      <c r="A97" s="13" t="s">
        <v>57</v>
      </c>
      <c r="B97" s="7">
        <v>213534.04693476699</v>
      </c>
      <c r="C97" s="8">
        <v>166870.87503600901</v>
      </c>
      <c r="D97" s="7">
        <v>4839.7213491013999</v>
      </c>
      <c r="E97" s="7">
        <v>995.00683628670402</v>
      </c>
      <c r="F97" s="7">
        <f t="shared" ref="F97" si="1">_xlfn.QUARTILE.INC(F4:F95,4)</f>
        <v>12337.2522511313</v>
      </c>
      <c r="G97" s="7">
        <v>263.44222923597698</v>
      </c>
      <c r="H97" s="7">
        <v>1995.1953073353</v>
      </c>
      <c r="I97" s="7">
        <v>1920.6385527119701</v>
      </c>
      <c r="J97" s="10">
        <v>26.209598823100901</v>
      </c>
      <c r="K97" s="10">
        <v>93.190474660668102</v>
      </c>
      <c r="L97" s="7">
        <v>1328.0673973949599</v>
      </c>
      <c r="M97" s="7">
        <v>2635.6980111523399</v>
      </c>
      <c r="N97" s="7">
        <v>306.70793384578968</v>
      </c>
      <c r="O97" s="7"/>
    </row>
    <row r="98" spans="1:15">
      <c r="A98" s="13" t="s">
        <v>58</v>
      </c>
      <c r="B98" s="7">
        <v>163735.1119590975</v>
      </c>
      <c r="C98" s="8">
        <v>48665.415913158547</v>
      </c>
      <c r="D98" s="7">
        <v>1818.285014048985</v>
      </c>
      <c r="E98" s="9">
        <v>166.66229361453151</v>
      </c>
      <c r="F98" s="7">
        <f t="shared" ref="F98" si="2">_xlfn.QUARTILE.INC(F4:F95,2)</f>
        <v>391.87782566109047</v>
      </c>
      <c r="G98" s="10">
        <v>12.763928305953501</v>
      </c>
      <c r="H98" s="7">
        <v>263.620170207142</v>
      </c>
      <c r="I98" s="10">
        <v>100.34509729452989</v>
      </c>
      <c r="J98" s="10">
        <v>0.112920818379911</v>
      </c>
      <c r="K98" s="10">
        <v>7.1222813132965204</v>
      </c>
      <c r="L98" s="10">
        <v>156.20998585677199</v>
      </c>
      <c r="M98" s="10">
        <v>31.739419368618996</v>
      </c>
      <c r="N98" s="7">
        <v>202.70020119941128</v>
      </c>
      <c r="O98" s="7"/>
    </row>
    <row r="99" spans="1:15">
      <c r="A99" s="13" t="s">
        <v>59</v>
      </c>
      <c r="B99" s="7">
        <v>162472.02079868046</v>
      </c>
      <c r="C99" s="8">
        <v>52212.85374441016</v>
      </c>
      <c r="D99" s="7">
        <v>1940.2534491777753</v>
      </c>
      <c r="E99" s="7">
        <v>208.05463246061896</v>
      </c>
      <c r="F99" s="7">
        <f t="shared" ref="F99" si="3">AVERAGE(F4:F95)</f>
        <v>1011.4374243186215</v>
      </c>
      <c r="G99" s="10">
        <v>35.861993517534124</v>
      </c>
      <c r="H99" s="7">
        <v>363.55082468138244</v>
      </c>
      <c r="I99" s="10">
        <v>194.94393596312202</v>
      </c>
      <c r="J99" s="10">
        <v>1.0999070001391802</v>
      </c>
      <c r="K99" s="10">
        <v>17.144667189490121</v>
      </c>
      <c r="L99" s="7">
        <v>219.66003469100187</v>
      </c>
      <c r="M99" s="10">
        <v>104.33478099668157</v>
      </c>
      <c r="N99" s="7">
        <v>206.0182861216843</v>
      </c>
      <c r="O99" s="7"/>
    </row>
    <row r="100" spans="1:15">
      <c r="A100" s="13" t="s">
        <v>60</v>
      </c>
      <c r="B100" s="7">
        <f>STDEV(B1:B95)</f>
        <v>20853.891589764749</v>
      </c>
      <c r="C100" s="7">
        <f t="shared" ref="C100:N100" si="4">STDEV(C1:C95)</f>
        <v>28301.761615019306</v>
      </c>
      <c r="D100" s="7">
        <f t="shared" si="4"/>
        <v>676.73879564588844</v>
      </c>
      <c r="E100" s="10">
        <f t="shared" si="4"/>
        <v>158.58847137872371</v>
      </c>
      <c r="F100" s="7">
        <f t="shared" si="4"/>
        <v>1668.9440830742167</v>
      </c>
      <c r="G100" s="10">
        <f t="shared" si="4"/>
        <v>59.368488906680795</v>
      </c>
      <c r="H100" s="7">
        <f t="shared" si="4"/>
        <v>373.0246852970937</v>
      </c>
      <c r="I100" s="7">
        <f t="shared" si="4"/>
        <v>315.65227090528788</v>
      </c>
      <c r="J100" s="10">
        <f t="shared" si="4"/>
        <v>4.1193997045196395</v>
      </c>
      <c r="K100" s="10">
        <f t="shared" si="4"/>
        <v>22.608969429213012</v>
      </c>
      <c r="L100" s="7">
        <f t="shared" si="4"/>
        <v>208.64834704370028</v>
      </c>
      <c r="M100" s="7">
        <f t="shared" si="4"/>
        <v>330.80486033536698</v>
      </c>
      <c r="N100" s="10">
        <f t="shared" si="4"/>
        <v>47.729376813568564</v>
      </c>
      <c r="O100" s="7"/>
    </row>
    <row r="101" spans="1:15">
      <c r="A101" s="16" t="s">
        <v>61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</row>
    <row r="102" spans="1:15">
      <c r="A102" s="13" t="s">
        <v>62</v>
      </c>
      <c r="B102" s="7">
        <v>147184.679946866</v>
      </c>
      <c r="C102" s="8">
        <v>18377.7615311792</v>
      </c>
      <c r="D102" s="7">
        <v>1431.29612920507</v>
      </c>
      <c r="E102" s="9">
        <v>85.114885943226</v>
      </c>
      <c r="F102" s="7">
        <v>2061.5699018321902</v>
      </c>
      <c r="G102" s="7">
        <v>1167.1387548441201</v>
      </c>
      <c r="H102" s="10">
        <v>85.072558273900398</v>
      </c>
      <c r="I102" s="10">
        <v>63.736272680294597</v>
      </c>
      <c r="J102" s="10">
        <v>5.2988318508593402</v>
      </c>
      <c r="K102" s="10">
        <v>25.352335338431999</v>
      </c>
      <c r="L102" s="7">
        <v>854.27837277127196</v>
      </c>
      <c r="M102" s="10">
        <v>22.2160654806423</v>
      </c>
      <c r="N102" s="7">
        <v>139.96929243425771</v>
      </c>
      <c r="O102" s="7">
        <v>19.129120684373504</v>
      </c>
    </row>
    <row r="103" spans="1:15">
      <c r="A103" s="13" t="s">
        <v>62</v>
      </c>
      <c r="B103" s="7">
        <v>148046.727629987</v>
      </c>
      <c r="C103" s="8">
        <v>18143.8496844808</v>
      </c>
      <c r="D103" s="7">
        <v>1470.6189632600399</v>
      </c>
      <c r="E103" s="9">
        <v>91.899959657686495</v>
      </c>
      <c r="F103" s="7">
        <v>922.73275560713898</v>
      </c>
      <c r="G103" s="7">
        <v>429.95895716886503</v>
      </c>
      <c r="H103" s="10">
        <v>111.630100667129</v>
      </c>
      <c r="I103" s="10">
        <v>95.234764983914502</v>
      </c>
      <c r="J103" s="10">
        <v>0.64208819691582497</v>
      </c>
      <c r="K103" s="10">
        <v>75.707116584249903</v>
      </c>
      <c r="L103" s="7">
        <v>849.36294435721004</v>
      </c>
      <c r="M103" s="10">
        <v>26.102284441258199</v>
      </c>
      <c r="N103" s="7">
        <v>137.76468623535197</v>
      </c>
      <c r="O103" s="7">
        <v>19.424959383859019</v>
      </c>
    </row>
    <row r="104" spans="1:15">
      <c r="A104" s="13" t="s">
        <v>17</v>
      </c>
      <c r="B104" s="7">
        <v>169228.47292975799</v>
      </c>
      <c r="C104" s="8">
        <v>39161.664304069403</v>
      </c>
      <c r="D104" s="7">
        <v>3860.71651451874</v>
      </c>
      <c r="E104" s="7">
        <v>570.15313073844197</v>
      </c>
      <c r="F104" s="7">
        <v>7897.4767104079501</v>
      </c>
      <c r="G104" s="10">
        <v>189.68154894527001</v>
      </c>
      <c r="H104" s="10">
        <v>73.035824438165605</v>
      </c>
      <c r="I104" s="7">
        <v>203.69149498127899</v>
      </c>
      <c r="J104" s="10">
        <v>1.9961053430770099</v>
      </c>
      <c r="K104" s="10">
        <v>277.39020570344297</v>
      </c>
      <c r="L104" s="7">
        <v>1048.2676225534301</v>
      </c>
      <c r="M104" s="10">
        <v>99.444570198672693</v>
      </c>
      <c r="N104" s="7">
        <v>194.15016336910247</v>
      </c>
      <c r="O104" s="7">
        <v>11.858525871425586</v>
      </c>
    </row>
    <row r="105" spans="1:15">
      <c r="A105" s="13" t="s">
        <v>63</v>
      </c>
      <c r="B105" s="7">
        <v>155614.79212492501</v>
      </c>
      <c r="C105" s="8">
        <v>11051.963158477</v>
      </c>
      <c r="D105" s="7">
        <v>1456.1111387129599</v>
      </c>
      <c r="E105" s="9">
        <v>190.25035421830199</v>
      </c>
      <c r="F105" s="7">
        <v>3750.94785086616</v>
      </c>
      <c r="G105" s="7">
        <v>810.17210620962703</v>
      </c>
      <c r="H105" s="10">
        <v>556.35165620477096</v>
      </c>
      <c r="I105" s="10">
        <v>120.298139315368</v>
      </c>
      <c r="J105" s="10">
        <v>1.04782349478641</v>
      </c>
      <c r="K105" s="10">
        <v>78.231024818701798</v>
      </c>
      <c r="L105" s="7">
        <v>808.77173627110301</v>
      </c>
      <c r="M105" s="10">
        <v>49.4638944890837</v>
      </c>
      <c r="N105" s="7">
        <v>111.5621709704908</v>
      </c>
      <c r="O105" s="7">
        <v>22.941105733739285</v>
      </c>
    </row>
    <row r="106" spans="1:15">
      <c r="A106" s="13" t="s">
        <v>63</v>
      </c>
      <c r="B106" s="7">
        <v>138455.21363633499</v>
      </c>
      <c r="C106" s="8">
        <v>10511.215966297101</v>
      </c>
      <c r="D106" s="7">
        <v>1827.1755496266401</v>
      </c>
      <c r="E106" s="9">
        <v>183.34763432118299</v>
      </c>
      <c r="F106" s="7">
        <v>2617.3935167618802</v>
      </c>
      <c r="G106" s="10">
        <v>105.055462029655</v>
      </c>
      <c r="H106" s="10">
        <v>432.24207919604402</v>
      </c>
      <c r="I106" s="10">
        <v>134.913863571972</v>
      </c>
      <c r="J106" s="10">
        <v>0.12362145945514599</v>
      </c>
      <c r="K106" s="10">
        <v>117.106916604174</v>
      </c>
      <c r="L106" s="7">
        <v>859.55523664931297</v>
      </c>
      <c r="M106" s="10">
        <v>75.513377174823006</v>
      </c>
      <c r="N106" s="7">
        <v>125.99236644488877</v>
      </c>
      <c r="O106" s="7">
        <v>21.004700826329262</v>
      </c>
    </row>
    <row r="107" spans="1:15">
      <c r="A107" s="13" t="s">
        <v>63</v>
      </c>
      <c r="B107" s="7">
        <v>137635.24398324799</v>
      </c>
      <c r="C107" s="8">
        <v>14738.814361406899</v>
      </c>
      <c r="D107" s="7">
        <v>1808.92904054722</v>
      </c>
      <c r="E107" s="9">
        <v>178.93613997475401</v>
      </c>
      <c r="F107" s="7">
        <v>8976.3697668385394</v>
      </c>
      <c r="G107" s="7">
        <v>525.43239835874499</v>
      </c>
      <c r="H107" s="10">
        <v>1871.8189934357799</v>
      </c>
      <c r="I107" s="10">
        <v>175.157352887304</v>
      </c>
      <c r="J107" s="10">
        <v>1.05939871330139</v>
      </c>
      <c r="K107" s="10">
        <v>90.819940472894999</v>
      </c>
      <c r="L107" s="7">
        <v>1023.98215769465</v>
      </c>
      <c r="M107" s="10">
        <v>77.093758122518906</v>
      </c>
      <c r="N107" s="7">
        <v>107.41132405052269</v>
      </c>
      <c r="O107" s="7">
        <v>23.498112765279124</v>
      </c>
    </row>
    <row r="108" spans="1:15">
      <c r="A108" s="13" t="s">
        <v>20</v>
      </c>
      <c r="B108" s="7">
        <v>170412.88826175799</v>
      </c>
      <c r="C108" s="8">
        <v>43359.450312597</v>
      </c>
      <c r="D108" s="7">
        <v>1616.0413248666</v>
      </c>
      <c r="E108" s="9">
        <v>98.733008063114795</v>
      </c>
      <c r="F108" s="10">
        <v>161.503243053489</v>
      </c>
      <c r="G108" s="10">
        <v>102.43085935889</v>
      </c>
      <c r="H108" s="10">
        <v>16.490567592551599</v>
      </c>
      <c r="I108" s="10">
        <v>101.753636635972</v>
      </c>
      <c r="J108" s="10">
        <v>0.51633744005656901</v>
      </c>
      <c r="K108" s="10">
        <v>35.214580186129702</v>
      </c>
      <c r="L108" s="10">
        <v>95.302467686056204</v>
      </c>
      <c r="M108" s="10">
        <v>56.3578101640868</v>
      </c>
      <c r="N108" s="7">
        <v>194.95037485803408</v>
      </c>
      <c r="O108" s="7">
        <v>11.751144550300573</v>
      </c>
    </row>
    <row r="109" spans="1:15">
      <c r="A109" s="13" t="s">
        <v>21</v>
      </c>
      <c r="B109" s="7">
        <v>164863.61350439099</v>
      </c>
      <c r="C109" s="8">
        <v>41449.2441252231</v>
      </c>
      <c r="D109" s="7">
        <v>1428.7181069228</v>
      </c>
      <c r="E109" s="9">
        <v>70.113058020831701</v>
      </c>
      <c r="F109" s="10">
        <v>178.069332072175</v>
      </c>
      <c r="G109" s="10">
        <v>118.475232492205</v>
      </c>
      <c r="H109" s="10">
        <v>8.1965900474692805</v>
      </c>
      <c r="I109" s="10">
        <v>63.925809185787898</v>
      </c>
      <c r="J109" s="10">
        <v>0.42101605433408401</v>
      </c>
      <c r="K109" s="10">
        <v>4.3117464085980703</v>
      </c>
      <c r="L109" s="10">
        <v>90.703447129738507</v>
      </c>
      <c r="M109" s="10">
        <v>20.687940467738699</v>
      </c>
      <c r="N109" s="7">
        <v>195.83386382810127</v>
      </c>
      <c r="O109" s="7">
        <v>11.63258812600847</v>
      </c>
    </row>
    <row r="110" spans="1:15">
      <c r="A110" s="13" t="s">
        <v>21</v>
      </c>
      <c r="B110" s="7">
        <v>161948.66054271601</v>
      </c>
      <c r="C110" s="8">
        <v>54452.098826783702</v>
      </c>
      <c r="D110" s="7">
        <v>1675.91545450219</v>
      </c>
      <c r="E110" s="9">
        <v>90.304655695221001</v>
      </c>
      <c r="F110" s="7">
        <v>1524.08011249021</v>
      </c>
      <c r="G110" s="7">
        <v>267.14333330398603</v>
      </c>
      <c r="H110" s="10">
        <v>510.131465898285</v>
      </c>
      <c r="I110" s="7">
        <v>235.18487071298301</v>
      </c>
      <c r="J110" s="10">
        <v>9.9060646312899805E-2</v>
      </c>
      <c r="K110" s="10">
        <v>5.3707274979054702</v>
      </c>
      <c r="L110" s="10">
        <v>100.339136304078</v>
      </c>
      <c r="M110" s="10">
        <v>13.9601645799048</v>
      </c>
      <c r="N110" s="7">
        <v>137.03781629450103</v>
      </c>
      <c r="O110" s="7">
        <v>19.522498916362913</v>
      </c>
    </row>
    <row r="111" spans="1:15">
      <c r="A111" s="13" t="s">
        <v>21</v>
      </c>
      <c r="B111" s="7">
        <v>158236.50109034899</v>
      </c>
      <c r="C111" s="8">
        <v>44411.691372853798</v>
      </c>
      <c r="D111" s="7">
        <v>1535.50402425619</v>
      </c>
      <c r="E111" s="9">
        <v>73.898572082371004</v>
      </c>
      <c r="F111" s="7">
        <v>1692.7505067401701</v>
      </c>
      <c r="G111" s="7">
        <v>751.90656729155705</v>
      </c>
      <c r="H111" s="10">
        <v>256.09758813112802</v>
      </c>
      <c r="I111" s="10">
        <v>176.536136041384</v>
      </c>
      <c r="J111" s="10">
        <v>0.67593762361953802</v>
      </c>
      <c r="K111" s="10">
        <v>0.80737253862354297</v>
      </c>
      <c r="L111" s="10">
        <v>94.8405236732399</v>
      </c>
      <c r="M111" s="10">
        <v>2.9031712822745601</v>
      </c>
      <c r="N111" s="7">
        <v>137.06322935668041</v>
      </c>
      <c r="O111" s="7">
        <v>19.519088707651342</v>
      </c>
    </row>
    <row r="112" spans="1:15">
      <c r="A112" s="13" t="s">
        <v>64</v>
      </c>
      <c r="B112" s="7">
        <v>143930.13878148701</v>
      </c>
      <c r="C112" s="8">
        <v>22598.715308193699</v>
      </c>
      <c r="D112" s="7">
        <v>1426.53869361701</v>
      </c>
      <c r="E112" s="7">
        <v>269.43630922915202</v>
      </c>
      <c r="F112" s="7">
        <v>1210.4513176467899</v>
      </c>
      <c r="G112" s="7">
        <v>961.88037469573396</v>
      </c>
      <c r="H112" s="10">
        <v>84.863650148647196</v>
      </c>
      <c r="I112" s="10">
        <v>172.26357271419499</v>
      </c>
      <c r="J112" s="10">
        <v>0.376553735760149</v>
      </c>
      <c r="K112" s="10">
        <v>0.352950744943762</v>
      </c>
      <c r="L112" s="10">
        <v>113.38374166097501</v>
      </c>
      <c r="M112" s="10">
        <v>39.512603136121903</v>
      </c>
      <c r="N112" s="7">
        <v>144.62807971319555</v>
      </c>
      <c r="O112" s="7">
        <v>18.503952538486629</v>
      </c>
    </row>
    <row r="113" spans="1:15">
      <c r="A113" s="13" t="s">
        <v>65</v>
      </c>
      <c r="B113" s="7">
        <v>151788.53129038101</v>
      </c>
      <c r="C113" s="8">
        <v>32704.894714605201</v>
      </c>
      <c r="D113" s="7">
        <v>1685.5438626976299</v>
      </c>
      <c r="E113" s="7">
        <v>246.73472920912801</v>
      </c>
      <c r="F113" s="7">
        <v>1122.93535289222</v>
      </c>
      <c r="G113" s="7">
        <v>228.28773604151201</v>
      </c>
      <c r="H113" s="10">
        <v>471.798382144203</v>
      </c>
      <c r="I113" s="10">
        <v>164.947055707658</v>
      </c>
      <c r="J113" s="10">
        <v>4.7970364993945303E-2</v>
      </c>
      <c r="K113" s="10" t="s">
        <v>18</v>
      </c>
      <c r="L113" s="10">
        <v>89.010067273841202</v>
      </c>
      <c r="M113" s="10">
        <v>18.341438040950901</v>
      </c>
      <c r="N113" s="7">
        <v>136.58359080941665</v>
      </c>
      <c r="O113" s="7">
        <v>19.583451968589308</v>
      </c>
    </row>
    <row r="114" spans="1:15">
      <c r="A114" s="13" t="s">
        <v>65</v>
      </c>
      <c r="B114" s="7">
        <v>160477.170983541</v>
      </c>
      <c r="C114" s="8">
        <v>49935.1080628938</v>
      </c>
      <c r="D114" s="7">
        <v>1756.3255268708799</v>
      </c>
      <c r="E114" s="7">
        <v>215.162171351626</v>
      </c>
      <c r="F114" s="7">
        <v>666.23497200255304</v>
      </c>
      <c r="G114" s="7">
        <v>274.55646967945802</v>
      </c>
      <c r="H114" s="10">
        <v>189.114629492353</v>
      </c>
      <c r="I114" s="10">
        <v>123.829102004793</v>
      </c>
      <c r="J114" s="10">
        <v>2.77213596149922E-2</v>
      </c>
      <c r="K114" s="10" t="s">
        <v>18</v>
      </c>
      <c r="L114" s="10">
        <v>88.615320748595295</v>
      </c>
      <c r="M114" s="10">
        <v>2.1404547070980402</v>
      </c>
      <c r="N114" s="7">
        <v>149.36128531475069</v>
      </c>
      <c r="O114" s="7">
        <v>17.868798110336762</v>
      </c>
    </row>
    <row r="115" spans="1:15">
      <c r="A115" s="13" t="s">
        <v>64</v>
      </c>
      <c r="B115" s="7">
        <v>143700.21766453699</v>
      </c>
      <c r="C115" s="8">
        <v>22221.686827291102</v>
      </c>
      <c r="D115" s="7">
        <v>1250.07729131937</v>
      </c>
      <c r="E115" s="9">
        <v>55.5481548574312</v>
      </c>
      <c r="F115" s="7">
        <v>580.30771288676999</v>
      </c>
      <c r="G115" s="7">
        <v>491.69762613511699</v>
      </c>
      <c r="H115" s="10">
        <v>1.9786048973362</v>
      </c>
      <c r="I115" s="10">
        <v>83.450922531955499</v>
      </c>
      <c r="J115" s="10">
        <v>4.2370516487677898</v>
      </c>
      <c r="K115" s="10">
        <v>0.25133345792039602</v>
      </c>
      <c r="L115" s="10">
        <v>115.056828584622</v>
      </c>
      <c r="M115" s="10">
        <v>15.010619084814801</v>
      </c>
      <c r="N115" s="7">
        <v>193.29129814625117</v>
      </c>
      <c r="O115" s="7">
        <v>11.973778006109677</v>
      </c>
    </row>
    <row r="116" spans="1:15">
      <c r="A116" s="13" t="s">
        <v>64</v>
      </c>
      <c r="B116" s="7">
        <v>146270.27295048401</v>
      </c>
      <c r="C116" s="8">
        <v>32014.635910444998</v>
      </c>
      <c r="D116" s="7">
        <v>1625.49320199409</v>
      </c>
      <c r="E116" s="7">
        <v>244.67017808973</v>
      </c>
      <c r="F116" s="7">
        <v>1427.3702490784201</v>
      </c>
      <c r="G116" s="7">
        <v>544.00182327554103</v>
      </c>
      <c r="H116" s="10">
        <v>472.94346985458998</v>
      </c>
      <c r="I116" s="7">
        <v>215.89213292869599</v>
      </c>
      <c r="J116" s="10">
        <v>0.45443204652150998</v>
      </c>
      <c r="K116" s="10">
        <v>11.165701200164699</v>
      </c>
      <c r="L116" s="10">
        <v>125.388490910139</v>
      </c>
      <c r="M116" s="10">
        <v>25.1520947081038</v>
      </c>
      <c r="N116" s="7">
        <v>137.87308270541905</v>
      </c>
      <c r="O116" s="7">
        <v>19.410413534015461</v>
      </c>
    </row>
    <row r="117" spans="1:15">
      <c r="A117" s="13" t="s">
        <v>64</v>
      </c>
      <c r="B117" s="7">
        <v>146238.80516828501</v>
      </c>
      <c r="C117" s="8">
        <v>31848.3359630497</v>
      </c>
      <c r="D117" s="7">
        <v>1511.4796097051401</v>
      </c>
      <c r="E117" s="9">
        <v>166.60810390627799</v>
      </c>
      <c r="F117" s="7">
        <v>2826.9848857137599</v>
      </c>
      <c r="G117" s="7">
        <v>2501.6938754232301</v>
      </c>
      <c r="H117" s="10">
        <v>23.259389447407099</v>
      </c>
      <c r="I117" s="10">
        <v>169.085908441246</v>
      </c>
      <c r="J117" s="10">
        <v>4.7169982304584099</v>
      </c>
      <c r="K117" s="10">
        <v>1.1347422612661999</v>
      </c>
      <c r="L117" s="10">
        <v>101.10293636552601</v>
      </c>
      <c r="M117" s="10">
        <v>14.6445287803638</v>
      </c>
      <c r="N117" s="7">
        <v>164.10676498101958</v>
      </c>
      <c r="O117" s="7">
        <v>15.890084846297004</v>
      </c>
    </row>
    <row r="118" spans="1:15">
      <c r="A118" s="13" t="s">
        <v>65</v>
      </c>
      <c r="B118" s="7">
        <v>148668.895929469</v>
      </c>
      <c r="C118" s="8">
        <v>12747.3292315408</v>
      </c>
      <c r="D118" s="7">
        <v>1157.46331005506</v>
      </c>
      <c r="E118" s="7">
        <v>334.33307215538701</v>
      </c>
      <c r="F118" s="7">
        <v>1354.92214658546</v>
      </c>
      <c r="G118" s="7">
        <v>1258.74368538371</v>
      </c>
      <c r="H118" s="10">
        <v>5.8895263400639699</v>
      </c>
      <c r="I118" s="10">
        <v>103.59583612866101</v>
      </c>
      <c r="J118" s="10">
        <v>3.5511350436327702</v>
      </c>
      <c r="K118" s="10" t="s">
        <v>18</v>
      </c>
      <c r="L118" s="10">
        <v>81.772443725708598</v>
      </c>
      <c r="M118" s="10">
        <v>9.1020927092789599</v>
      </c>
      <c r="N118" s="7">
        <v>176.36840977008973</v>
      </c>
      <c r="O118" s="7">
        <v>14.244680306587226</v>
      </c>
    </row>
    <row r="119" spans="1:15">
      <c r="A119" s="13" t="s">
        <v>65</v>
      </c>
      <c r="B119" s="7">
        <v>156762.434752578</v>
      </c>
      <c r="C119" s="8">
        <v>37011.062697473702</v>
      </c>
      <c r="D119" s="7">
        <v>1529.47121946731</v>
      </c>
      <c r="E119" s="9">
        <v>129.53044308896</v>
      </c>
      <c r="F119" s="7">
        <v>2335.46556270881</v>
      </c>
      <c r="G119" s="7">
        <v>2193.3921461293698</v>
      </c>
      <c r="H119" s="10">
        <v>10.084850102073601</v>
      </c>
      <c r="I119" s="10">
        <v>159.50139532015601</v>
      </c>
      <c r="J119" s="10">
        <v>5.15466605812545</v>
      </c>
      <c r="K119" s="10">
        <v>45.222798235745302</v>
      </c>
      <c r="L119" s="10">
        <v>76.099850871912594</v>
      </c>
      <c r="M119" s="10">
        <v>12.0806131445286</v>
      </c>
      <c r="N119" s="7">
        <v>176.44988363477069</v>
      </c>
      <c r="O119" s="7">
        <v>14.233747232834082</v>
      </c>
    </row>
    <row r="120" spans="1:15">
      <c r="A120" s="13" t="s">
        <v>65</v>
      </c>
      <c r="B120" s="7">
        <v>166617.68527683199</v>
      </c>
      <c r="C120" s="8">
        <v>64030.693672466099</v>
      </c>
      <c r="D120" s="7">
        <v>1698.0249699337601</v>
      </c>
      <c r="E120" s="7">
        <v>215.47985164763</v>
      </c>
      <c r="F120" s="7">
        <v>743.70474937326503</v>
      </c>
      <c r="G120" s="10">
        <v>58.826638800390697</v>
      </c>
      <c r="H120" s="10">
        <v>321.33384043256598</v>
      </c>
      <c r="I120" s="10">
        <v>94.624136834070598</v>
      </c>
      <c r="J120" s="10">
        <v>3.8204193045858897E-2</v>
      </c>
      <c r="K120" s="10">
        <v>5.5293599400286997</v>
      </c>
      <c r="L120" s="10">
        <v>109.75238923964</v>
      </c>
      <c r="M120" s="10">
        <v>8.1411509596810792</v>
      </c>
      <c r="N120" s="7">
        <v>168.21964967482427</v>
      </c>
      <c r="O120" s="7">
        <v>15.338172010547478</v>
      </c>
    </row>
    <row r="121" spans="1:15">
      <c r="A121" s="13" t="s">
        <v>23</v>
      </c>
      <c r="B121" s="7">
        <v>162999.39369904</v>
      </c>
      <c r="C121" s="8">
        <v>32717.9044629895</v>
      </c>
      <c r="D121" s="7">
        <v>2198.1967048193201</v>
      </c>
      <c r="E121" s="9">
        <v>89.936832301126799</v>
      </c>
      <c r="F121" s="7">
        <v>2342.4760107166699</v>
      </c>
      <c r="G121" s="7">
        <v>398.30319472885299</v>
      </c>
      <c r="H121" s="10">
        <v>787.23585452244401</v>
      </c>
      <c r="I121" s="10">
        <v>180.87600530362101</v>
      </c>
      <c r="J121" s="10">
        <v>6.8939390522732694E-2</v>
      </c>
      <c r="K121" s="10">
        <v>46.585940624674997</v>
      </c>
      <c r="L121" s="7">
        <v>263.03266151088701</v>
      </c>
      <c r="M121" s="10">
        <v>52.597500896936197</v>
      </c>
      <c r="N121" s="7">
        <v>114.79541785995498</v>
      </c>
      <c r="O121" s="7">
        <v>22.507232529822218</v>
      </c>
    </row>
    <row r="122" spans="1:15">
      <c r="A122" s="13" t="s">
        <v>24</v>
      </c>
      <c r="B122" s="7">
        <v>158933.743408985</v>
      </c>
      <c r="C122" s="8">
        <v>20146.526890973499</v>
      </c>
      <c r="D122" s="7">
        <v>1472.8144582279799</v>
      </c>
      <c r="E122" s="9">
        <v>138.003327308119</v>
      </c>
      <c r="F122" s="7">
        <v>282.735430384697</v>
      </c>
      <c r="G122" s="7">
        <v>215.717306012763</v>
      </c>
      <c r="H122" s="10">
        <v>1.4946066969715599</v>
      </c>
      <c r="I122" s="10">
        <v>92.304391501540195</v>
      </c>
      <c r="J122" s="10">
        <v>1.6815635125333099</v>
      </c>
      <c r="K122" s="10">
        <v>1.5402898565479699</v>
      </c>
      <c r="L122" s="10">
        <v>156.04043759219201</v>
      </c>
      <c r="M122" s="10">
        <v>30.987476529994002</v>
      </c>
      <c r="N122" s="7">
        <v>209.40951876755844</v>
      </c>
      <c r="O122" s="7">
        <v>9.8108550183239593</v>
      </c>
    </row>
    <row r="123" spans="1:15">
      <c r="A123" s="13" t="s">
        <v>25</v>
      </c>
      <c r="B123" s="7">
        <v>153965.239249092</v>
      </c>
      <c r="C123" s="8">
        <v>32261.8059123407</v>
      </c>
      <c r="D123" s="7">
        <v>991.85015462772606</v>
      </c>
      <c r="E123" s="7">
        <v>461.75184755337102</v>
      </c>
      <c r="F123" s="7">
        <v>456.99204024813901</v>
      </c>
      <c r="G123" s="7">
        <v>285.13982453628603</v>
      </c>
      <c r="H123" s="10">
        <v>12.361485668766299</v>
      </c>
      <c r="I123" s="10">
        <v>60.361894268066798</v>
      </c>
      <c r="J123" s="10">
        <v>2.0611885726720298</v>
      </c>
      <c r="K123" s="10">
        <v>0.36717245199482601</v>
      </c>
      <c r="L123" s="10">
        <v>106.071500264717</v>
      </c>
      <c r="M123" s="10">
        <v>13.0607611746427</v>
      </c>
      <c r="N123" s="7">
        <v>204.51024261989491</v>
      </c>
      <c r="O123" s="7">
        <v>10.468294648433218</v>
      </c>
    </row>
    <row r="124" spans="1:15">
      <c r="A124" s="13" t="s">
        <v>26</v>
      </c>
      <c r="B124" s="7">
        <v>150087.29108000401</v>
      </c>
      <c r="C124" s="8">
        <v>34487.116998124198</v>
      </c>
      <c r="D124" s="7">
        <v>1075.4420792063099</v>
      </c>
      <c r="E124" s="9">
        <v>74.599222492896104</v>
      </c>
      <c r="F124" s="7">
        <v>777.70979541333895</v>
      </c>
      <c r="G124" s="7">
        <v>423.26711594935301</v>
      </c>
      <c r="H124" s="10">
        <v>92.272644542646205</v>
      </c>
      <c r="I124" s="10">
        <v>197.98590253600199</v>
      </c>
      <c r="J124" s="10">
        <v>0.16653183812087199</v>
      </c>
      <c r="K124" s="10">
        <v>1.1677793900287401</v>
      </c>
      <c r="L124" s="10">
        <v>124.419734736405</v>
      </c>
      <c r="M124" s="10">
        <v>50.076040666209501</v>
      </c>
      <c r="N124" s="7">
        <v>143.54819399768633</v>
      </c>
      <c r="O124" s="7">
        <v>18.648863673104593</v>
      </c>
    </row>
    <row r="125" spans="1:15">
      <c r="A125" s="13" t="s">
        <v>66</v>
      </c>
      <c r="B125" s="7">
        <v>139725.36748220399</v>
      </c>
      <c r="C125" s="8">
        <v>22494.313370469099</v>
      </c>
      <c r="D125" s="7">
        <v>1441.3882664565799</v>
      </c>
      <c r="E125" s="7">
        <v>211.74902028808799</v>
      </c>
      <c r="F125" s="7">
        <v>821.16008513199597</v>
      </c>
      <c r="G125" s="7">
        <v>255.395479043709</v>
      </c>
      <c r="H125" s="10">
        <v>229.39480664369401</v>
      </c>
      <c r="I125" s="7">
        <v>735.22849896382104</v>
      </c>
      <c r="J125" s="10">
        <v>0.62029318135177502</v>
      </c>
      <c r="K125" s="10">
        <v>11.9869585342545</v>
      </c>
      <c r="L125" s="7">
        <v>285.37213412811298</v>
      </c>
      <c r="M125" s="10">
        <v>46.4259083998124</v>
      </c>
      <c r="N125" s="7">
        <v>148.59835381056121</v>
      </c>
      <c r="O125" s="7">
        <v>17.971176786450425</v>
      </c>
    </row>
    <row r="126" spans="1:15">
      <c r="A126" s="13" t="s">
        <v>66</v>
      </c>
      <c r="B126" s="7">
        <v>139206.973397925</v>
      </c>
      <c r="C126" s="8">
        <v>22278.993653505</v>
      </c>
      <c r="D126" s="7">
        <v>1483.3108514268799</v>
      </c>
      <c r="E126" s="9">
        <v>166.77437234856001</v>
      </c>
      <c r="F126" s="7">
        <v>874.82747466925605</v>
      </c>
      <c r="G126" s="10">
        <v>18.7792195819734</v>
      </c>
      <c r="H126" s="10">
        <v>417.66946712855002</v>
      </c>
      <c r="I126" s="7">
        <v>737.72501617655098</v>
      </c>
      <c r="J126" s="10">
        <v>9.2761387240874304E-3</v>
      </c>
      <c r="K126" s="10">
        <v>4.19115136410388</v>
      </c>
      <c r="L126" s="7">
        <v>290.19333415933801</v>
      </c>
      <c r="M126" s="10">
        <v>15.0658771508496</v>
      </c>
      <c r="N126" s="7">
        <v>147.00955857608028</v>
      </c>
      <c r="O126" s="7">
        <v>18.184379088136282</v>
      </c>
    </row>
    <row r="127" spans="1:15">
      <c r="A127" s="13" t="s">
        <v>66</v>
      </c>
      <c r="B127" s="7">
        <v>141202.942178792</v>
      </c>
      <c r="C127" s="8">
        <v>29166.831174186202</v>
      </c>
      <c r="D127" s="7">
        <v>2266.89219896441</v>
      </c>
      <c r="E127" s="9">
        <v>166.76562533675599</v>
      </c>
      <c r="F127" s="7">
        <v>1710.89055398303</v>
      </c>
      <c r="G127" s="10">
        <v>15.0245846221289</v>
      </c>
      <c r="H127" s="10">
        <v>834.18932912180003</v>
      </c>
      <c r="I127" s="7">
        <v>1272.9091436388701</v>
      </c>
      <c r="J127" s="10" t="s">
        <v>18</v>
      </c>
      <c r="K127" s="10">
        <v>1.2094847968168001</v>
      </c>
      <c r="L127" s="7">
        <v>471.9789824755</v>
      </c>
      <c r="M127" s="10">
        <v>6.5004272507029803</v>
      </c>
      <c r="N127" s="7">
        <v>146.77727275282186</v>
      </c>
      <c r="O127" s="7">
        <v>18.215549796036772</v>
      </c>
    </row>
    <row r="128" spans="1:15">
      <c r="A128" s="13" t="s">
        <v>67</v>
      </c>
      <c r="B128" s="7">
        <v>145893.452942984</v>
      </c>
      <c r="C128" s="8">
        <v>19489.0609235718</v>
      </c>
      <c r="D128" s="7">
        <v>1840.4460213089001</v>
      </c>
      <c r="E128" s="9">
        <v>177.48860339058399</v>
      </c>
      <c r="F128" s="7">
        <v>884.92711349666399</v>
      </c>
      <c r="G128" s="7">
        <v>392.53304345040999</v>
      </c>
      <c r="H128" s="10">
        <v>305.03058493013498</v>
      </c>
      <c r="I128" s="7">
        <v>877.59411112019302</v>
      </c>
      <c r="J128" s="10">
        <v>0.62053038405523597</v>
      </c>
      <c r="K128" s="10" t="s">
        <v>18</v>
      </c>
      <c r="L128" s="7">
        <v>320.94201438468798</v>
      </c>
      <c r="M128" s="10">
        <v>4.5370690479369298</v>
      </c>
      <c r="N128" s="7">
        <v>135.23919745496607</v>
      </c>
      <c r="O128" s="7">
        <v>19.763857694462274</v>
      </c>
    </row>
    <row r="129" spans="1:15">
      <c r="A129" s="13" t="s">
        <v>67</v>
      </c>
      <c r="B129" s="7">
        <v>152893.79681609699</v>
      </c>
      <c r="C129" s="8">
        <v>27579.186482100598</v>
      </c>
      <c r="D129" s="7">
        <v>1638.0766656011899</v>
      </c>
      <c r="E129" s="7">
        <v>257.79614696369998</v>
      </c>
      <c r="F129" s="7">
        <v>390.044229156006</v>
      </c>
      <c r="G129" s="10">
        <v>137.493347177565</v>
      </c>
      <c r="H129" s="10">
        <v>140.56133314956301</v>
      </c>
      <c r="I129" s="7">
        <v>314.38182237916698</v>
      </c>
      <c r="J129" s="10">
        <v>1.0817016119291101</v>
      </c>
      <c r="K129" s="10">
        <v>1.3607435044029601</v>
      </c>
      <c r="L129" s="7">
        <v>370.82058611858503</v>
      </c>
      <c r="M129" s="10">
        <v>27.493896133740702</v>
      </c>
      <c r="N129" s="7">
        <v>171.13939280419336</v>
      </c>
      <c r="O129" s="7">
        <v>14.946368245025523</v>
      </c>
    </row>
    <row r="130" spans="1:15">
      <c r="A130" s="13" t="s">
        <v>67</v>
      </c>
      <c r="B130" s="7">
        <v>155211.38439592399</v>
      </c>
      <c r="C130" s="8">
        <v>24270.051007941202</v>
      </c>
      <c r="D130" s="7">
        <v>1564.5756514657801</v>
      </c>
      <c r="E130" s="9">
        <v>158.91325134304401</v>
      </c>
      <c r="F130" s="7">
        <v>575.47636065659594</v>
      </c>
      <c r="G130" s="10">
        <v>25.890977721741201</v>
      </c>
      <c r="H130" s="10">
        <v>331.69050127831002</v>
      </c>
      <c r="I130" s="7">
        <v>387.42434968586798</v>
      </c>
      <c r="J130" s="10">
        <v>4.3102108699528803E-2</v>
      </c>
      <c r="K130" s="10">
        <v>1.03198972616303</v>
      </c>
      <c r="L130" s="7">
        <v>378.990674612661</v>
      </c>
      <c r="M130" s="10">
        <v>12.750684287518499</v>
      </c>
      <c r="N130" s="7">
        <v>155.47873212485194</v>
      </c>
      <c r="O130" s="7">
        <v>17.04789072589303</v>
      </c>
    </row>
    <row r="131" spans="1:15">
      <c r="A131" s="13" t="s">
        <v>67</v>
      </c>
      <c r="B131" s="7">
        <v>160937.43743720601</v>
      </c>
      <c r="C131" s="8">
        <v>23118.949259274701</v>
      </c>
      <c r="D131" s="7">
        <v>2138.2840994777098</v>
      </c>
      <c r="E131" s="9">
        <v>123.21883846148999</v>
      </c>
      <c r="F131" s="7">
        <v>1412.9231201735499</v>
      </c>
      <c r="G131" s="10">
        <v>77.231281288243295</v>
      </c>
      <c r="H131" s="10">
        <v>974.786752299466</v>
      </c>
      <c r="I131" s="7">
        <v>1639.5832069917999</v>
      </c>
      <c r="J131" s="10">
        <v>6.5910035569111597E-2</v>
      </c>
      <c r="K131" s="10">
        <v>3.5555422776227799</v>
      </c>
      <c r="L131" s="7">
        <v>544.46889250672098</v>
      </c>
      <c r="M131" s="10">
        <v>91.353462690382699</v>
      </c>
      <c r="N131" s="7">
        <v>128.06169055815366</v>
      </c>
      <c r="O131" s="7">
        <v>20.727015789071295</v>
      </c>
    </row>
    <row r="132" spans="1:15">
      <c r="A132" s="13" t="s">
        <v>68</v>
      </c>
      <c r="B132" s="7">
        <v>168705.59753483601</v>
      </c>
      <c r="C132" s="8">
        <v>42648.893661124101</v>
      </c>
      <c r="D132" s="7">
        <v>2262.97235827752</v>
      </c>
      <c r="E132" s="7">
        <v>201.31907591880699</v>
      </c>
      <c r="F132" s="10">
        <v>48.966796520714503</v>
      </c>
      <c r="G132" s="10" t="s">
        <v>18</v>
      </c>
      <c r="H132" s="10">
        <v>66.056130526254094</v>
      </c>
      <c r="I132" s="10">
        <v>119.747125902164</v>
      </c>
      <c r="J132" s="10" t="s">
        <v>18</v>
      </c>
      <c r="K132" s="10" t="s">
        <v>18</v>
      </c>
      <c r="L132" s="7">
        <v>247.98030689170901</v>
      </c>
      <c r="M132" s="10">
        <v>2.7323521897596899</v>
      </c>
      <c r="N132" s="7"/>
      <c r="O132" s="7"/>
    </row>
    <row r="133" spans="1:15">
      <c r="A133" s="13" t="s">
        <v>68</v>
      </c>
      <c r="B133" s="7">
        <v>172299.87845738599</v>
      </c>
      <c r="C133" s="8">
        <v>54011.803708642197</v>
      </c>
      <c r="D133" s="7">
        <v>1690.09382880257</v>
      </c>
      <c r="E133" s="7">
        <v>228.689083359433</v>
      </c>
      <c r="F133" s="7">
        <v>246.22644452540999</v>
      </c>
      <c r="G133" s="10">
        <v>39.088874050677298</v>
      </c>
      <c r="H133" s="10">
        <v>310.41046761366403</v>
      </c>
      <c r="I133" s="7">
        <v>573.14104782043103</v>
      </c>
      <c r="J133" s="10">
        <v>5.2648075114145002E-2</v>
      </c>
      <c r="K133" s="10" t="s">
        <v>18</v>
      </c>
      <c r="L133" s="7">
        <v>202.89430117302999</v>
      </c>
      <c r="M133" s="10">
        <v>0.61985829558611005</v>
      </c>
      <c r="N133" s="7">
        <v>172.49242637189141</v>
      </c>
      <c r="O133" s="7">
        <v>14.764803078771923</v>
      </c>
    </row>
    <row r="134" spans="1:15">
      <c r="A134" s="13" t="s">
        <v>68</v>
      </c>
      <c r="B134" s="7">
        <v>170467.70393629599</v>
      </c>
      <c r="C134" s="8">
        <v>45597.032086575098</v>
      </c>
      <c r="D134" s="7">
        <v>1575.3294574459101</v>
      </c>
      <c r="E134" s="7">
        <v>215.25050986500401</v>
      </c>
      <c r="F134" s="7">
        <v>350.39455751673597</v>
      </c>
      <c r="G134" s="10">
        <v>25.241691100123202</v>
      </c>
      <c r="H134" s="10">
        <v>528.33512624612501</v>
      </c>
      <c r="I134" s="7">
        <v>959.55692034557899</v>
      </c>
      <c r="J134" s="10">
        <v>9.2519925156175603E-2</v>
      </c>
      <c r="K134" s="10" t="s">
        <v>18</v>
      </c>
      <c r="L134" s="10">
        <v>167.55791084497599</v>
      </c>
      <c r="M134" s="10">
        <v>2.04085128548085</v>
      </c>
      <c r="N134" s="7">
        <v>170.36077836575942</v>
      </c>
      <c r="O134" s="7">
        <v>15.050851432535961</v>
      </c>
    </row>
    <row r="135" spans="1:15">
      <c r="A135" s="13" t="s">
        <v>69</v>
      </c>
      <c r="B135" s="7">
        <v>136114.73842582299</v>
      </c>
      <c r="C135" s="8">
        <v>41309.109061412601</v>
      </c>
      <c r="D135" s="7">
        <v>1223.2031267669199</v>
      </c>
      <c r="E135" s="9">
        <v>122.796922666548</v>
      </c>
      <c r="F135" s="10">
        <v>17.300086205460399</v>
      </c>
      <c r="G135" s="10">
        <v>5.7696444992031397</v>
      </c>
      <c r="H135" s="10">
        <v>3.3375469581814499</v>
      </c>
      <c r="I135" s="10">
        <v>6.6575872865915802</v>
      </c>
      <c r="J135" s="10" t="s">
        <v>18</v>
      </c>
      <c r="K135" s="10" t="s">
        <v>18</v>
      </c>
      <c r="L135" s="10">
        <v>65.838004698424001</v>
      </c>
      <c r="M135" s="10">
        <v>2.72834413550716</v>
      </c>
      <c r="N135" s="7">
        <v>225.74652045037405</v>
      </c>
      <c r="O135" s="7">
        <v>7.6185735425049526</v>
      </c>
    </row>
    <row r="136" spans="1:15">
      <c r="A136" s="13" t="s">
        <v>69</v>
      </c>
      <c r="B136" s="7">
        <v>130993.394244642</v>
      </c>
      <c r="C136" s="8">
        <v>29262.444734838999</v>
      </c>
      <c r="D136" s="7">
        <v>1121.37897122342</v>
      </c>
      <c r="E136" s="9">
        <v>67.114179023574707</v>
      </c>
      <c r="F136" s="10">
        <v>21.8069887345242</v>
      </c>
      <c r="G136" s="10">
        <v>14.483701890608</v>
      </c>
      <c r="H136" s="10">
        <v>0.66212510447267503</v>
      </c>
      <c r="I136" s="10">
        <v>5.2240225664202997</v>
      </c>
      <c r="J136" s="10">
        <v>3.4544311272449599E-2</v>
      </c>
      <c r="K136" s="10">
        <v>0.54148479561940999</v>
      </c>
      <c r="L136" s="10">
        <v>87.441208451870594</v>
      </c>
      <c r="M136" s="10">
        <v>14.426428673561499</v>
      </c>
      <c r="N136" s="7">
        <v>230.01269113178145</v>
      </c>
      <c r="O136" s="7">
        <v>7.0460910797425633</v>
      </c>
    </row>
    <row r="137" spans="1:15">
      <c r="A137" s="13" t="s">
        <v>69</v>
      </c>
      <c r="B137" s="7">
        <v>129742.73306086801</v>
      </c>
      <c r="C137" s="8">
        <v>29096.822647772398</v>
      </c>
      <c r="D137" s="7">
        <v>1282.78926471816</v>
      </c>
      <c r="E137" s="9">
        <v>66.638307407653301</v>
      </c>
      <c r="F137" s="10">
        <v>20.112858063981601</v>
      </c>
      <c r="G137" s="10">
        <v>8.2719989399396106</v>
      </c>
      <c r="H137" s="10">
        <v>2.76860228524475</v>
      </c>
      <c r="I137" s="10">
        <v>18.1393388352211</v>
      </c>
      <c r="J137" s="10" t="s">
        <v>18</v>
      </c>
      <c r="K137" s="10">
        <v>0.41722047880295399</v>
      </c>
      <c r="L137" s="10">
        <v>59.091014376302098</v>
      </c>
      <c r="M137" s="10">
        <v>60.9179056513997</v>
      </c>
      <c r="N137" s="7">
        <v>210.1661802218502</v>
      </c>
      <c r="O137" s="7">
        <v>9.7093177275826008</v>
      </c>
    </row>
    <row r="138" spans="1:15">
      <c r="A138" s="13" t="s">
        <v>28</v>
      </c>
      <c r="B138" s="7">
        <v>129031.988645548</v>
      </c>
      <c r="C138" s="8">
        <v>27261.501502006999</v>
      </c>
      <c r="D138" s="7">
        <v>1105.0115781157699</v>
      </c>
      <c r="E138" s="9">
        <v>63.442751893677197</v>
      </c>
      <c r="F138" s="10">
        <v>24.202001488081802</v>
      </c>
      <c r="G138" s="10">
        <v>16.2333260338965</v>
      </c>
      <c r="H138" s="10" t="s">
        <v>18</v>
      </c>
      <c r="I138" s="10">
        <v>11.431011987426499</v>
      </c>
      <c r="J138" s="10">
        <v>3.1121072826379801E-2</v>
      </c>
      <c r="K138" s="10" t="s">
        <v>18</v>
      </c>
      <c r="L138" s="10">
        <v>67.771978320489296</v>
      </c>
      <c r="M138" s="10">
        <v>11.7298939364658</v>
      </c>
      <c r="N138" s="7">
        <v>233.75286101677045</v>
      </c>
      <c r="O138" s="7">
        <v>6.5441932826760265</v>
      </c>
    </row>
    <row r="139" spans="1:15">
      <c r="A139" s="13" t="s">
        <v>28</v>
      </c>
      <c r="B139" s="7">
        <v>129162.209042905</v>
      </c>
      <c r="C139" s="8">
        <v>28081.7012839118</v>
      </c>
      <c r="D139" s="7">
        <v>1186.9427023805799</v>
      </c>
      <c r="E139" s="9">
        <v>60.443820352266997</v>
      </c>
      <c r="F139" s="10">
        <v>33.290170687719403</v>
      </c>
      <c r="G139" s="10">
        <v>22.995143891454301</v>
      </c>
      <c r="H139" s="10">
        <v>0.93244140637364303</v>
      </c>
      <c r="I139" s="10">
        <v>13.3155198220628</v>
      </c>
      <c r="J139" s="10">
        <v>4.4425374956708202E-2</v>
      </c>
      <c r="K139" s="10" t="s">
        <v>18</v>
      </c>
      <c r="L139" s="10">
        <v>108.075577772618</v>
      </c>
      <c r="M139" s="10">
        <v>13.625920868381099</v>
      </c>
      <c r="N139" s="7">
        <v>219.7837014016265</v>
      </c>
      <c r="O139" s="7">
        <v>8.418731245737618</v>
      </c>
    </row>
    <row r="140" spans="1:15">
      <c r="A140" s="13" t="s">
        <v>29</v>
      </c>
      <c r="B140" s="7">
        <v>135868.92906913301</v>
      </c>
      <c r="C140" s="8">
        <v>45597.2994923105</v>
      </c>
      <c r="D140" s="7">
        <v>1341.52275296681</v>
      </c>
      <c r="E140" s="9">
        <v>111.40015585896801</v>
      </c>
      <c r="F140" s="10">
        <v>94.107841921692398</v>
      </c>
      <c r="G140" s="10">
        <v>2.3501253982532502</v>
      </c>
      <c r="H140" s="10">
        <v>51.147446035167498</v>
      </c>
      <c r="I140" s="10">
        <v>45.129860146869603</v>
      </c>
      <c r="J140" s="10" t="s">
        <v>18</v>
      </c>
      <c r="K140" s="10">
        <v>3.7509522829120701</v>
      </c>
      <c r="L140" s="10">
        <v>46.609301446898598</v>
      </c>
      <c r="M140" s="10">
        <v>61.998266745972103</v>
      </c>
      <c r="N140" s="7">
        <v>194.53542609004126</v>
      </c>
      <c r="O140" s="7">
        <v>11.806827013652551</v>
      </c>
    </row>
    <row r="141" spans="1:15">
      <c r="A141" s="13" t="s">
        <v>30</v>
      </c>
      <c r="B141" s="7">
        <v>134653.57797387399</v>
      </c>
      <c r="C141" s="8">
        <v>42239.887090858501</v>
      </c>
      <c r="D141" s="7">
        <v>1414.04621769749</v>
      </c>
      <c r="E141" s="9">
        <v>107.437614950704</v>
      </c>
      <c r="F141" s="7">
        <v>406.82391366696902</v>
      </c>
      <c r="G141" s="10">
        <v>3.6744231432602001</v>
      </c>
      <c r="H141" s="10">
        <v>183.95308991840099</v>
      </c>
      <c r="I141" s="10">
        <v>36.631958669915598</v>
      </c>
      <c r="J141" s="10" t="s">
        <v>18</v>
      </c>
      <c r="K141" s="10" t="s">
        <v>18</v>
      </c>
      <c r="L141" s="10">
        <v>80.967606656897203</v>
      </c>
      <c r="M141" s="10">
        <v>8.1344082597767198</v>
      </c>
      <c r="N141" s="7">
        <v>181.13408177350129</v>
      </c>
      <c r="O141" s="7">
        <v>13.605169173776481</v>
      </c>
    </row>
    <row r="142" spans="1:15">
      <c r="A142" s="13" t="s">
        <v>31</v>
      </c>
      <c r="B142" s="7">
        <v>137058.231532904</v>
      </c>
      <c r="C142" s="8">
        <v>28236.6971809354</v>
      </c>
      <c r="D142" s="7">
        <v>1355.4318932184201</v>
      </c>
      <c r="E142" s="9">
        <v>75.924374326981805</v>
      </c>
      <c r="F142" s="10">
        <v>62.843434424463297</v>
      </c>
      <c r="G142" s="10">
        <v>48.630684069009099</v>
      </c>
      <c r="H142" s="10" t="s">
        <v>18</v>
      </c>
      <c r="I142" s="10">
        <v>58.3319492132891</v>
      </c>
      <c r="J142" s="10">
        <v>0.87926341106026795</v>
      </c>
      <c r="K142" s="10">
        <v>0.53679599201372896</v>
      </c>
      <c r="L142" s="10">
        <v>125.427433706397</v>
      </c>
      <c r="M142" s="10">
        <v>23.9139163141556</v>
      </c>
      <c r="N142" s="7">
        <v>241.26493614534991</v>
      </c>
      <c r="O142" s="7">
        <v>5.5361390834364999</v>
      </c>
    </row>
    <row r="143" spans="1:15">
      <c r="A143" s="13" t="s">
        <v>32</v>
      </c>
      <c r="B143" s="7">
        <v>146098.26169329599</v>
      </c>
      <c r="C143" s="8">
        <v>34201.781809724896</v>
      </c>
      <c r="D143" s="7">
        <v>1575.4138993368399</v>
      </c>
      <c r="E143" s="9">
        <v>96.250662301633398</v>
      </c>
      <c r="F143" s="7">
        <v>281.69783102785902</v>
      </c>
      <c r="G143" s="7">
        <v>265.34464442979299</v>
      </c>
      <c r="H143" s="10" t="s">
        <v>18</v>
      </c>
      <c r="I143" s="10">
        <v>95.509380461197907</v>
      </c>
      <c r="J143" s="10">
        <v>0.935917048683648</v>
      </c>
      <c r="K143" s="10" t="s">
        <v>18</v>
      </c>
      <c r="L143" s="10">
        <v>159.08292667503801</v>
      </c>
      <c r="M143" s="10">
        <v>79.887858965650807</v>
      </c>
      <c r="N143" s="7">
        <v>226.18154294175002</v>
      </c>
      <c r="O143" s="7">
        <v>7.5601973625960426</v>
      </c>
    </row>
    <row r="144" spans="1:15">
      <c r="A144" s="13" t="s">
        <v>32</v>
      </c>
      <c r="B144" s="7">
        <v>150987.242798589</v>
      </c>
      <c r="C144" s="8">
        <v>44765.628800575199</v>
      </c>
      <c r="D144" s="7">
        <v>1785.4347837651301</v>
      </c>
      <c r="E144" s="9">
        <v>125.451073521447</v>
      </c>
      <c r="F144" s="7">
        <v>427.81197869324302</v>
      </c>
      <c r="G144" s="7">
        <v>446.73354632693002</v>
      </c>
      <c r="H144" s="10">
        <v>0.87852629950530103</v>
      </c>
      <c r="I144" s="10">
        <v>158.670609057148</v>
      </c>
      <c r="J144" s="10">
        <v>0.20903053091127799</v>
      </c>
      <c r="K144" s="10">
        <v>2.02950168419189</v>
      </c>
      <c r="L144" s="10">
        <v>145.064807966339</v>
      </c>
      <c r="M144" s="10">
        <v>57.029036064182499</v>
      </c>
      <c r="N144" s="7">
        <v>210.74679655811502</v>
      </c>
      <c r="O144" s="7">
        <v>9.6314041383411837</v>
      </c>
    </row>
    <row r="145" spans="1:15">
      <c r="A145" s="13" t="s">
        <v>32</v>
      </c>
      <c r="B145" s="7">
        <v>149513.69998115001</v>
      </c>
      <c r="C145" s="8">
        <v>32172.778106434602</v>
      </c>
      <c r="D145" s="7">
        <v>1730.7922168333</v>
      </c>
      <c r="E145" s="9">
        <v>95.389992822639996</v>
      </c>
      <c r="F145" s="7">
        <v>689.54457751417499</v>
      </c>
      <c r="G145" s="7">
        <v>694.49561041168897</v>
      </c>
      <c r="H145" s="10" t="s">
        <v>18</v>
      </c>
      <c r="I145" s="10">
        <v>153.810432408645</v>
      </c>
      <c r="J145" s="10">
        <v>3.2181842698057799</v>
      </c>
      <c r="K145" s="10">
        <v>1.07761807129563</v>
      </c>
      <c r="L145" s="10">
        <v>134.066773184742</v>
      </c>
      <c r="M145" s="10">
        <v>14.6285187487931</v>
      </c>
      <c r="N145" s="7">
        <v>219.9312793153388</v>
      </c>
      <c r="O145" s="7">
        <v>8.3989275918754913</v>
      </c>
    </row>
    <row r="146" spans="1:15">
      <c r="A146" s="13" t="s">
        <v>35</v>
      </c>
      <c r="B146" s="7">
        <v>150262.39113718699</v>
      </c>
      <c r="C146" s="8">
        <v>20846.278186143401</v>
      </c>
      <c r="D146" s="7">
        <v>1064.1096742224699</v>
      </c>
      <c r="E146" s="9">
        <v>64.810953793213301</v>
      </c>
      <c r="F146" s="10">
        <v>13.1248303080033</v>
      </c>
      <c r="G146" s="10">
        <v>0.54017768282294798</v>
      </c>
      <c r="H146" s="10" t="s">
        <v>18</v>
      </c>
      <c r="I146" s="10">
        <v>26.102265824351299</v>
      </c>
      <c r="J146" s="10">
        <v>6.0201949352099202E-2</v>
      </c>
      <c r="K146" s="10">
        <v>0.22964746366027899</v>
      </c>
      <c r="L146" s="10">
        <v>86.987690065516702</v>
      </c>
      <c r="M146" s="10">
        <v>64.094365587362205</v>
      </c>
      <c r="N146" s="7">
        <v>273.20672249801424</v>
      </c>
      <c r="O146" s="7">
        <v>1.2498331942002956</v>
      </c>
    </row>
    <row r="147" spans="1:15">
      <c r="A147" s="13" t="s">
        <v>35</v>
      </c>
      <c r="B147" s="7">
        <v>154039.27205754601</v>
      </c>
      <c r="C147" s="8">
        <v>36492.264425458801</v>
      </c>
      <c r="D147" s="7">
        <v>1435.3164244373399</v>
      </c>
      <c r="E147" s="9">
        <v>87.665511697556099</v>
      </c>
      <c r="F147" s="10">
        <v>10.4727694164722</v>
      </c>
      <c r="G147" s="10">
        <v>0.130615907134636</v>
      </c>
      <c r="H147" s="10" t="s">
        <v>18</v>
      </c>
      <c r="I147" s="10">
        <v>16.482865486642101</v>
      </c>
      <c r="J147" s="10" t="s">
        <v>18</v>
      </c>
      <c r="K147" s="10">
        <v>0.59243489011364103</v>
      </c>
      <c r="L147" s="10">
        <v>33.876419834166597</v>
      </c>
      <c r="M147" s="10">
        <v>34.323800551953603</v>
      </c>
      <c r="N147" s="7">
        <v>291.9009753395822</v>
      </c>
      <c r="O147" s="7">
        <v>1</v>
      </c>
    </row>
    <row r="148" spans="1:15">
      <c r="A148" s="13" t="s">
        <v>35</v>
      </c>
      <c r="B148" s="7">
        <v>150516.58571220501</v>
      </c>
      <c r="C148" s="8">
        <v>27989.782456270001</v>
      </c>
      <c r="D148" s="7">
        <v>1294.2225445827</v>
      </c>
      <c r="E148" s="9">
        <v>68.582583329098895</v>
      </c>
      <c r="F148" s="10">
        <v>45.569141793851003</v>
      </c>
      <c r="G148" s="10">
        <v>0.97189824472557595</v>
      </c>
      <c r="H148" s="10">
        <v>15.378575001637</v>
      </c>
      <c r="I148" s="10">
        <v>20.543639977726901</v>
      </c>
      <c r="J148" s="10">
        <v>3.1194915119384301E-2</v>
      </c>
      <c r="K148" s="10">
        <v>0.625598004588936</v>
      </c>
      <c r="L148" s="10">
        <v>35.072290601205097</v>
      </c>
      <c r="M148" s="10">
        <v>35.924387282313198</v>
      </c>
      <c r="N148" s="7">
        <v>223.48758190791622</v>
      </c>
      <c r="O148" s="7">
        <v>7.9217031630921237</v>
      </c>
    </row>
    <row r="149" spans="1:15">
      <c r="A149" s="13" t="s">
        <v>36</v>
      </c>
      <c r="B149" s="7">
        <v>156082.03995640299</v>
      </c>
      <c r="C149" s="8">
        <v>42021.981508852201</v>
      </c>
      <c r="D149" s="7">
        <v>1961.01592514041</v>
      </c>
      <c r="E149" s="9">
        <v>166.15560237181501</v>
      </c>
      <c r="F149" s="10">
        <v>31.546011465622499</v>
      </c>
      <c r="G149" s="10">
        <v>1.1392206084312599</v>
      </c>
      <c r="H149" s="10">
        <v>2.5636351429505999</v>
      </c>
      <c r="I149" s="10">
        <v>36.577522075621097</v>
      </c>
      <c r="J149" s="10">
        <v>1.65244702726371E-2</v>
      </c>
      <c r="K149" s="10">
        <v>9.7138264924823901</v>
      </c>
      <c r="L149" s="10">
        <v>58.619220608019198</v>
      </c>
      <c r="M149" s="10">
        <v>57.512674981427601</v>
      </c>
      <c r="N149" s="7">
        <v>257.37773706509472</v>
      </c>
      <c r="O149" s="7">
        <v>3.3739433717795695</v>
      </c>
    </row>
    <row r="150" spans="1:15">
      <c r="A150" s="13" t="s">
        <v>36</v>
      </c>
      <c r="B150" s="7">
        <v>153224.53506859901</v>
      </c>
      <c r="C150" s="8">
        <v>41665.670320026104</v>
      </c>
      <c r="D150" s="7">
        <v>1615.6625264880499</v>
      </c>
      <c r="E150" s="9">
        <v>91.471475410823004</v>
      </c>
      <c r="F150" s="10">
        <v>20.134629736210002</v>
      </c>
      <c r="G150" s="10">
        <v>9.9432402551315094E-2</v>
      </c>
      <c r="H150" s="10">
        <v>3.1497315413733702</v>
      </c>
      <c r="I150" s="10">
        <v>16.534565283044198</v>
      </c>
      <c r="J150" s="10">
        <v>2.22588425435408E-2</v>
      </c>
      <c r="K150" s="10" t="s">
        <v>18</v>
      </c>
      <c r="L150" s="10">
        <v>20.6366932534544</v>
      </c>
      <c r="M150" s="10">
        <v>0.35039243262423098</v>
      </c>
      <c r="N150" s="7">
        <v>279.05397517178312</v>
      </c>
      <c r="O150" s="7">
        <v>0.46518347878645905</v>
      </c>
    </row>
    <row r="151" spans="1:15">
      <c r="A151" s="13" t="s">
        <v>36</v>
      </c>
      <c r="B151" s="7">
        <v>150221.66290231701</v>
      </c>
      <c r="C151" s="8">
        <v>29373.3993838356</v>
      </c>
      <c r="D151" s="7">
        <v>1404.4286853501601</v>
      </c>
      <c r="E151" s="9">
        <v>57.951567550137703</v>
      </c>
      <c r="F151" s="10">
        <v>24.1549449534009</v>
      </c>
      <c r="G151" s="10">
        <v>0.61181898710981797</v>
      </c>
      <c r="H151" s="10">
        <v>2.3962337677391101</v>
      </c>
      <c r="I151" s="10">
        <v>31.237223287456299</v>
      </c>
      <c r="J151" s="10">
        <v>4.3059173168090603E-2</v>
      </c>
      <c r="K151" s="10">
        <v>2.5028373838753399</v>
      </c>
      <c r="L151" s="10">
        <v>70.489438941865998</v>
      </c>
      <c r="M151" s="10">
        <v>32.409819642923203</v>
      </c>
      <c r="N151" s="7">
        <v>252.16804950018982</v>
      </c>
      <c r="O151" s="7">
        <v>4.0730374751583511</v>
      </c>
    </row>
    <row r="152" spans="1:15">
      <c r="A152" s="13" t="s">
        <v>70</v>
      </c>
      <c r="B152" s="7">
        <v>162403.545077938</v>
      </c>
      <c r="C152" s="8">
        <v>61286.127716322699</v>
      </c>
      <c r="D152" s="7">
        <v>2259.0056285921501</v>
      </c>
      <c r="E152" s="7">
        <v>480.75202796591202</v>
      </c>
      <c r="F152" s="7">
        <v>741.10465430414001</v>
      </c>
      <c r="G152" s="10">
        <v>73.919423381587293</v>
      </c>
      <c r="H152" s="10">
        <v>289.16680967308599</v>
      </c>
      <c r="I152" s="10">
        <v>49.3616520730749</v>
      </c>
      <c r="J152" s="10">
        <v>5.6186436574242299E-2</v>
      </c>
      <c r="K152" s="10">
        <v>2.3043189048802901</v>
      </c>
      <c r="L152" s="10">
        <v>112.49940553605801</v>
      </c>
      <c r="M152" s="10">
        <v>114.34020933969801</v>
      </c>
      <c r="N152" s="7">
        <v>176.69634643905286</v>
      </c>
      <c r="O152" s="7">
        <v>14.200674099171216</v>
      </c>
    </row>
    <row r="153" spans="1:15">
      <c r="A153" s="13" t="s">
        <v>70</v>
      </c>
      <c r="B153" s="7">
        <v>164960.631876839</v>
      </c>
      <c r="C153" s="8">
        <v>78632.1346260438</v>
      </c>
      <c r="D153" s="7">
        <v>2150.7566182898699</v>
      </c>
      <c r="E153" s="7">
        <v>498.816018024676</v>
      </c>
      <c r="F153" s="7">
        <v>1514.1449686099099</v>
      </c>
      <c r="G153" s="10">
        <v>88.409504071009295</v>
      </c>
      <c r="H153" s="10">
        <v>7.9911906904574099</v>
      </c>
      <c r="I153" s="10">
        <v>26.6787800932537</v>
      </c>
      <c r="J153" s="10">
        <v>0.74370049400833205</v>
      </c>
      <c r="K153" s="10">
        <v>2.92540716359288</v>
      </c>
      <c r="L153" s="10">
        <v>134.42467984236501</v>
      </c>
      <c r="M153" s="10">
        <v>36.389319169821597</v>
      </c>
      <c r="N153" s="7">
        <v>236.97223370856295</v>
      </c>
      <c r="O153" s="7">
        <v>6.1121818736671054</v>
      </c>
    </row>
    <row r="154" spans="1:15">
      <c r="A154" s="13" t="s">
        <v>38</v>
      </c>
      <c r="B154" s="7">
        <v>182513.064016007</v>
      </c>
      <c r="C154" s="8">
        <v>28414.441970359501</v>
      </c>
      <c r="D154" s="7">
        <v>1366.70754354274</v>
      </c>
      <c r="E154" s="9">
        <v>66.595952025061095</v>
      </c>
      <c r="F154" s="7">
        <v>123.580237707856</v>
      </c>
      <c r="G154" s="10">
        <v>86.972186818976297</v>
      </c>
      <c r="H154" s="10">
        <v>1.91951645935837</v>
      </c>
      <c r="I154" s="10">
        <v>22.2289000756275</v>
      </c>
      <c r="J154" s="10">
        <v>0.73242203178837795</v>
      </c>
      <c r="K154" s="10">
        <v>0.33035671871195998</v>
      </c>
      <c r="L154" s="10">
        <v>85.273327105540204</v>
      </c>
      <c r="M154" s="10">
        <v>1.28813081975673</v>
      </c>
      <c r="N154" s="7">
        <v>211.75898307260712</v>
      </c>
      <c r="O154" s="7">
        <v>9.4955776391538222</v>
      </c>
    </row>
    <row r="155" spans="1:15">
      <c r="A155" s="13" t="s">
        <v>38</v>
      </c>
      <c r="B155" s="7">
        <v>185639.34863613101</v>
      </c>
      <c r="C155" s="8">
        <v>37853.4753900496</v>
      </c>
      <c r="D155" s="7">
        <v>1468.74679889095</v>
      </c>
      <c r="E155" s="9">
        <v>80.004752500860207</v>
      </c>
      <c r="F155" s="7">
        <v>428.28966532585503</v>
      </c>
      <c r="G155" s="7">
        <v>260.48540438573599</v>
      </c>
      <c r="H155" s="10">
        <v>29.9220829618247</v>
      </c>
      <c r="I155" s="10">
        <v>38.126167312323901</v>
      </c>
      <c r="J155" s="10">
        <v>5.6680915344010201E-2</v>
      </c>
      <c r="K155" s="10" t="s">
        <v>18</v>
      </c>
      <c r="L155" s="10">
        <v>86.483580392335298</v>
      </c>
      <c r="M155" s="10">
        <v>3.4118550817907298</v>
      </c>
      <c r="N155" s="7">
        <v>159.60874082757135</v>
      </c>
      <c r="O155" s="7">
        <v>16.493679999241344</v>
      </c>
    </row>
    <row r="156" spans="1:15">
      <c r="A156" s="13" t="s">
        <v>39</v>
      </c>
      <c r="B156" s="7">
        <v>181894.86488392999</v>
      </c>
      <c r="C156" s="8">
        <v>46098.1276799681</v>
      </c>
      <c r="D156" s="7">
        <v>1600.0863855241801</v>
      </c>
      <c r="E156" s="9">
        <v>108.983795675843</v>
      </c>
      <c r="F156" s="7">
        <v>1735.64055942257</v>
      </c>
      <c r="G156" s="7">
        <v>1227.4773096689801</v>
      </c>
      <c r="H156" s="10">
        <v>296.97616382681503</v>
      </c>
      <c r="I156" s="10">
        <v>131.285304629591</v>
      </c>
      <c r="J156" s="10">
        <v>14.2088744660033</v>
      </c>
      <c r="K156" s="10">
        <v>30.8330947934375</v>
      </c>
      <c r="L156" s="7">
        <v>288.64315884816602</v>
      </c>
      <c r="M156" s="10">
        <v>29.033771735607701</v>
      </c>
      <c r="N156" s="7">
        <v>150.97001994531297</v>
      </c>
      <c r="O156" s="7">
        <v>17.652920117632632</v>
      </c>
    </row>
    <row r="157" spans="1:15">
      <c r="A157" s="13" t="s">
        <v>39</v>
      </c>
      <c r="B157" s="7">
        <v>179041.969225988</v>
      </c>
      <c r="C157" s="8">
        <v>40565.936777193499</v>
      </c>
      <c r="D157" s="7">
        <v>1684.4793409241699</v>
      </c>
      <c r="E157" s="9">
        <v>101.304406506916</v>
      </c>
      <c r="F157" s="7">
        <v>346.097626896088</v>
      </c>
      <c r="G157" s="7">
        <v>295.577405669656</v>
      </c>
      <c r="H157" s="10">
        <v>31.653515654118699</v>
      </c>
      <c r="I157" s="10">
        <v>85.209127391143397</v>
      </c>
      <c r="J157" s="10">
        <v>7.1209624528150703</v>
      </c>
      <c r="K157" s="10">
        <v>10.9449117655231</v>
      </c>
      <c r="L157" s="7">
        <v>303.88006424864398</v>
      </c>
      <c r="M157" s="10">
        <v>36.459344377440402</v>
      </c>
      <c r="N157" s="7">
        <v>187.6775645465878</v>
      </c>
      <c r="O157" s="7">
        <v>12.727091522240977</v>
      </c>
    </row>
    <row r="158" spans="1:15">
      <c r="A158" s="13" t="s">
        <v>40</v>
      </c>
      <c r="B158" s="7">
        <v>178886.78905929701</v>
      </c>
      <c r="C158" s="8">
        <v>39226.579766528397</v>
      </c>
      <c r="D158" s="7">
        <v>1335.02477175441</v>
      </c>
      <c r="E158" s="9">
        <v>88.016861654292597</v>
      </c>
      <c r="F158" s="7">
        <v>307.958200736891</v>
      </c>
      <c r="G158" s="10">
        <v>173.02799732810999</v>
      </c>
      <c r="H158" s="10">
        <v>78.925334904885304</v>
      </c>
      <c r="I158" s="10">
        <v>73.715815408060095</v>
      </c>
      <c r="J158" s="10">
        <v>2.7440884667346901</v>
      </c>
      <c r="K158" s="10">
        <v>5.2082471522353702</v>
      </c>
      <c r="L158" s="7">
        <v>311.31422551123899</v>
      </c>
      <c r="M158" s="10">
        <v>21.898280638308101</v>
      </c>
      <c r="N158" s="7">
        <v>175.75848168043106</v>
      </c>
      <c r="O158" s="7">
        <v>14.326527274500979</v>
      </c>
    </row>
    <row r="159" spans="1:15">
      <c r="A159" s="13" t="s">
        <v>40</v>
      </c>
      <c r="B159" s="7">
        <v>177877.95474364699</v>
      </c>
      <c r="C159" s="8">
        <v>49059.631313149301</v>
      </c>
      <c r="D159" s="7">
        <v>1390.6522453852899</v>
      </c>
      <c r="E159" s="9">
        <v>163.891501139517</v>
      </c>
      <c r="F159" s="7">
        <v>393.60915913005601</v>
      </c>
      <c r="G159" s="10">
        <v>93.403772512641595</v>
      </c>
      <c r="H159" s="10">
        <v>165.065832405235</v>
      </c>
      <c r="I159" s="10">
        <v>86.696838209604906</v>
      </c>
      <c r="J159" s="10">
        <v>6.5090794217436203</v>
      </c>
      <c r="K159" s="10">
        <v>3.86756164977532</v>
      </c>
      <c r="L159" s="7">
        <v>271.505794386665</v>
      </c>
      <c r="M159" s="10">
        <v>50.2458444435714</v>
      </c>
      <c r="N159" s="7">
        <v>190.27142156440948</v>
      </c>
      <c r="O159" s="7">
        <v>12.379018797422992</v>
      </c>
    </row>
    <row r="160" spans="1:15">
      <c r="A160" s="13" t="s">
        <v>71</v>
      </c>
      <c r="B160" s="7">
        <v>142734.105400503</v>
      </c>
      <c r="C160" s="8">
        <v>48653.902199276097</v>
      </c>
      <c r="D160" s="7">
        <v>1637.9675313431601</v>
      </c>
      <c r="E160" s="9">
        <v>143.10574770889301</v>
      </c>
      <c r="F160" s="7">
        <v>383.23169448313899</v>
      </c>
      <c r="G160" s="10">
        <v>61.868109992565202</v>
      </c>
      <c r="H160" s="10">
        <v>65.788853392812996</v>
      </c>
      <c r="I160" s="10">
        <v>163.71112733187999</v>
      </c>
      <c r="J160" s="10">
        <v>1.17924880646076</v>
      </c>
      <c r="K160" s="10">
        <v>50.577233817011603</v>
      </c>
      <c r="L160" s="7">
        <v>449.57454229156502</v>
      </c>
      <c r="M160" s="10">
        <v>78.901376299309305</v>
      </c>
      <c r="N160" s="7">
        <v>195.27468302879618</v>
      </c>
      <c r="O160" s="7">
        <v>11.707625255326983</v>
      </c>
    </row>
    <row r="161" spans="1:15">
      <c r="A161" s="13" t="s">
        <v>71</v>
      </c>
      <c r="B161" s="7">
        <v>149927.04354713799</v>
      </c>
      <c r="C161" s="8">
        <v>66368.567819714503</v>
      </c>
      <c r="D161" s="7">
        <v>2020.3836323354401</v>
      </c>
      <c r="E161" s="7">
        <v>218.68500408652</v>
      </c>
      <c r="F161" s="7">
        <v>16971.234326052901</v>
      </c>
      <c r="G161" s="10">
        <v>37.0433823072322</v>
      </c>
      <c r="H161" s="10">
        <v>1457.81062305614</v>
      </c>
      <c r="I161" s="7">
        <v>453.13740176539199</v>
      </c>
      <c r="J161" s="10">
        <v>0.54595424717934704</v>
      </c>
      <c r="K161" s="10">
        <v>124.998649153122</v>
      </c>
      <c r="L161" s="7">
        <v>468.61191498950001</v>
      </c>
      <c r="M161" s="10">
        <v>265.67554997814699</v>
      </c>
      <c r="N161" s="7">
        <v>171.00739805582791</v>
      </c>
      <c r="O161" s="7">
        <v>14.964080775596624</v>
      </c>
    </row>
    <row r="162" spans="1:15">
      <c r="A162" s="13" t="s">
        <v>72</v>
      </c>
      <c r="B162" s="7">
        <v>143704.29424790799</v>
      </c>
      <c r="C162" s="8">
        <v>41546.526267865098</v>
      </c>
      <c r="D162" s="7">
        <v>1363.5020756440399</v>
      </c>
      <c r="E162" s="9">
        <v>195.67333189250201</v>
      </c>
      <c r="F162" s="7">
        <v>636.4887307258</v>
      </c>
      <c r="G162" s="10">
        <v>154.115700443333</v>
      </c>
      <c r="H162" s="10">
        <v>56.3419773947561</v>
      </c>
      <c r="I162" s="10">
        <v>105.013401167052</v>
      </c>
      <c r="J162" s="10">
        <v>1.75822753293763</v>
      </c>
      <c r="K162" s="10">
        <v>9.6971838007529598</v>
      </c>
      <c r="L162" s="7">
        <v>305.29106249819603</v>
      </c>
      <c r="M162" s="10">
        <v>60.175058871313603</v>
      </c>
      <c r="N162" s="7">
        <v>188.60493330551068</v>
      </c>
      <c r="O162" s="7">
        <v>12.602646817459046</v>
      </c>
    </row>
    <row r="163" spans="1:15">
      <c r="A163" s="13" t="s">
        <v>72</v>
      </c>
      <c r="B163" s="7">
        <v>155412.40769287499</v>
      </c>
      <c r="C163" s="8">
        <v>72849.916842706705</v>
      </c>
      <c r="D163" s="7">
        <v>2474.8792213696302</v>
      </c>
      <c r="E163" s="9">
        <v>123.253629281225</v>
      </c>
      <c r="F163" s="7">
        <v>483.80093104870002</v>
      </c>
      <c r="G163" s="10">
        <v>59.1722663471052</v>
      </c>
      <c r="H163" s="10">
        <v>153.34003417858199</v>
      </c>
      <c r="I163" s="10">
        <v>137.326315966208</v>
      </c>
      <c r="J163" s="10">
        <v>0.36103687377000698</v>
      </c>
      <c r="K163" s="10">
        <v>127.71903838303101</v>
      </c>
      <c r="L163" s="7">
        <v>589.35276566024595</v>
      </c>
      <c r="M163" s="10">
        <v>2078.7039364792599</v>
      </c>
      <c r="N163" s="7">
        <v>185.74164023073814</v>
      </c>
      <c r="O163" s="7">
        <v>12.98687548374286</v>
      </c>
    </row>
    <row r="164" spans="1:15">
      <c r="A164" s="13" t="s">
        <v>73</v>
      </c>
      <c r="B164" s="7">
        <v>158570.035391782</v>
      </c>
      <c r="C164" s="8">
        <v>45569.859817360797</v>
      </c>
      <c r="D164" s="7">
        <v>1462.9988855931001</v>
      </c>
      <c r="E164" s="9">
        <v>105.07509614134599</v>
      </c>
      <c r="F164" s="10">
        <v>86.123265023380696</v>
      </c>
      <c r="G164" s="10">
        <v>22.472398275225299</v>
      </c>
      <c r="H164" s="10">
        <v>37.446374973450197</v>
      </c>
      <c r="I164" s="10">
        <v>67.816055653322806</v>
      </c>
      <c r="J164" s="10">
        <v>8.25830521863943E-3</v>
      </c>
      <c r="K164" s="10">
        <v>7.1290403866258396</v>
      </c>
      <c r="L164" s="10">
        <v>158.787854556935</v>
      </c>
      <c r="M164" s="10">
        <v>43.1176117008538</v>
      </c>
      <c r="N164" s="7">
        <v>182.47022701983377</v>
      </c>
      <c r="O164" s="7">
        <v>13.425870271235542</v>
      </c>
    </row>
    <row r="165" spans="1:15">
      <c r="A165" s="13" t="s">
        <v>73</v>
      </c>
      <c r="B165" s="7">
        <v>163125.51394738999</v>
      </c>
      <c r="C165" s="8">
        <v>64137.227283687404</v>
      </c>
      <c r="D165" s="7">
        <v>1961.08424486221</v>
      </c>
      <c r="E165" s="9">
        <v>180.10283646001</v>
      </c>
      <c r="F165" s="7">
        <v>155.87191429115001</v>
      </c>
      <c r="G165" s="10">
        <v>18.079906421614201</v>
      </c>
      <c r="H165" s="10">
        <v>127.04082632538299</v>
      </c>
      <c r="I165" s="10">
        <v>111.18270517232899</v>
      </c>
      <c r="J165" s="10">
        <v>5.0545115018748199E-2</v>
      </c>
      <c r="K165" s="10">
        <v>23.970429879340902</v>
      </c>
      <c r="L165" s="10">
        <v>186.71141248986299</v>
      </c>
      <c r="M165" s="10">
        <v>67.559922428040394</v>
      </c>
      <c r="N165" s="7">
        <v>193.05040809696089</v>
      </c>
      <c r="O165" s="7">
        <v>12.006103325223998</v>
      </c>
    </row>
    <row r="166" spans="1:15">
      <c r="A166" s="13" t="s">
        <v>42</v>
      </c>
      <c r="B166" s="7">
        <v>155344.77022402099</v>
      </c>
      <c r="C166" s="8">
        <v>30324.470085403002</v>
      </c>
      <c r="D166" s="7">
        <v>1788.1076207925</v>
      </c>
      <c r="E166" s="9">
        <v>114.950870909922</v>
      </c>
      <c r="F166" s="7">
        <v>1336.5122085422399</v>
      </c>
      <c r="G166" s="7">
        <v>3205.96203928974</v>
      </c>
      <c r="H166" s="10">
        <v>21.349164239698801</v>
      </c>
      <c r="I166" s="7">
        <v>3762.6863661679399</v>
      </c>
      <c r="J166" s="10">
        <v>10.348348477970999</v>
      </c>
      <c r="K166" s="10" t="s">
        <v>18</v>
      </c>
      <c r="L166" s="10">
        <v>199.996022986208</v>
      </c>
      <c r="M166" s="10">
        <v>0.38144174991232299</v>
      </c>
      <c r="N166" s="7">
        <v>161.41286809799507</v>
      </c>
      <c r="O166" s="7">
        <v>16.251582038320514</v>
      </c>
    </row>
    <row r="167" spans="1:15">
      <c r="A167" s="13" t="s">
        <v>43</v>
      </c>
      <c r="B167" s="7">
        <v>167612.871144078</v>
      </c>
      <c r="C167" s="8">
        <v>32429.7086087096</v>
      </c>
      <c r="D167" s="7">
        <v>2079.4339316535602</v>
      </c>
      <c r="E167" s="9">
        <v>139.097613380875</v>
      </c>
      <c r="F167" s="7">
        <v>1474.8158306411799</v>
      </c>
      <c r="G167" s="7">
        <v>1710.102638929</v>
      </c>
      <c r="H167" s="10">
        <v>107.69126446198</v>
      </c>
      <c r="I167" s="7">
        <v>1030.0951546620799</v>
      </c>
      <c r="J167" s="10">
        <v>5.5339486713253896</v>
      </c>
      <c r="K167" s="10">
        <v>2.73381993888998</v>
      </c>
      <c r="L167" s="10">
        <v>201.426202792997</v>
      </c>
      <c r="M167" s="10">
        <v>53.952867853747399</v>
      </c>
      <c r="N167" s="7">
        <v>149.58743529010471</v>
      </c>
      <c r="O167" s="7">
        <v>17.838450779085214</v>
      </c>
    </row>
    <row r="168" spans="1:15">
      <c r="A168" s="13" t="s">
        <v>45</v>
      </c>
      <c r="B168" s="7">
        <v>118586.602841734</v>
      </c>
      <c r="C168" s="8">
        <v>20723.888598669098</v>
      </c>
      <c r="D168" s="7">
        <v>1135.4538120285299</v>
      </c>
      <c r="E168" s="7">
        <v>596.56039024187703</v>
      </c>
      <c r="F168" s="7">
        <v>500.49131062935101</v>
      </c>
      <c r="G168" s="7">
        <v>312.47308283363401</v>
      </c>
      <c r="H168" s="10">
        <v>9.59331170018927</v>
      </c>
      <c r="I168" s="10">
        <v>103.34538171025299</v>
      </c>
      <c r="J168" s="10">
        <v>0.87186334443909996</v>
      </c>
      <c r="K168" s="10">
        <v>0.33692061227334302</v>
      </c>
      <c r="L168" s="10">
        <v>216.23619309224301</v>
      </c>
      <c r="M168" s="10">
        <v>1.9660907170492601</v>
      </c>
      <c r="N168" s="7">
        <v>195.64657505234712</v>
      </c>
      <c r="O168" s="7">
        <v>11.657720627166654</v>
      </c>
    </row>
    <row r="169" spans="1:15">
      <c r="A169" s="13" t="s">
        <v>46</v>
      </c>
      <c r="B169" s="7">
        <v>131037.106090396</v>
      </c>
      <c r="C169" s="8">
        <v>67569.753194039804</v>
      </c>
      <c r="D169" s="7">
        <v>1384.22553483191</v>
      </c>
      <c r="E169" s="9">
        <v>117.414099121463</v>
      </c>
      <c r="F169" s="7">
        <v>665.09423561232404</v>
      </c>
      <c r="G169" s="10">
        <v>1.5942201136446601</v>
      </c>
      <c r="H169" s="10">
        <v>293.07450751078801</v>
      </c>
      <c r="I169" s="7">
        <v>273.17076395364597</v>
      </c>
      <c r="J169" s="10">
        <v>5.4849812606777897E-2</v>
      </c>
      <c r="K169" s="10">
        <v>9.4675430516157508</v>
      </c>
      <c r="L169" s="10">
        <v>171.46507733270801</v>
      </c>
      <c r="M169" s="10">
        <v>81.350838146733196</v>
      </c>
      <c r="N169" s="7">
        <v>208.94874101166434</v>
      </c>
      <c r="O169" s="7">
        <v>9.8726873274788662</v>
      </c>
    </row>
    <row r="170" spans="1:15">
      <c r="A170" s="13" t="s">
        <v>46</v>
      </c>
      <c r="B170" s="7">
        <v>131803.03806761399</v>
      </c>
      <c r="C170" s="8">
        <v>53326.321241318699</v>
      </c>
      <c r="D170" s="7">
        <v>1247.9157383209699</v>
      </c>
      <c r="E170" s="9">
        <v>83.440119750619004</v>
      </c>
      <c r="F170" s="10">
        <v>28.679845111155</v>
      </c>
      <c r="G170" s="10">
        <v>7.1971305242602499</v>
      </c>
      <c r="H170" s="10">
        <v>8.2470023336148497</v>
      </c>
      <c r="I170" s="10">
        <v>77.587506390597198</v>
      </c>
      <c r="J170" s="10">
        <v>7.5690945263591604E-3</v>
      </c>
      <c r="K170" s="10">
        <v>7.6133684664660297</v>
      </c>
      <c r="L170" s="10">
        <v>132.141134109017</v>
      </c>
      <c r="M170" s="10">
        <v>68.858939904685997</v>
      </c>
      <c r="N170" s="7">
        <v>214.38673490650524</v>
      </c>
      <c r="O170" s="7">
        <v>9.1429565290902897</v>
      </c>
    </row>
    <row r="171" spans="1:15">
      <c r="A171" s="13" t="s">
        <v>46</v>
      </c>
      <c r="B171" s="7">
        <v>132767.94762695301</v>
      </c>
      <c r="C171" s="8">
        <v>74054.224731844603</v>
      </c>
      <c r="D171" s="7">
        <v>1633.0210927298899</v>
      </c>
      <c r="E171" s="9">
        <v>149.319423441927</v>
      </c>
      <c r="F171" s="10">
        <v>60.444368052415101</v>
      </c>
      <c r="G171" s="10">
        <v>10.638049778895899</v>
      </c>
      <c r="H171" s="10">
        <v>19.1164625939135</v>
      </c>
      <c r="I171" s="10">
        <v>43.212679819231901</v>
      </c>
      <c r="J171" s="10" t="s">
        <v>18</v>
      </c>
      <c r="K171" s="10">
        <v>0.49540239696848198</v>
      </c>
      <c r="L171" s="10">
        <v>171.67860465834201</v>
      </c>
      <c r="M171" s="10">
        <v>24.8216352794038</v>
      </c>
      <c r="N171" s="7">
        <v>212.17988752955378</v>
      </c>
      <c r="O171" s="7">
        <v>9.4390959748944372</v>
      </c>
    </row>
    <row r="172" spans="1:15">
      <c r="A172" s="13" t="s">
        <v>47</v>
      </c>
      <c r="B172" s="7">
        <v>126847.54723785901</v>
      </c>
      <c r="C172" s="8">
        <v>42972.860419566801</v>
      </c>
      <c r="D172" s="7">
        <v>1212.8072548750099</v>
      </c>
      <c r="E172" s="9">
        <v>78.056979756319393</v>
      </c>
      <c r="F172" s="7">
        <v>259.36643032179802</v>
      </c>
      <c r="G172" s="10">
        <v>122.961791095507</v>
      </c>
      <c r="H172" s="10">
        <v>40.980009025337601</v>
      </c>
      <c r="I172" s="10">
        <v>100.20785600817</v>
      </c>
      <c r="J172" s="10">
        <v>3.3988989185397701E-2</v>
      </c>
      <c r="K172" s="10">
        <v>27.7055840474093</v>
      </c>
      <c r="L172" s="10">
        <v>122.21291157378199</v>
      </c>
      <c r="M172" s="10">
        <v>35.903171629929801</v>
      </c>
      <c r="N172" s="7">
        <v>164.33198522974541</v>
      </c>
      <c r="O172" s="7">
        <v>15.859862276155486</v>
      </c>
    </row>
    <row r="173" spans="1:15">
      <c r="A173" s="13" t="s">
        <v>47</v>
      </c>
      <c r="B173" s="7">
        <v>127770.372275507</v>
      </c>
      <c r="C173" s="8">
        <v>52576.265962374302</v>
      </c>
      <c r="D173" s="7">
        <v>1154.75904468882</v>
      </c>
      <c r="E173" s="9">
        <v>117.44022650636499</v>
      </c>
      <c r="F173" s="10">
        <v>195.339271219811</v>
      </c>
      <c r="G173" s="10">
        <v>11.8760982538919</v>
      </c>
      <c r="H173" s="10">
        <v>77.299220963948002</v>
      </c>
      <c r="I173" s="10">
        <v>73.937817601076802</v>
      </c>
      <c r="J173" s="10">
        <v>2.7086948776948198E-3</v>
      </c>
      <c r="K173" s="10">
        <v>6.1991719413546003</v>
      </c>
      <c r="L173" s="10">
        <v>117.056763414844</v>
      </c>
      <c r="M173" s="10">
        <v>18.003596692803701</v>
      </c>
      <c r="N173" s="7">
        <v>179.45370767357406</v>
      </c>
      <c r="O173" s="7">
        <v>13.83066055115642</v>
      </c>
    </row>
    <row r="174" spans="1:15">
      <c r="A174" s="13" t="s">
        <v>49</v>
      </c>
      <c r="B174" s="7">
        <v>194905.03859253699</v>
      </c>
      <c r="C174" s="8">
        <v>5096.78435854081</v>
      </c>
      <c r="D174" s="7">
        <v>1736.9089108482499</v>
      </c>
      <c r="E174" s="7">
        <v>838.34431561917904</v>
      </c>
      <c r="F174" s="7">
        <v>3140.6429618359498</v>
      </c>
      <c r="G174" s="7">
        <v>2108.7236637614101</v>
      </c>
      <c r="H174" s="10">
        <v>552.81567785760899</v>
      </c>
      <c r="I174" s="10">
        <v>99.715119262006297</v>
      </c>
      <c r="J174" s="10">
        <v>1.3834907686670399</v>
      </c>
      <c r="K174" s="10">
        <v>0.38088304783425903</v>
      </c>
      <c r="L174" s="7">
        <v>481.259924867981</v>
      </c>
      <c r="M174" s="10">
        <v>15.169381293164699</v>
      </c>
      <c r="N174" s="7">
        <v>102.25869997951737</v>
      </c>
      <c r="O174" s="7">
        <v>24.189549451277998</v>
      </c>
    </row>
    <row r="175" spans="1:15">
      <c r="A175" s="13" t="s">
        <v>49</v>
      </c>
      <c r="B175" s="7">
        <v>199715.349608869</v>
      </c>
      <c r="C175" s="8">
        <v>4357.70876394273</v>
      </c>
      <c r="D175" s="7">
        <v>1657.34797691125</v>
      </c>
      <c r="E175" s="7">
        <v>883.84766666001099</v>
      </c>
      <c r="F175" s="7">
        <v>1601.28359262352</v>
      </c>
      <c r="G175" s="7">
        <v>1510.9331536024699</v>
      </c>
      <c r="H175" s="10">
        <v>104.63926507627301</v>
      </c>
      <c r="I175" s="10">
        <v>36.997031196318197</v>
      </c>
      <c r="J175" s="10">
        <v>2.0936581672689099</v>
      </c>
      <c r="K175" s="10">
        <v>0.15031167907814799</v>
      </c>
      <c r="L175" s="7">
        <v>470.85050707844402</v>
      </c>
      <c r="M175" s="10">
        <v>7.6833355390641902</v>
      </c>
      <c r="N175" s="7">
        <v>125.84466127748468</v>
      </c>
      <c r="O175" s="7">
        <v>21.024521556514003</v>
      </c>
    </row>
    <row r="176" spans="1:15">
      <c r="A176" s="13" t="s">
        <v>74</v>
      </c>
      <c r="B176" s="7">
        <v>207562.391008198</v>
      </c>
      <c r="C176" s="8">
        <v>5314.23174939213</v>
      </c>
      <c r="D176" s="7">
        <v>1712.2605991518799</v>
      </c>
      <c r="E176" s="7">
        <v>503.43259970339301</v>
      </c>
      <c r="F176" s="7">
        <v>4036.0937955221002</v>
      </c>
      <c r="G176" s="7">
        <v>2836.0462330381602</v>
      </c>
      <c r="H176" s="10">
        <v>687.80411209340105</v>
      </c>
      <c r="I176" s="10">
        <v>102.4545099245</v>
      </c>
      <c r="J176" s="10">
        <v>1.53443364200055</v>
      </c>
      <c r="K176" s="10">
        <v>3.5249506032018498</v>
      </c>
      <c r="L176" s="7">
        <v>501.26933733076999</v>
      </c>
      <c r="M176" s="10">
        <v>21.3460624061318</v>
      </c>
      <c r="N176" s="7">
        <v>91.953152373127665</v>
      </c>
      <c r="O176" s="7">
        <v>25.57246300875309</v>
      </c>
    </row>
    <row r="177" spans="1:15">
      <c r="A177" s="13" t="s">
        <v>75</v>
      </c>
      <c r="B177" s="7">
        <v>208540.16087558601</v>
      </c>
      <c r="C177" s="8">
        <v>4582.7422389741096</v>
      </c>
      <c r="D177" s="7">
        <v>1779.54363695251</v>
      </c>
      <c r="E177" s="7">
        <v>851.19456929868102</v>
      </c>
      <c r="F177" s="7">
        <v>2239.8780606322798</v>
      </c>
      <c r="G177" s="7">
        <v>1306.08361300774</v>
      </c>
      <c r="H177" s="10">
        <v>502.23154607146</v>
      </c>
      <c r="I177" s="10">
        <v>95.028336116270793</v>
      </c>
      <c r="J177" s="10">
        <v>0.53204162003572497</v>
      </c>
      <c r="K177" s="10">
        <v>3.4306036639360702</v>
      </c>
      <c r="L177" s="7">
        <v>504.28720462575097</v>
      </c>
      <c r="M177" s="10">
        <v>76.320319597846705</v>
      </c>
      <c r="N177" s="7">
        <v>101.96740932968838</v>
      </c>
      <c r="O177" s="7">
        <v>24.228638086273435</v>
      </c>
    </row>
    <row r="178" spans="1:15">
      <c r="A178" s="13" t="s">
        <v>74</v>
      </c>
      <c r="B178" s="7">
        <v>210667.84622239001</v>
      </c>
      <c r="C178" s="8">
        <v>5458.3090240049496</v>
      </c>
      <c r="D178" s="7">
        <v>1820.1600361963799</v>
      </c>
      <c r="E178" s="7">
        <v>804.96425635401704</v>
      </c>
      <c r="F178" s="7">
        <v>2438.2534857402502</v>
      </c>
      <c r="G178" s="7">
        <v>884.26334351086803</v>
      </c>
      <c r="H178" s="10">
        <v>805.56772124593397</v>
      </c>
      <c r="I178" s="10">
        <v>85.552231724315007</v>
      </c>
      <c r="J178" s="10">
        <v>0.84117363638380804</v>
      </c>
      <c r="K178" s="10">
        <v>6.2621203858510501</v>
      </c>
      <c r="L178" s="7">
        <v>517.03359875551405</v>
      </c>
      <c r="M178" s="10">
        <v>13.8136119593595</v>
      </c>
      <c r="N178" s="7">
        <v>106.3841910453563</v>
      </c>
      <c r="O178" s="7">
        <v>23.635944951634173</v>
      </c>
    </row>
    <row r="179" spans="1:15">
      <c r="A179" s="13" t="s">
        <v>76</v>
      </c>
      <c r="B179" s="7">
        <v>194439.262232443</v>
      </c>
      <c r="C179" s="8">
        <v>28282.825619007901</v>
      </c>
      <c r="D179" s="7">
        <v>1522.67238025092</v>
      </c>
      <c r="E179" s="7">
        <v>300.355790198232</v>
      </c>
      <c r="F179" s="7">
        <v>382.02744990347702</v>
      </c>
      <c r="G179" s="7">
        <v>313.38190113185698</v>
      </c>
      <c r="H179" s="10">
        <v>2.2065359604275701</v>
      </c>
      <c r="I179" s="10">
        <v>95.817788928435107</v>
      </c>
      <c r="J179" s="10">
        <v>5.1884750214667399</v>
      </c>
      <c r="K179" s="10">
        <v>31.7033582113541</v>
      </c>
      <c r="L179" s="7">
        <v>267.684504157964</v>
      </c>
      <c r="M179" s="10">
        <v>125.144712549467</v>
      </c>
      <c r="N179" s="7">
        <v>221.69623852053303</v>
      </c>
      <c r="O179" s="7">
        <v>8.1620856397078825</v>
      </c>
    </row>
    <row r="180" spans="1:15">
      <c r="A180" s="13" t="s">
        <v>76</v>
      </c>
      <c r="B180" s="7">
        <v>180339.450332623</v>
      </c>
      <c r="C180" s="8">
        <v>4835.0496605295502</v>
      </c>
      <c r="D180" s="7">
        <v>1387.4870477847101</v>
      </c>
      <c r="E180" s="7">
        <v>661.73273427586605</v>
      </c>
      <c r="F180" s="7">
        <v>1455.5450147607901</v>
      </c>
      <c r="G180" s="7">
        <v>475.13644656323203</v>
      </c>
      <c r="H180" s="10">
        <v>401.22862826912899</v>
      </c>
      <c r="I180" s="10">
        <v>149.79026033582599</v>
      </c>
      <c r="J180" s="10">
        <v>3.8181617485094002</v>
      </c>
      <c r="K180" s="10">
        <v>8.1154876709529393</v>
      </c>
      <c r="L180" s="7">
        <v>291.20759484867602</v>
      </c>
      <c r="M180" s="10">
        <v>105.994977349444</v>
      </c>
      <c r="N180" s="7">
        <v>125.81700815120369</v>
      </c>
      <c r="O180" s="7">
        <v>21.028232362062738</v>
      </c>
    </row>
    <row r="181" spans="1:15">
      <c r="A181" s="13" t="s">
        <v>76</v>
      </c>
      <c r="B181" s="7">
        <v>234200.859452857</v>
      </c>
      <c r="C181" s="8">
        <v>44314.784645750296</v>
      </c>
      <c r="D181" s="7">
        <v>1620.4888779540599</v>
      </c>
      <c r="E181" s="7">
        <v>636.04307947019402</v>
      </c>
      <c r="F181" s="7">
        <v>1870.3476043770099</v>
      </c>
      <c r="G181" s="7">
        <v>570.91238047705804</v>
      </c>
      <c r="H181" s="10">
        <v>551.104947791835</v>
      </c>
      <c r="I181" s="10">
        <v>147.48607674950901</v>
      </c>
      <c r="J181" s="10">
        <v>3.3433646486445499</v>
      </c>
      <c r="K181" s="10">
        <v>10.7878489398899</v>
      </c>
      <c r="L181" s="7">
        <v>301.88897821427702</v>
      </c>
      <c r="M181" s="10">
        <v>95.936045320810905</v>
      </c>
      <c r="N181" s="7">
        <v>163.25964015063266</v>
      </c>
      <c r="O181" s="7">
        <v>16.003761523904071</v>
      </c>
    </row>
    <row r="182" spans="1:15">
      <c r="A182" s="13" t="s">
        <v>77</v>
      </c>
      <c r="B182" s="7">
        <v>204811.52366345201</v>
      </c>
      <c r="C182" s="8">
        <v>37513.239730647903</v>
      </c>
      <c r="D182" s="7">
        <v>1938.88389765185</v>
      </c>
      <c r="E182" s="9">
        <v>286.59864694594501</v>
      </c>
      <c r="F182" s="7">
        <v>4072.6261130039602</v>
      </c>
      <c r="G182" s="7">
        <v>1175.3502319601</v>
      </c>
      <c r="H182" s="10">
        <v>72.662595226860901</v>
      </c>
      <c r="I182" s="10">
        <v>66.296761694632195</v>
      </c>
      <c r="J182" s="10">
        <v>69.0013207628229</v>
      </c>
      <c r="K182" s="10">
        <v>21.4987263762652</v>
      </c>
      <c r="L182" s="10">
        <v>185.193630734132</v>
      </c>
      <c r="M182" s="10">
        <v>86.311685329637996</v>
      </c>
      <c r="N182" s="7">
        <v>183.30657738676996</v>
      </c>
      <c r="O182" s="7">
        <v>13.313639431554767</v>
      </c>
    </row>
    <row r="183" spans="1:15">
      <c r="A183" s="13" t="s">
        <v>77</v>
      </c>
      <c r="B183" s="7">
        <v>183733.93041716001</v>
      </c>
      <c r="C183" s="8">
        <v>3494.8573150335601</v>
      </c>
      <c r="D183" s="7">
        <v>1515.9422180598301</v>
      </c>
      <c r="E183" s="7">
        <v>920.82350559552901</v>
      </c>
      <c r="F183" s="7">
        <v>1542.44209170761</v>
      </c>
      <c r="G183" s="7">
        <v>706.04117355149504</v>
      </c>
      <c r="H183" s="10">
        <v>368.66509093696999</v>
      </c>
      <c r="I183" s="10">
        <v>110.979145197694</v>
      </c>
      <c r="J183" s="10">
        <v>0.84336493950097802</v>
      </c>
      <c r="K183" s="10">
        <v>1.23242259412942</v>
      </c>
      <c r="L183" s="7">
        <v>241.70165035765999</v>
      </c>
      <c r="M183" s="10">
        <v>53.3592188020815</v>
      </c>
      <c r="N183" s="7">
        <v>110.93604963153358</v>
      </c>
      <c r="O183" s="7">
        <v>23.025125692827295</v>
      </c>
    </row>
    <row r="184" spans="1:15">
      <c r="A184" s="13" t="s">
        <v>77</v>
      </c>
      <c r="B184" s="7">
        <v>187888.125559384</v>
      </c>
      <c r="C184" s="8">
        <v>4276.6591660020904</v>
      </c>
      <c r="D184" s="7">
        <v>1727.8530659067801</v>
      </c>
      <c r="E184" s="7">
        <v>781.33817153242899</v>
      </c>
      <c r="F184" s="7">
        <v>2859.4461013588998</v>
      </c>
      <c r="G184" s="7">
        <v>2345.10731024399</v>
      </c>
      <c r="H184" s="10">
        <v>235.98665095345299</v>
      </c>
      <c r="I184" s="10">
        <v>152.55256671280699</v>
      </c>
      <c r="J184" s="10">
        <v>2.4421637770213298</v>
      </c>
      <c r="K184" s="10">
        <v>5.7889865940336103</v>
      </c>
      <c r="L184" s="7">
        <v>401.85495022510901</v>
      </c>
      <c r="M184" s="10">
        <v>76.602997481286593</v>
      </c>
      <c r="N184" s="7">
        <v>109.9688983926643</v>
      </c>
      <c r="O184" s="7">
        <v>23.154908855396151</v>
      </c>
    </row>
    <row r="185" spans="1:15">
      <c r="A185" s="13" t="s">
        <v>50</v>
      </c>
      <c r="B185" s="7">
        <v>174257.86776132401</v>
      </c>
      <c r="C185" s="8">
        <v>26473.730243331102</v>
      </c>
      <c r="D185" s="7">
        <v>1054.2606513788301</v>
      </c>
      <c r="E185" s="9">
        <v>38.134941152668397</v>
      </c>
      <c r="F185" s="10">
        <v>167.907896665923</v>
      </c>
      <c r="G185" s="10">
        <v>31.511256897982499</v>
      </c>
      <c r="H185" s="10">
        <v>3.1771200523184602</v>
      </c>
      <c r="I185" s="10">
        <v>81.187995685948806</v>
      </c>
      <c r="J185" s="10">
        <v>1.2424493921908499</v>
      </c>
      <c r="K185" s="10">
        <v>21.861150692466499</v>
      </c>
      <c r="L185" s="10">
        <v>151.030005480113</v>
      </c>
      <c r="M185" s="10">
        <v>51.7096170866851</v>
      </c>
      <c r="N185" s="7">
        <v>213.26398161097475</v>
      </c>
      <c r="O185" s="7">
        <v>9.2936201147037547</v>
      </c>
    </row>
    <row r="186" spans="1:15">
      <c r="A186" s="13" t="s">
        <v>50</v>
      </c>
      <c r="B186" s="7">
        <v>168619.581025594</v>
      </c>
      <c r="C186" s="8">
        <v>27550.546076185299</v>
      </c>
      <c r="D186" s="7">
        <v>956.44535374312397</v>
      </c>
      <c r="E186" s="9">
        <v>44.421722140736001</v>
      </c>
      <c r="F186" s="10">
        <v>91.467134978968701</v>
      </c>
      <c r="G186" s="10">
        <v>22.722778268206199</v>
      </c>
      <c r="H186" s="10" t="s">
        <v>18</v>
      </c>
      <c r="I186" s="10">
        <v>63.370941497132897</v>
      </c>
      <c r="J186" s="10">
        <v>1.0089026502913401</v>
      </c>
      <c r="K186" s="10">
        <v>19.856215679937399</v>
      </c>
      <c r="L186" s="10">
        <v>132.772140121381</v>
      </c>
      <c r="M186" s="10">
        <v>42.700698082457997</v>
      </c>
      <c r="N186" s="7">
        <v>221.28475079204483</v>
      </c>
      <c r="O186" s="7">
        <v>8.217303662096926</v>
      </c>
    </row>
    <row r="187" spans="1:15">
      <c r="A187" s="13" t="s">
        <v>78</v>
      </c>
      <c r="B187" s="7">
        <v>168834.63556065</v>
      </c>
      <c r="C187" s="8">
        <v>33758.723087011997</v>
      </c>
      <c r="D187" s="7">
        <v>1154.3170241160401</v>
      </c>
      <c r="E187" s="9">
        <v>37.9387229989172</v>
      </c>
      <c r="F187" s="10">
        <v>169.33072871735999</v>
      </c>
      <c r="G187" s="10">
        <v>13.2457163753032</v>
      </c>
      <c r="H187" s="10">
        <v>13.1901368889592</v>
      </c>
      <c r="I187" s="10">
        <v>79.708894807265693</v>
      </c>
      <c r="J187" s="10">
        <v>0.12647723224121499</v>
      </c>
      <c r="K187" s="10">
        <v>13.3509257780883</v>
      </c>
      <c r="L187" s="10">
        <v>102.375744538799</v>
      </c>
      <c r="M187" s="10">
        <v>63.959899930358397</v>
      </c>
      <c r="N187" s="7">
        <v>199.00743362853228</v>
      </c>
      <c r="O187" s="7">
        <v>11.206723060877099</v>
      </c>
    </row>
    <row r="188" spans="1:15">
      <c r="A188" s="13" t="s">
        <v>78</v>
      </c>
      <c r="B188" s="7">
        <v>175237.67370710801</v>
      </c>
      <c r="C188" s="8">
        <v>42114.0539318636</v>
      </c>
      <c r="D188" s="7">
        <v>1270.2921864295099</v>
      </c>
      <c r="E188" s="9">
        <v>42.170473685070696</v>
      </c>
      <c r="F188" s="10">
        <v>58.6978881128449</v>
      </c>
      <c r="G188" s="10">
        <v>14.1273937120447</v>
      </c>
      <c r="H188" s="10" t="s">
        <v>18</v>
      </c>
      <c r="I188" s="10">
        <v>54.725315893694997</v>
      </c>
      <c r="J188" s="10">
        <v>2.3231048563180701E-2</v>
      </c>
      <c r="K188" s="10">
        <v>13.541389480052899</v>
      </c>
      <c r="L188" s="10">
        <v>95.418346590114794</v>
      </c>
      <c r="M188" s="10">
        <v>34.548850717762598</v>
      </c>
      <c r="N188" s="7">
        <v>209.60930562777619</v>
      </c>
      <c r="O188" s="7">
        <v>9.7840453845079729</v>
      </c>
    </row>
    <row r="189" spans="1:15">
      <c r="A189" s="13" t="s">
        <v>78</v>
      </c>
      <c r="B189" s="7">
        <v>181398.26470081799</v>
      </c>
      <c r="C189" s="8">
        <v>50357.452086103302</v>
      </c>
      <c r="D189" s="7">
        <v>1446.30020347202</v>
      </c>
      <c r="E189" s="9">
        <v>56.5979387461432</v>
      </c>
      <c r="F189" s="7">
        <v>368.82905958817503</v>
      </c>
      <c r="G189" s="10">
        <v>13.0914723004639</v>
      </c>
      <c r="H189" s="10">
        <v>22.285676086038801</v>
      </c>
      <c r="I189" s="10">
        <v>47.135342902783997</v>
      </c>
      <c r="J189" s="10" t="s">
        <v>18</v>
      </c>
      <c r="K189" s="10">
        <v>6.6044551885601601</v>
      </c>
      <c r="L189" s="10">
        <v>99.6279683388546</v>
      </c>
      <c r="M189" s="10">
        <v>30.416788715629998</v>
      </c>
      <c r="N189" s="7">
        <v>200.35813445935335</v>
      </c>
      <c r="O189" s="7">
        <v>11.025470927329422</v>
      </c>
    </row>
    <row r="190" spans="1:15">
      <c r="A190" s="13" t="s">
        <v>78</v>
      </c>
      <c r="B190" s="7">
        <v>189843.00441951599</v>
      </c>
      <c r="C190" s="8">
        <v>53783.302640565002</v>
      </c>
      <c r="D190" s="7">
        <v>1474.32610507246</v>
      </c>
      <c r="E190" s="9">
        <v>56.900854593127001</v>
      </c>
      <c r="F190" s="7">
        <v>4988.8281763060004</v>
      </c>
      <c r="G190" s="10">
        <v>14.146433593488601</v>
      </c>
      <c r="H190" s="10">
        <v>31.080099896228401</v>
      </c>
      <c r="I190" s="10">
        <v>59.689811513617101</v>
      </c>
      <c r="J190" s="10" t="s">
        <v>18</v>
      </c>
      <c r="K190" s="10">
        <v>10.2787148689304</v>
      </c>
      <c r="L190" s="10">
        <v>106.23816859033801</v>
      </c>
      <c r="M190" s="10">
        <v>43.109271460725097</v>
      </c>
      <c r="N190" s="7">
        <v>186.02415912109032</v>
      </c>
      <c r="O190" s="7">
        <v>12.948963941471337</v>
      </c>
    </row>
    <row r="191" spans="1:15">
      <c r="A191" s="13" t="s">
        <v>79</v>
      </c>
      <c r="B191" s="7">
        <v>160514.06287254</v>
      </c>
      <c r="C191" s="8">
        <v>21050.999663417999</v>
      </c>
      <c r="D191" s="7">
        <v>1454.65754339056</v>
      </c>
      <c r="E191" s="9">
        <v>16.0808171843412</v>
      </c>
      <c r="F191" s="7">
        <v>8800.1242099577194</v>
      </c>
      <c r="G191" s="10">
        <v>10.5881520467989</v>
      </c>
      <c r="H191" s="10">
        <v>1.3594215520186299</v>
      </c>
      <c r="I191" s="10">
        <v>185.86430640473901</v>
      </c>
      <c r="J191" s="10">
        <v>0.11477006836178399</v>
      </c>
      <c r="K191" s="10">
        <v>118.09894932055001</v>
      </c>
      <c r="L191" s="10">
        <v>116.4206932191</v>
      </c>
      <c r="M191" s="10">
        <v>74.127371942131603</v>
      </c>
      <c r="N191" s="7">
        <v>209.51027298461653</v>
      </c>
      <c r="O191" s="7">
        <v>9.7973346914025612</v>
      </c>
    </row>
    <row r="192" spans="1:15">
      <c r="A192" s="13" t="s">
        <v>79</v>
      </c>
      <c r="B192" s="7">
        <v>159706.32167276501</v>
      </c>
      <c r="C192" s="8">
        <v>25769.649482715002</v>
      </c>
      <c r="D192" s="7">
        <v>1455.72142995479</v>
      </c>
      <c r="E192" s="9">
        <v>57.885567134171801</v>
      </c>
      <c r="F192" s="7">
        <v>4754.2149285289397</v>
      </c>
      <c r="G192" s="10">
        <v>4.1836301245256804</v>
      </c>
      <c r="H192" s="10">
        <v>1.1105978069817399</v>
      </c>
      <c r="I192" s="10">
        <v>53.987386895927898</v>
      </c>
      <c r="J192" s="10">
        <v>0.12100719599034</v>
      </c>
      <c r="K192" s="10">
        <v>24.569668926200698</v>
      </c>
      <c r="L192" s="10">
        <v>128.48932673656699</v>
      </c>
      <c r="M192" s="10">
        <v>23.416001537545299</v>
      </c>
      <c r="N192" s="7">
        <v>241.33700248103921</v>
      </c>
      <c r="O192" s="7">
        <v>5.5264684170664307</v>
      </c>
    </row>
    <row r="193" spans="1:15">
      <c r="A193" s="13" t="s">
        <v>79</v>
      </c>
      <c r="B193" s="7">
        <v>156813.114518758</v>
      </c>
      <c r="C193" s="8">
        <v>24216.868689635899</v>
      </c>
      <c r="D193" s="7">
        <v>1297.72095238917</v>
      </c>
      <c r="E193" s="9">
        <v>54.562417986029701</v>
      </c>
      <c r="F193" s="7">
        <v>2414.3213594120298</v>
      </c>
      <c r="G193" s="10">
        <v>22.679832497169802</v>
      </c>
      <c r="H193" s="10">
        <v>1.65021187840582</v>
      </c>
      <c r="I193" s="10">
        <v>163.00008542312699</v>
      </c>
      <c r="J193" s="10">
        <v>0.29447360983968002</v>
      </c>
      <c r="K193" s="10">
        <v>108.57194157009199</v>
      </c>
      <c r="L193" s="10">
        <v>89.420242210189599</v>
      </c>
      <c r="M193" s="10">
        <v>65.910779953623404</v>
      </c>
      <c r="N193" s="7">
        <v>219.3119759467921</v>
      </c>
      <c r="O193" s="7">
        <v>8.4820326394929726</v>
      </c>
    </row>
    <row r="194" spans="1:15">
      <c r="A194" s="13" t="s">
        <v>79</v>
      </c>
      <c r="B194" s="7">
        <v>159240.41524369101</v>
      </c>
      <c r="C194" s="8">
        <v>24207.588108990702</v>
      </c>
      <c r="D194" s="7">
        <v>1302.2204944256</v>
      </c>
      <c r="E194" s="9">
        <v>39.491548632382298</v>
      </c>
      <c r="F194" s="7">
        <v>7340.53898520645</v>
      </c>
      <c r="G194" s="10">
        <v>6.1074669782974196</v>
      </c>
      <c r="H194" s="10">
        <v>0.81155937010756896</v>
      </c>
      <c r="I194" s="10">
        <v>147.584904488538</v>
      </c>
      <c r="J194" s="10">
        <v>0.69240504806382297</v>
      </c>
      <c r="K194" s="10">
        <v>81.582947861197894</v>
      </c>
      <c r="L194" s="10">
        <v>97.587360684872706</v>
      </c>
      <c r="M194" s="10">
        <v>69.667843769918704</v>
      </c>
      <c r="N194" s="7">
        <v>244.63359894898934</v>
      </c>
      <c r="O194" s="7">
        <v>5.0840942586834146</v>
      </c>
    </row>
    <row r="195" spans="1:15">
      <c r="A195" s="13" t="s">
        <v>80</v>
      </c>
      <c r="B195" s="7">
        <v>159497.388296422</v>
      </c>
      <c r="C195" s="8">
        <v>36553.225182966999</v>
      </c>
      <c r="D195" s="7">
        <v>1380.8194846655001</v>
      </c>
      <c r="E195" s="9">
        <v>22.8901923115404</v>
      </c>
      <c r="F195" s="7">
        <v>25478.410003442001</v>
      </c>
      <c r="G195" s="10">
        <v>14.300140364046699</v>
      </c>
      <c r="H195" s="10" t="s">
        <v>18</v>
      </c>
      <c r="I195" s="10">
        <v>103.673527198892</v>
      </c>
      <c r="J195" s="10">
        <v>9.0989902069951195E-2</v>
      </c>
      <c r="K195" s="10">
        <v>58.885574070987303</v>
      </c>
      <c r="L195" s="10">
        <v>136.94090039465701</v>
      </c>
      <c r="M195" s="10">
        <v>36.556420317887103</v>
      </c>
      <c r="N195" s="7">
        <v>230.82030918803605</v>
      </c>
      <c r="O195" s="7">
        <v>6.9377158626348701</v>
      </c>
    </row>
    <row r="196" spans="1:15">
      <c r="A196" s="13" t="s">
        <v>80</v>
      </c>
      <c r="B196" s="7">
        <v>160428.59481427699</v>
      </c>
      <c r="C196" s="8">
        <v>40909.547279992497</v>
      </c>
      <c r="D196" s="7">
        <v>1373.1919435333</v>
      </c>
      <c r="E196" s="9">
        <v>40.140892197011802</v>
      </c>
      <c r="F196" s="7">
        <v>28760.400837501798</v>
      </c>
      <c r="G196" s="10">
        <v>21.397811948019001</v>
      </c>
      <c r="H196" s="10" t="s">
        <v>18</v>
      </c>
      <c r="I196" s="10">
        <v>67.851170448433706</v>
      </c>
      <c r="J196" s="10">
        <v>7.6032326518696097E-2</v>
      </c>
      <c r="K196" s="10">
        <v>31.428918361534802</v>
      </c>
      <c r="L196" s="10">
        <v>143.412585778394</v>
      </c>
      <c r="M196" s="10">
        <v>21.826877937069099</v>
      </c>
      <c r="N196" s="7">
        <v>233.74511313286652</v>
      </c>
      <c r="O196" s="7">
        <v>6.5452329803322478</v>
      </c>
    </row>
    <row r="197" spans="1:15">
      <c r="A197" s="13" t="s">
        <v>80</v>
      </c>
      <c r="B197" s="7">
        <v>154752.259098193</v>
      </c>
      <c r="C197" s="8">
        <v>26181.492843112999</v>
      </c>
      <c r="D197" s="7">
        <v>1273.8152302397</v>
      </c>
      <c r="E197" s="9">
        <v>67.701323968135597</v>
      </c>
      <c r="F197" s="7">
        <v>4727.9753398247203</v>
      </c>
      <c r="G197" s="10">
        <v>5.0264645271866302</v>
      </c>
      <c r="H197" s="10" t="s">
        <v>18</v>
      </c>
      <c r="I197" s="10">
        <v>25.217483365161499</v>
      </c>
      <c r="J197" s="10">
        <v>0.27341030009369</v>
      </c>
      <c r="K197" s="10">
        <v>5.8631910207114704</v>
      </c>
      <c r="L197" s="10">
        <v>149.57091056708899</v>
      </c>
      <c r="M197" s="10">
        <v>11.6350012452441</v>
      </c>
      <c r="N197" s="7">
        <v>257.80475001661853</v>
      </c>
      <c r="O197" s="7">
        <v>3.3166420014464073</v>
      </c>
    </row>
    <row r="198" spans="1:15">
      <c r="A198" s="13" t="s">
        <v>80</v>
      </c>
      <c r="B198" s="7">
        <v>153869.61104365901</v>
      </c>
      <c r="C198" s="8">
        <v>21766.6063420059</v>
      </c>
      <c r="D198" s="7">
        <v>1152.21969121609</v>
      </c>
      <c r="E198" s="9">
        <v>50.697679777144103</v>
      </c>
      <c r="F198" s="7">
        <v>854.22430749387104</v>
      </c>
      <c r="G198" s="10">
        <v>9.8289269968823305</v>
      </c>
      <c r="H198" s="10" t="s">
        <v>18</v>
      </c>
      <c r="I198" s="10">
        <v>37.499862214542098</v>
      </c>
      <c r="J198" s="10">
        <v>0.36080837234179403</v>
      </c>
      <c r="K198" s="10">
        <v>14.168593740589399</v>
      </c>
      <c r="L198" s="10">
        <v>151.746604278033</v>
      </c>
      <c r="M198" s="10">
        <v>19.787546441748201</v>
      </c>
      <c r="N198" s="7">
        <v>252.57956479402014</v>
      </c>
      <c r="O198" s="7">
        <v>4.017815753743621</v>
      </c>
    </row>
    <row r="199" spans="1:15">
      <c r="A199" s="13" t="s">
        <v>81</v>
      </c>
      <c r="B199" s="7">
        <v>164716.70837230899</v>
      </c>
      <c r="C199" s="8">
        <v>75648.515002148793</v>
      </c>
      <c r="D199" s="7">
        <v>2036.77812396322</v>
      </c>
      <c r="E199" s="7">
        <v>331.971704599872</v>
      </c>
      <c r="F199" s="7">
        <v>327.41044122955299</v>
      </c>
      <c r="G199" s="10">
        <v>5.5560510139329704</v>
      </c>
      <c r="H199" s="10">
        <v>0.80413510847863201</v>
      </c>
      <c r="I199" s="10">
        <v>38.5277518320338</v>
      </c>
      <c r="J199" s="10">
        <v>3.2946145287990398E-2</v>
      </c>
      <c r="K199" s="10">
        <v>12.1886777431078</v>
      </c>
      <c r="L199" s="10">
        <v>88.929824037681101</v>
      </c>
      <c r="M199" s="10">
        <v>23.206511901068001</v>
      </c>
      <c r="N199" s="7">
        <v>275.40723767138121</v>
      </c>
      <c r="O199" s="7">
        <v>0.9545434742448009</v>
      </c>
    </row>
    <row r="200" spans="1:15">
      <c r="A200" s="13" t="s">
        <v>82</v>
      </c>
      <c r="B200" s="7">
        <v>151137.43023445501</v>
      </c>
      <c r="C200" s="8">
        <v>10307.2461965244</v>
      </c>
      <c r="D200" s="7">
        <v>1201.45447769152</v>
      </c>
      <c r="E200" s="7">
        <v>364.34004033051099</v>
      </c>
      <c r="F200" s="7">
        <v>942.56542057176296</v>
      </c>
      <c r="G200" s="7">
        <v>647.22193079019803</v>
      </c>
      <c r="H200" s="10">
        <v>3.5355763090053798</v>
      </c>
      <c r="I200" s="10">
        <v>106.361059010136</v>
      </c>
      <c r="J200" s="10">
        <v>9.0630251902151002</v>
      </c>
      <c r="K200" s="10">
        <v>20.007057722244699</v>
      </c>
      <c r="L200" s="10">
        <v>183.91568498383799</v>
      </c>
      <c r="M200" s="10">
        <v>81.515142538299102</v>
      </c>
      <c r="N200" s="7">
        <v>192.19192356766024</v>
      </c>
      <c r="O200" s="7">
        <v>12.12130437419265</v>
      </c>
    </row>
    <row r="201" spans="1:15">
      <c r="A201" s="13" t="s">
        <v>51</v>
      </c>
      <c r="B201" s="7">
        <v>156710.18425640499</v>
      </c>
      <c r="C201" s="8">
        <v>16339.6823645106</v>
      </c>
      <c r="D201" s="7">
        <v>1086.7268613108399</v>
      </c>
      <c r="E201" s="9">
        <v>48.164008920624198</v>
      </c>
      <c r="F201" s="7">
        <v>7442.6364405507502</v>
      </c>
      <c r="G201" s="10">
        <v>1.3047744725231201</v>
      </c>
      <c r="H201" s="10" t="s">
        <v>18</v>
      </c>
      <c r="I201" s="10">
        <v>42.283552292960302</v>
      </c>
      <c r="J201" s="10">
        <v>10.4055810170754</v>
      </c>
      <c r="K201" s="10">
        <v>13.420957317694</v>
      </c>
      <c r="L201" s="10">
        <v>148.244584514975</v>
      </c>
      <c r="M201" s="10">
        <v>35.193240913200903</v>
      </c>
      <c r="N201" s="7">
        <v>284.56685201448141</v>
      </c>
      <c r="O201" s="7">
        <v>1</v>
      </c>
    </row>
    <row r="202" spans="1:15">
      <c r="A202" s="13" t="s">
        <v>83</v>
      </c>
      <c r="B202" s="7">
        <v>155840.21665568501</v>
      </c>
      <c r="C202" s="8">
        <v>21829.224348712902</v>
      </c>
      <c r="D202" s="7">
        <v>1180.6502353209401</v>
      </c>
      <c r="E202" s="9">
        <v>46.527499543348902</v>
      </c>
      <c r="F202" s="7">
        <v>1773.4603946229099</v>
      </c>
      <c r="G202" s="10">
        <v>0.111392380760211</v>
      </c>
      <c r="H202" s="10" t="s">
        <v>18</v>
      </c>
      <c r="I202" s="10">
        <v>23.389501025049299</v>
      </c>
      <c r="J202" s="10">
        <v>2.78173410308791E-2</v>
      </c>
      <c r="K202" s="10">
        <v>3.8544925884838301</v>
      </c>
      <c r="L202" s="10">
        <v>148.06706800235</v>
      </c>
      <c r="M202" s="10">
        <v>18.764163749673699</v>
      </c>
      <c r="N202" s="7">
        <v>283.58705674749012</v>
      </c>
      <c r="O202" s="7">
        <v>1</v>
      </c>
    </row>
    <row r="203" spans="1:15">
      <c r="A203" s="13" t="s">
        <v>83</v>
      </c>
      <c r="B203" s="7">
        <v>154786.641546414</v>
      </c>
      <c r="C203" s="8">
        <v>21764.231118915101</v>
      </c>
      <c r="D203" s="7">
        <v>1190.74127123566</v>
      </c>
      <c r="E203" s="9">
        <v>44.521452951672302</v>
      </c>
      <c r="F203" s="10">
        <v>54.111908823170097</v>
      </c>
      <c r="G203" s="10">
        <v>0.18060638894822401</v>
      </c>
      <c r="H203" s="10" t="s">
        <v>18</v>
      </c>
      <c r="I203" s="10">
        <v>18.5205147029682</v>
      </c>
      <c r="J203" s="10">
        <v>2.4022030479278599E-2</v>
      </c>
      <c r="K203" s="10">
        <v>3.4840909432129399</v>
      </c>
      <c r="L203" s="10">
        <v>146.61923507577899</v>
      </c>
      <c r="M203" s="10">
        <v>11.264738461475501</v>
      </c>
      <c r="N203" s="7">
        <v>276.88460374253918</v>
      </c>
      <c r="O203" s="7">
        <v>0.75629398307838436</v>
      </c>
    </row>
    <row r="204" spans="1:15">
      <c r="A204" s="13" t="s">
        <v>52</v>
      </c>
      <c r="B204" s="7">
        <v>169708.54932925201</v>
      </c>
      <c r="C204" s="8">
        <v>4492.9274563153003</v>
      </c>
      <c r="D204" s="7">
        <v>2266.8497917270201</v>
      </c>
      <c r="E204" s="7">
        <v>590.63240440245295</v>
      </c>
      <c r="F204" s="7">
        <v>448.56674317376098</v>
      </c>
      <c r="G204" s="7">
        <v>447.41392502171999</v>
      </c>
      <c r="H204" s="10">
        <v>4.0215222211026296</v>
      </c>
      <c r="I204" s="10">
        <v>38.806551213248099</v>
      </c>
      <c r="J204" s="10">
        <v>0.38754146322022398</v>
      </c>
      <c r="K204" s="10">
        <v>9.1961734866258098</v>
      </c>
      <c r="L204" s="7">
        <v>401.74485223438899</v>
      </c>
      <c r="M204" s="10">
        <v>24.2316520494599</v>
      </c>
      <c r="N204" s="7">
        <v>166.46472262268102</v>
      </c>
      <c r="O204" s="7">
        <v>15.573667736294643</v>
      </c>
    </row>
    <row r="205" spans="1:15">
      <c r="A205" s="13" t="s">
        <v>53</v>
      </c>
      <c r="B205" s="7">
        <v>167189.44009640199</v>
      </c>
      <c r="C205" s="8">
        <v>33601.416570873298</v>
      </c>
      <c r="D205" s="7">
        <v>1491.9128494142201</v>
      </c>
      <c r="E205" s="9">
        <v>102.779307198838</v>
      </c>
      <c r="F205" s="7">
        <v>266.72944348796602</v>
      </c>
      <c r="G205" s="7">
        <v>234.850300761624</v>
      </c>
      <c r="H205" s="10">
        <v>1.3141050222053401</v>
      </c>
      <c r="I205" s="10">
        <v>85.943820619407504</v>
      </c>
      <c r="J205" s="10">
        <v>20.011557638062602</v>
      </c>
      <c r="K205" s="10">
        <v>4.0293328112073201</v>
      </c>
      <c r="L205" s="7">
        <v>206.12327259785201</v>
      </c>
      <c r="M205" s="10">
        <v>79.028302436344106</v>
      </c>
      <c r="N205" s="7">
        <v>230.49541490809253</v>
      </c>
      <c r="O205" s="7">
        <v>6.9813138082890545</v>
      </c>
    </row>
    <row r="206" spans="1:15">
      <c r="A206" s="13" t="s">
        <v>54</v>
      </c>
      <c r="B206" s="7">
        <v>149623.511703136</v>
      </c>
      <c r="C206" s="8">
        <v>12629.760682783301</v>
      </c>
      <c r="D206" s="7">
        <v>1738.66323378744</v>
      </c>
      <c r="E206" s="9">
        <v>189.41126873892699</v>
      </c>
      <c r="F206" s="7">
        <v>2027.51116605419</v>
      </c>
      <c r="G206" s="10">
        <v>130.26780691863101</v>
      </c>
      <c r="H206" s="10">
        <v>777.39284261916305</v>
      </c>
      <c r="I206" s="10">
        <v>120.780542663002</v>
      </c>
      <c r="J206" s="10">
        <v>0.228547395442047</v>
      </c>
      <c r="K206" s="10">
        <v>72.450946631418901</v>
      </c>
      <c r="L206" s="10">
        <v>162.465116553001</v>
      </c>
      <c r="M206" s="10">
        <v>100.838220067661</v>
      </c>
      <c r="N206" s="7">
        <v>123.786014508286</v>
      </c>
      <c r="O206" s="7">
        <v>21.300773788410151</v>
      </c>
    </row>
    <row r="207" spans="1:15">
      <c r="A207" s="13" t="s">
        <v>55</v>
      </c>
      <c r="B207" s="7">
        <v>153828.98695763201</v>
      </c>
      <c r="C207" s="8">
        <v>13076.6678800191</v>
      </c>
      <c r="D207" s="7">
        <v>1509.3805095749699</v>
      </c>
      <c r="E207" s="9">
        <v>131.49314333553599</v>
      </c>
      <c r="F207" s="7">
        <v>489.68160293488103</v>
      </c>
      <c r="G207" s="10">
        <v>61.642089625916697</v>
      </c>
      <c r="H207" s="10">
        <v>169.27980344775401</v>
      </c>
      <c r="I207" s="10">
        <v>44.591673312848002</v>
      </c>
      <c r="J207" s="10">
        <v>0.225657545803504</v>
      </c>
      <c r="K207" s="10">
        <v>8.3426863437016401</v>
      </c>
      <c r="L207" s="10">
        <v>153.94727866134801</v>
      </c>
      <c r="M207" s="10">
        <v>50.9087043571256</v>
      </c>
      <c r="N207" s="7">
        <v>147.6448421849143</v>
      </c>
      <c r="O207" s="7">
        <v>18.099129633274366</v>
      </c>
    </row>
    <row r="208" spans="1:15">
      <c r="A208" s="13" t="s">
        <v>55</v>
      </c>
      <c r="B208" s="7">
        <v>156512.34804833599</v>
      </c>
      <c r="C208" s="8">
        <v>16235.6713086169</v>
      </c>
      <c r="D208" s="7">
        <v>1432.6305325887499</v>
      </c>
      <c r="E208" s="9">
        <v>134.46211951616201</v>
      </c>
      <c r="F208" s="10">
        <v>90.880382499084007</v>
      </c>
      <c r="G208" s="10">
        <v>41.261753561383799</v>
      </c>
      <c r="H208" s="10">
        <v>6.33915540513709</v>
      </c>
      <c r="I208" s="10">
        <v>54.233848512097097</v>
      </c>
      <c r="J208" s="10">
        <v>0.38564953126046497</v>
      </c>
      <c r="K208" s="10">
        <v>23.938872954802001</v>
      </c>
      <c r="L208" s="10">
        <v>160.93559124182599</v>
      </c>
      <c r="M208" s="10">
        <v>76.713591848437204</v>
      </c>
      <c r="N208" s="7">
        <v>199.27507941946212</v>
      </c>
      <c r="O208" s="7">
        <v>11.170807357314828</v>
      </c>
    </row>
    <row r="209" spans="1:15">
      <c r="A209" s="13" t="s">
        <v>55</v>
      </c>
      <c r="B209" s="7">
        <v>158931.68107098501</v>
      </c>
      <c r="C209" s="8">
        <v>22233.585303031501</v>
      </c>
      <c r="D209" s="7">
        <v>1639.3950132474599</v>
      </c>
      <c r="E209" s="9">
        <v>159.06640396482001</v>
      </c>
      <c r="F209" s="7">
        <v>807.20228523454796</v>
      </c>
      <c r="G209" s="10">
        <v>127.37209370882</v>
      </c>
      <c r="H209" s="10">
        <v>295.47623214890598</v>
      </c>
      <c r="I209" s="10">
        <v>51.1563212360658</v>
      </c>
      <c r="J209" s="10">
        <v>0.13977279097411599</v>
      </c>
      <c r="K209" s="10">
        <v>24.192591580862601</v>
      </c>
      <c r="L209" s="10">
        <v>172.58797946728299</v>
      </c>
      <c r="M209" s="10">
        <v>82.752851973377801</v>
      </c>
      <c r="N209" s="7">
        <v>142.44111286859004</v>
      </c>
      <c r="O209" s="7">
        <v>18.797424192266408</v>
      </c>
    </row>
    <row r="210" spans="1:15">
      <c r="A210" s="13" t="s">
        <v>56</v>
      </c>
      <c r="B210" s="7">
        <v>118586.602841734</v>
      </c>
      <c r="C210" s="8">
        <v>3494.8573150335601</v>
      </c>
      <c r="D210" s="7">
        <v>956.44535374312397</v>
      </c>
      <c r="E210" s="9">
        <v>16.0808171843412</v>
      </c>
      <c r="F210" s="11">
        <f t="shared" ref="F210" si="5">MIN(F102:F209)</f>
        <v>10.4727694164722</v>
      </c>
      <c r="G210" s="10">
        <v>9.9432402551315094E-2</v>
      </c>
      <c r="H210" s="10">
        <v>0.66212510447267503</v>
      </c>
      <c r="I210" s="10">
        <v>5.2240225664202997</v>
      </c>
      <c r="J210" s="10">
        <v>2.7086948776948198E-3</v>
      </c>
      <c r="K210" s="10">
        <v>0.15031167907814799</v>
      </c>
      <c r="L210" s="10">
        <v>20.6366932534544</v>
      </c>
      <c r="M210" s="10">
        <v>0.35039243262423098</v>
      </c>
      <c r="N210" s="7">
        <v>91.953152373127665</v>
      </c>
      <c r="O210" s="7"/>
    </row>
    <row r="211" spans="1:15">
      <c r="A211" s="13" t="s">
        <v>57</v>
      </c>
      <c r="B211" s="7">
        <v>234200.859452857</v>
      </c>
      <c r="C211" s="8">
        <v>78632.1346260438</v>
      </c>
      <c r="D211" s="7">
        <v>3860.71651451874</v>
      </c>
      <c r="E211" s="7">
        <v>920.82350559552901</v>
      </c>
      <c r="F211" s="7">
        <f t="shared" ref="F211" si="6">_xlfn.QUARTILE.INC(F102:F209,4)</f>
        <v>28760.400837501798</v>
      </c>
      <c r="G211" s="7">
        <v>3205.96203928974</v>
      </c>
      <c r="H211" s="10">
        <v>1871.8189934357799</v>
      </c>
      <c r="I211" s="7">
        <v>3762.6863661679399</v>
      </c>
      <c r="J211" s="10">
        <v>69.0013207628229</v>
      </c>
      <c r="K211" s="10">
        <v>277.39020570344297</v>
      </c>
      <c r="L211" s="7">
        <v>1048.2676225534301</v>
      </c>
      <c r="M211" s="7">
        <v>2078.7039364792599</v>
      </c>
      <c r="N211" s="7">
        <v>291.9009753395822</v>
      </c>
      <c r="O211" s="7"/>
    </row>
    <row r="212" spans="1:15">
      <c r="A212" s="13" t="s">
        <v>58</v>
      </c>
      <c r="B212" s="7">
        <v>156297.19400236948</v>
      </c>
      <c r="C212" s="8">
        <v>31931.485936747347</v>
      </c>
      <c r="D212" s="7">
        <v>1478.8184782496701</v>
      </c>
      <c r="E212" s="9">
        <v>123.2362338713575</v>
      </c>
      <c r="F212" s="7">
        <f t="shared" ref="F212" si="7">_xlfn.QUARTILE.INC(F102:F209,2)</f>
        <v>665.66460380743854</v>
      </c>
      <c r="G212" s="10">
        <v>93.403772512641595</v>
      </c>
      <c r="H212" s="10">
        <v>73.035824438165605</v>
      </c>
      <c r="I212" s="10">
        <v>95.131550550092641</v>
      </c>
      <c r="J212" s="10">
        <v>0.437724050427797</v>
      </c>
      <c r="K212" s="10">
        <v>7.1290403866258396</v>
      </c>
      <c r="L212" s="10">
        <v>150.30045802360098</v>
      </c>
      <c r="M212" s="10">
        <v>34.4363256348581</v>
      </c>
      <c r="N212" s="7">
        <v>187.6775645465878</v>
      </c>
      <c r="O212" s="7"/>
    </row>
    <row r="213" spans="1:15">
      <c r="A213" s="13" t="s">
        <v>59</v>
      </c>
      <c r="B213" s="7">
        <v>159254.13792588009</v>
      </c>
      <c r="C213" s="8">
        <v>32928.458963785539</v>
      </c>
      <c r="D213" s="7">
        <v>1558.7118399163069</v>
      </c>
      <c r="E213" s="9">
        <v>202.77442763237761</v>
      </c>
      <c r="F213" s="7">
        <f t="shared" ref="F213" si="8">AVERAGE(F102:F209)</f>
        <v>1977.4453468382073</v>
      </c>
      <c r="G213" s="7">
        <v>383.07483194638502</v>
      </c>
      <c r="H213" s="10">
        <v>212.85453609243478</v>
      </c>
      <c r="I213" s="10">
        <v>199.16913614995173</v>
      </c>
      <c r="J213" s="10">
        <v>2.3661443904727344</v>
      </c>
      <c r="K213" s="10">
        <v>23.018121747657997</v>
      </c>
      <c r="L213" s="7">
        <v>231.15645960040152</v>
      </c>
      <c r="M213" s="10">
        <v>60.570907101058637</v>
      </c>
      <c r="N213" s="7">
        <v>186.20306469837053</v>
      </c>
      <c r="O213" s="7"/>
    </row>
    <row r="214" spans="1:15">
      <c r="A214" s="13" t="s">
        <v>60</v>
      </c>
      <c r="B214" s="7">
        <f>STDEV(B102:B209)</f>
        <v>20263.987708788027</v>
      </c>
      <c r="C214" s="7">
        <f t="shared" ref="C214:N214" si="9">STDEV(C102:C209)</f>
        <v>17121.102793641545</v>
      </c>
      <c r="D214" s="7">
        <f t="shared" si="9"/>
        <v>387.30919758809404</v>
      </c>
      <c r="E214" s="7">
        <f t="shared" si="9"/>
        <v>210.34540228134486</v>
      </c>
      <c r="F214" s="7">
        <f t="shared" si="9"/>
        <v>4225.065012866291</v>
      </c>
      <c r="G214" s="7">
        <f t="shared" si="9"/>
        <v>646.32323350674233</v>
      </c>
      <c r="H214" s="7">
        <f t="shared" si="9"/>
        <v>320.21415944014944</v>
      </c>
      <c r="I214" s="7">
        <f t="shared" si="9"/>
        <v>431.47005100556015</v>
      </c>
      <c r="J214" s="11">
        <f t="shared" si="9"/>
        <v>7.5023508602303863</v>
      </c>
      <c r="K214" s="11">
        <f t="shared" si="9"/>
        <v>40.852840715047044</v>
      </c>
      <c r="L214" s="7">
        <f t="shared" si="9"/>
        <v>209.88490545385983</v>
      </c>
      <c r="M214" s="11">
        <f t="shared" si="9"/>
        <v>199.48515941160605</v>
      </c>
      <c r="N214" s="11">
        <f t="shared" si="9"/>
        <v>47.194232014208787</v>
      </c>
      <c r="O214" s="7"/>
    </row>
    <row r="215" spans="1:15">
      <c r="A215" s="16" t="s">
        <v>84</v>
      </c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</row>
    <row r="216" spans="1:15">
      <c r="A216" s="13" t="s">
        <v>62</v>
      </c>
      <c r="B216" s="7">
        <v>141582.12146019199</v>
      </c>
      <c r="C216" s="8">
        <v>10274.5453773708</v>
      </c>
      <c r="D216" s="7">
        <v>1364.074580409</v>
      </c>
      <c r="E216" s="9">
        <v>148.76583081666701</v>
      </c>
      <c r="F216" s="7">
        <v>657.148480938528</v>
      </c>
      <c r="G216" s="7">
        <v>463.81236743863798</v>
      </c>
      <c r="H216" s="10" t="s">
        <v>18</v>
      </c>
      <c r="I216" s="10">
        <v>59.836649756736399</v>
      </c>
      <c r="J216" s="10">
        <v>9.9841317554168807</v>
      </c>
      <c r="K216" s="10">
        <v>1.9267770163661</v>
      </c>
      <c r="L216" s="7">
        <v>748.744930035116</v>
      </c>
      <c r="M216" s="10">
        <v>12.684614921928601</v>
      </c>
      <c r="N216" s="7">
        <v>165.45701486452094</v>
      </c>
      <c r="O216" s="7">
        <v>15.708893225900683</v>
      </c>
    </row>
    <row r="217" spans="1:15">
      <c r="A217" s="13" t="s">
        <v>19</v>
      </c>
      <c r="B217" s="7">
        <v>185416.02733212401</v>
      </c>
      <c r="C217" s="8">
        <v>8235.2762486146294</v>
      </c>
      <c r="D217" s="7">
        <v>1211.4824189584201</v>
      </c>
      <c r="E217" s="9">
        <v>116.34656048839901</v>
      </c>
      <c r="F217" s="7">
        <v>425.386387184564</v>
      </c>
      <c r="G217" s="10">
        <v>196.329577814988</v>
      </c>
      <c r="H217" s="10">
        <v>7.9842014271880899</v>
      </c>
      <c r="I217" s="10">
        <v>77.771580824030906</v>
      </c>
      <c r="J217" s="10">
        <v>1.4969762903441799</v>
      </c>
      <c r="K217" s="10">
        <v>26.4368148735531</v>
      </c>
      <c r="L217" s="7">
        <v>433.71139668877697</v>
      </c>
      <c r="M217" s="10">
        <v>72.043361692138703</v>
      </c>
      <c r="N217" s="7">
        <v>169.98657290080939</v>
      </c>
      <c r="O217" s="7">
        <v>15.101066504119327</v>
      </c>
    </row>
    <row r="218" spans="1:15">
      <c r="A218" s="13" t="s">
        <v>19</v>
      </c>
      <c r="B218" s="7">
        <v>175445.07902215401</v>
      </c>
      <c r="C218" s="8">
        <v>27595.616473154299</v>
      </c>
      <c r="D218" s="7">
        <v>1598.0564234010899</v>
      </c>
      <c r="E218" s="9">
        <v>141.22357737070001</v>
      </c>
      <c r="F218" s="7">
        <v>417.38106443987499</v>
      </c>
      <c r="G218" s="10">
        <v>23.701672768280901</v>
      </c>
      <c r="H218" s="10">
        <v>44.425961026108901</v>
      </c>
      <c r="I218" s="10">
        <v>65.023222558846996</v>
      </c>
      <c r="J218" s="10">
        <v>0.73530626656970899</v>
      </c>
      <c r="K218" s="10">
        <v>63.9771748769328</v>
      </c>
      <c r="L218" s="7">
        <v>365.50516312425799</v>
      </c>
      <c r="M218" s="10">
        <v>74.095689390302695</v>
      </c>
      <c r="N218" s="7">
        <v>197.32874928921703</v>
      </c>
      <c r="O218" s="7">
        <v>11.431987687292569</v>
      </c>
    </row>
    <row r="219" spans="1:15">
      <c r="A219" s="13" t="s">
        <v>63</v>
      </c>
      <c r="B219" s="7">
        <v>164956.140383105</v>
      </c>
      <c r="C219" s="8">
        <v>6088.1804666947201</v>
      </c>
      <c r="D219" s="7">
        <v>1162.7478548615099</v>
      </c>
      <c r="E219" s="9">
        <v>94.329003673444603</v>
      </c>
      <c r="F219" s="7">
        <v>651.36309836095199</v>
      </c>
      <c r="G219" s="7">
        <v>401.28331295965103</v>
      </c>
      <c r="H219" s="10" t="s">
        <v>18</v>
      </c>
      <c r="I219" s="10">
        <v>83.955396758220402</v>
      </c>
      <c r="J219" s="10">
        <v>1.5604279773621099</v>
      </c>
      <c r="K219" s="10">
        <v>14.6032627918632</v>
      </c>
      <c r="L219" s="7">
        <v>565.86287800626997</v>
      </c>
      <c r="M219" s="10">
        <v>70.156949449783895</v>
      </c>
      <c r="N219" s="7">
        <v>148.77828236891861</v>
      </c>
      <c r="O219" s="7">
        <v>17.947031961523788</v>
      </c>
    </row>
    <row r="220" spans="1:15">
      <c r="A220" s="13" t="s">
        <v>63</v>
      </c>
      <c r="B220" s="7">
        <v>160285.28359244001</v>
      </c>
      <c r="C220" s="8">
        <v>8351.4463194872296</v>
      </c>
      <c r="D220" s="7">
        <v>1304.8773093658699</v>
      </c>
      <c r="E220" s="9">
        <v>129.57554984804801</v>
      </c>
      <c r="F220" s="7">
        <v>415.40131437354898</v>
      </c>
      <c r="G220" s="10">
        <v>160.96392946197699</v>
      </c>
      <c r="H220" s="10" t="s">
        <v>18</v>
      </c>
      <c r="I220" s="10">
        <v>104.747817200958</v>
      </c>
      <c r="J220" s="10">
        <v>2.6636446410339998</v>
      </c>
      <c r="K220" s="10">
        <v>59.448526095838801</v>
      </c>
      <c r="L220" s="7">
        <v>681.10817989505995</v>
      </c>
      <c r="M220" s="10">
        <v>122.089020321851</v>
      </c>
      <c r="N220" s="7">
        <v>171.82921236496415</v>
      </c>
      <c r="O220" s="7">
        <v>14.853800546613266</v>
      </c>
    </row>
    <row r="221" spans="1:15">
      <c r="A221" s="13" t="s">
        <v>22</v>
      </c>
      <c r="B221" s="7">
        <v>154500.632292653</v>
      </c>
      <c r="C221" s="8">
        <v>5805.2321485052398</v>
      </c>
      <c r="D221" s="7">
        <v>1463.6366695028501</v>
      </c>
      <c r="E221" s="9">
        <v>179.13633027233601</v>
      </c>
      <c r="F221" s="10">
        <v>100.60716839198599</v>
      </c>
      <c r="G221" s="10">
        <v>80.704749727164895</v>
      </c>
      <c r="H221" s="10">
        <v>6.5047711944125401</v>
      </c>
      <c r="I221" s="10">
        <v>108.032716840048</v>
      </c>
      <c r="J221" s="10">
        <v>0.81526550732369696</v>
      </c>
      <c r="K221" s="10">
        <v>13.0789955870976</v>
      </c>
      <c r="L221" s="7">
        <v>205.87321124550999</v>
      </c>
      <c r="M221" s="10">
        <v>69.845862524853302</v>
      </c>
      <c r="N221" s="7">
        <v>177.43027425026759</v>
      </c>
      <c r="O221" s="7">
        <v>14.102187462739828</v>
      </c>
    </row>
    <row r="222" spans="1:15">
      <c r="A222" s="13" t="s">
        <v>22</v>
      </c>
      <c r="B222" s="7">
        <v>154833.20620434699</v>
      </c>
      <c r="C222" s="8">
        <v>4315.8808985162304</v>
      </c>
      <c r="D222" s="7">
        <v>1500.01800582398</v>
      </c>
      <c r="E222" s="7">
        <v>279.76317577858998</v>
      </c>
      <c r="F222" s="7">
        <v>670.15168504553299</v>
      </c>
      <c r="G222" s="7">
        <v>610.00026816721504</v>
      </c>
      <c r="H222" s="10">
        <v>4.0965138063892299</v>
      </c>
      <c r="I222" s="10">
        <v>189.18139752721001</v>
      </c>
      <c r="J222" s="10">
        <v>4.4725550832846901</v>
      </c>
      <c r="K222" s="10">
        <v>9.0522331071143292</v>
      </c>
      <c r="L222" s="10">
        <v>183.758941196081</v>
      </c>
      <c r="M222" s="10">
        <v>92.488704872597395</v>
      </c>
      <c r="N222" s="7">
        <v>166.90018359112733</v>
      </c>
      <c r="O222" s="7">
        <v>15.515232716631811</v>
      </c>
    </row>
    <row r="223" spans="1:15">
      <c r="A223" s="13" t="s">
        <v>23</v>
      </c>
      <c r="B223" s="7">
        <v>156478.909649749</v>
      </c>
      <c r="C223" s="8">
        <v>5172.3081535939</v>
      </c>
      <c r="D223" s="7">
        <v>1366.13813482206</v>
      </c>
      <c r="E223" s="9">
        <v>194.647541257444</v>
      </c>
      <c r="F223" s="7">
        <v>348.40161863621302</v>
      </c>
      <c r="G223" s="7">
        <v>291.86163489849201</v>
      </c>
      <c r="H223" s="10">
        <v>14.0247079405053</v>
      </c>
      <c r="I223" s="10">
        <v>129.335389199042</v>
      </c>
      <c r="J223" s="10">
        <v>1.0931795654811201</v>
      </c>
      <c r="K223" s="10">
        <v>9.2888215626933306</v>
      </c>
      <c r="L223" s="10">
        <v>183.58464872719699</v>
      </c>
      <c r="M223" s="10">
        <v>65.680232093958296</v>
      </c>
      <c r="N223" s="7">
        <v>153.02643877693163</v>
      </c>
      <c r="O223" s="7">
        <v>17.376966855301458</v>
      </c>
    </row>
    <row r="224" spans="1:15">
      <c r="A224" s="13" t="s">
        <v>23</v>
      </c>
      <c r="B224" s="7">
        <v>153565.03619297399</v>
      </c>
      <c r="C224" s="8">
        <v>38009.7139532336</v>
      </c>
      <c r="D224" s="7">
        <v>1692.8461960946399</v>
      </c>
      <c r="E224" s="7">
        <v>315.93320006205198</v>
      </c>
      <c r="F224" s="7">
        <v>582.59056996197</v>
      </c>
      <c r="G224" s="10">
        <v>30.356260814909799</v>
      </c>
      <c r="H224" s="10">
        <v>11.0057341369347</v>
      </c>
      <c r="I224" s="10">
        <v>31.350583791100501</v>
      </c>
      <c r="J224" s="10">
        <v>0.269734143171943</v>
      </c>
      <c r="K224" s="10">
        <v>15.607648954428299</v>
      </c>
      <c r="L224" s="10">
        <v>104.953465997771</v>
      </c>
      <c r="M224" s="10">
        <v>59.553758293755401</v>
      </c>
      <c r="N224" s="7">
        <v>220.81702376061008</v>
      </c>
      <c r="O224" s="7">
        <v>8.2800685027122505</v>
      </c>
    </row>
    <row r="225" spans="1:15">
      <c r="A225" s="13" t="s">
        <v>23</v>
      </c>
      <c r="B225" s="7">
        <v>176794.67576245201</v>
      </c>
      <c r="C225" s="8">
        <v>97535.555039192899</v>
      </c>
      <c r="D225" s="7">
        <v>2463.9726867700901</v>
      </c>
      <c r="E225" s="7">
        <v>492.72142870110599</v>
      </c>
      <c r="F225" s="7">
        <v>15710.086079246101</v>
      </c>
      <c r="G225" s="10">
        <v>94.149936783605597</v>
      </c>
      <c r="H225" s="10">
        <v>704.91787207055597</v>
      </c>
      <c r="I225" s="10">
        <v>135.31572223827101</v>
      </c>
      <c r="J225" s="10">
        <v>1.11969845109503E-2</v>
      </c>
      <c r="K225" s="10">
        <v>2.7330083756336498</v>
      </c>
      <c r="L225" s="10">
        <v>109.543211898683</v>
      </c>
      <c r="M225" s="7">
        <v>413.32805717583602</v>
      </c>
      <c r="N225" s="7">
        <v>163.98213866436214</v>
      </c>
      <c r="O225" s="7">
        <v>15.906808598348462</v>
      </c>
    </row>
    <row r="226" spans="1:15">
      <c r="A226" s="13" t="s">
        <v>24</v>
      </c>
      <c r="B226" s="7">
        <v>157063.12532182501</v>
      </c>
      <c r="C226" s="8">
        <v>8021.8380290520199</v>
      </c>
      <c r="D226" s="7">
        <v>1430.40613141617</v>
      </c>
      <c r="E226" s="9">
        <v>281.29666639349898</v>
      </c>
      <c r="F226" s="7">
        <v>1185.38238263886</v>
      </c>
      <c r="G226" s="7">
        <v>867.26467366112104</v>
      </c>
      <c r="H226" s="10">
        <v>26.926338435973101</v>
      </c>
      <c r="I226" s="10">
        <v>130.26608445244199</v>
      </c>
      <c r="J226" s="10">
        <v>3.2971125457149002</v>
      </c>
      <c r="K226" s="10">
        <v>1.42555517485381</v>
      </c>
      <c r="L226" s="10">
        <v>181.69047401290601</v>
      </c>
      <c r="M226" s="10">
        <v>30.574706786467999</v>
      </c>
      <c r="N226" s="7">
        <v>151.03087249991339</v>
      </c>
      <c r="O226" s="7">
        <v>17.644754241739562</v>
      </c>
    </row>
    <row r="227" spans="1:15">
      <c r="A227" s="13" t="s">
        <v>66</v>
      </c>
      <c r="B227" s="7">
        <v>138481.93164539299</v>
      </c>
      <c r="C227" s="8">
        <v>4320.65263285935</v>
      </c>
      <c r="D227" s="7">
        <v>1146.0023372394601</v>
      </c>
      <c r="E227" s="9">
        <v>105.212536763828</v>
      </c>
      <c r="F227" s="10">
        <v>110.02462116552999</v>
      </c>
      <c r="G227" s="10">
        <v>69.450367591308094</v>
      </c>
      <c r="H227" s="10">
        <v>0.672924437988493</v>
      </c>
      <c r="I227" s="7">
        <v>211.24695980406801</v>
      </c>
      <c r="J227" s="10">
        <v>1.0441382611832899</v>
      </c>
      <c r="K227" s="10">
        <v>10.973799986266901</v>
      </c>
      <c r="L227" s="7">
        <v>273.524326196978</v>
      </c>
      <c r="M227" s="10">
        <v>98.061339527775701</v>
      </c>
      <c r="N227" s="7">
        <v>195.99020788875563</v>
      </c>
      <c r="O227" s="7">
        <v>11.61160813257507</v>
      </c>
    </row>
    <row r="228" spans="1:15">
      <c r="A228" s="13" t="s">
        <v>67</v>
      </c>
      <c r="B228" s="7">
        <v>136529.318652936</v>
      </c>
      <c r="C228" s="8">
        <v>2998.04852505083</v>
      </c>
      <c r="D228" s="7">
        <v>1294.5199632921001</v>
      </c>
      <c r="E228" s="9">
        <v>176.722785162055</v>
      </c>
      <c r="F228" s="7">
        <v>266.87744643968398</v>
      </c>
      <c r="G228" s="10">
        <v>185.05774509153699</v>
      </c>
      <c r="H228" s="10">
        <v>3.6216627146448901</v>
      </c>
      <c r="I228" s="10">
        <v>191.83861383759799</v>
      </c>
      <c r="J228" s="10">
        <v>0.89355787412655596</v>
      </c>
      <c r="K228" s="10">
        <v>0.25327275327160298</v>
      </c>
      <c r="L228" s="7">
        <v>433.64683682808902</v>
      </c>
      <c r="M228" s="10">
        <v>1.2985107907270801</v>
      </c>
      <c r="N228" s="7">
        <v>161.5575828519049</v>
      </c>
      <c r="O228" s="7">
        <v>16.232162595240702</v>
      </c>
    </row>
    <row r="229" spans="1:15">
      <c r="A229" s="13" t="s">
        <v>27</v>
      </c>
      <c r="B229" s="7">
        <v>154058.06890771099</v>
      </c>
      <c r="C229" s="8">
        <v>7263.6879239296304</v>
      </c>
      <c r="D229" s="7">
        <v>1076.1848698424001</v>
      </c>
      <c r="E229" s="7">
        <v>305.31825053920602</v>
      </c>
      <c r="F229" s="7">
        <v>330.36796038947699</v>
      </c>
      <c r="G229" s="7">
        <v>353.73703233721801</v>
      </c>
      <c r="H229" s="10">
        <v>7.0371236957598899</v>
      </c>
      <c r="I229" s="10">
        <v>124.69847381829899</v>
      </c>
      <c r="J229" s="10">
        <v>1.2342406958060199</v>
      </c>
      <c r="K229" s="10">
        <v>0.55619815947366602</v>
      </c>
      <c r="L229" s="10">
        <v>189.55542039202601</v>
      </c>
      <c r="M229" s="10">
        <v>29.4306279334977</v>
      </c>
      <c r="N229" s="7">
        <v>171.37154211527249</v>
      </c>
      <c r="O229" s="7">
        <v>14.915215855854978</v>
      </c>
    </row>
    <row r="230" spans="1:15">
      <c r="A230" s="13" t="s">
        <v>68</v>
      </c>
      <c r="B230" s="7">
        <v>157947.093236038</v>
      </c>
      <c r="C230" s="8">
        <v>6194.9762831595499</v>
      </c>
      <c r="D230" s="7">
        <v>1222.4020550958001</v>
      </c>
      <c r="E230" s="7">
        <v>369.57240943814003</v>
      </c>
      <c r="F230" s="7">
        <v>388.103679497499</v>
      </c>
      <c r="G230" s="7">
        <v>399.37930885776598</v>
      </c>
      <c r="H230" s="10">
        <v>22.675179669123299</v>
      </c>
      <c r="I230" s="10">
        <v>113.957106188301</v>
      </c>
      <c r="J230" s="10">
        <v>1.8076739421064401</v>
      </c>
      <c r="K230" s="10" t="s">
        <v>18</v>
      </c>
      <c r="L230" s="7">
        <v>232.01430234612599</v>
      </c>
      <c r="M230" s="10">
        <v>1.9821956079296299</v>
      </c>
      <c r="N230" s="7">
        <v>156.86618144459231</v>
      </c>
      <c r="O230" s="7">
        <v>16.86170726938375</v>
      </c>
    </row>
    <row r="231" spans="1:15">
      <c r="A231" s="13" t="s">
        <v>29</v>
      </c>
      <c r="B231" s="7">
        <v>130951.15665716201</v>
      </c>
      <c r="C231" s="8">
        <v>25556.7683378847</v>
      </c>
      <c r="D231" s="7">
        <v>1107.4551656866199</v>
      </c>
      <c r="E231" s="9">
        <v>88.325058279372399</v>
      </c>
      <c r="F231" s="10">
        <v>46.319136394439703</v>
      </c>
      <c r="G231" s="10">
        <v>3.7582032983071998</v>
      </c>
      <c r="H231" s="10">
        <v>15.151661457554001</v>
      </c>
      <c r="I231" s="10">
        <v>50.735941128480199</v>
      </c>
      <c r="J231" s="10" t="s">
        <v>18</v>
      </c>
      <c r="K231" s="10">
        <v>1.02007801064452</v>
      </c>
      <c r="L231" s="10">
        <v>56.310906715471504</v>
      </c>
      <c r="M231" s="10">
        <v>69.7223295049792</v>
      </c>
      <c r="N231" s="7">
        <v>201.46452451449198</v>
      </c>
      <c r="O231" s="7">
        <v>10.877003144195008</v>
      </c>
    </row>
    <row r="232" spans="1:15">
      <c r="A232" s="13" t="s">
        <v>30</v>
      </c>
      <c r="B232" s="7">
        <v>130604.97934525899</v>
      </c>
      <c r="C232" s="8">
        <v>21380.0795112862</v>
      </c>
      <c r="D232" s="7">
        <v>978.60015802391194</v>
      </c>
      <c r="E232" s="9">
        <v>87.6302935027975</v>
      </c>
      <c r="F232" s="10">
        <v>26.686155594801001</v>
      </c>
      <c r="G232" s="10">
        <v>3.7920365882318001</v>
      </c>
      <c r="H232" s="10">
        <v>4.8210052917676798</v>
      </c>
      <c r="I232" s="10">
        <v>30.419807840017299</v>
      </c>
      <c r="J232" s="10" t="s">
        <v>18</v>
      </c>
      <c r="K232" s="10">
        <v>1.0637585650530701</v>
      </c>
      <c r="L232" s="10">
        <v>71.244060831695094</v>
      </c>
      <c r="M232" s="10">
        <v>56.369245238762304</v>
      </c>
      <c r="N232" s="7">
        <v>208.97922217404562</v>
      </c>
      <c r="O232" s="7">
        <v>9.8685970244387331</v>
      </c>
    </row>
    <row r="233" spans="1:15">
      <c r="A233" s="13" t="s">
        <v>35</v>
      </c>
      <c r="B233" s="7">
        <v>148109.02215752701</v>
      </c>
      <c r="C233" s="8">
        <v>3227.7106983507001</v>
      </c>
      <c r="D233" s="7">
        <v>2295.9186163181798</v>
      </c>
      <c r="E233" s="7">
        <v>1777.0345312151701</v>
      </c>
      <c r="F233" s="10">
        <v>49.0831928780567</v>
      </c>
      <c r="G233" s="10">
        <v>26.648607946685701</v>
      </c>
      <c r="H233" s="10" t="s">
        <v>18</v>
      </c>
      <c r="I233" s="10">
        <v>30.6484322874777</v>
      </c>
      <c r="J233" s="10">
        <v>2.31551590507478E-2</v>
      </c>
      <c r="K233" s="10" t="s">
        <v>18</v>
      </c>
      <c r="L233" s="10">
        <v>117.770711115822</v>
      </c>
      <c r="M233" s="10">
        <v>16.0690585764007</v>
      </c>
      <c r="N233" s="7">
        <v>219.59125100972196</v>
      </c>
      <c r="O233" s="7">
        <v>8.4445563902395158</v>
      </c>
    </row>
    <row r="234" spans="1:15">
      <c r="A234" s="13" t="s">
        <v>70</v>
      </c>
      <c r="B234" s="7">
        <v>151095.12352747799</v>
      </c>
      <c r="C234" s="8">
        <v>8614.4724185507002</v>
      </c>
      <c r="D234" s="7">
        <v>1879.3700279244599</v>
      </c>
      <c r="E234" s="7">
        <v>1415.41691551491</v>
      </c>
      <c r="F234" s="7">
        <v>1835.95091734069</v>
      </c>
      <c r="G234" s="10">
        <v>161.56126854244599</v>
      </c>
      <c r="H234" s="10">
        <v>715.72817871654195</v>
      </c>
      <c r="I234" s="10">
        <v>89.355570682728299</v>
      </c>
      <c r="J234" s="10">
        <v>2.6034901678423102E-2</v>
      </c>
      <c r="K234" s="10">
        <v>5.0333350230622598</v>
      </c>
      <c r="L234" s="10">
        <v>186.34383790092701</v>
      </c>
      <c r="M234" s="10">
        <v>40.451193106127</v>
      </c>
      <c r="N234" s="7">
        <v>124.5624297308338</v>
      </c>
      <c r="O234" s="7">
        <v>21.196585716266789</v>
      </c>
    </row>
    <row r="235" spans="1:15">
      <c r="A235" s="13" t="s">
        <v>70</v>
      </c>
      <c r="B235" s="7">
        <v>151940.29286269701</v>
      </c>
      <c r="C235" s="8">
        <v>36796.583894037904</v>
      </c>
      <c r="D235" s="7">
        <v>1580.94578632447</v>
      </c>
      <c r="E235" s="7">
        <v>682.99515519435204</v>
      </c>
      <c r="F235" s="7">
        <v>545.49720935212099</v>
      </c>
      <c r="G235" s="7">
        <v>374.80913544450601</v>
      </c>
      <c r="H235" s="10">
        <v>21.553573732375799</v>
      </c>
      <c r="I235" s="10">
        <v>44.715857933478098</v>
      </c>
      <c r="J235" s="10">
        <v>1.9720460632192001</v>
      </c>
      <c r="K235" s="10">
        <v>0.80328284162783703</v>
      </c>
      <c r="L235" s="10">
        <v>76.373843914109003</v>
      </c>
      <c r="M235" s="10">
        <v>66.333535622352599</v>
      </c>
      <c r="N235" s="7">
        <v>201.24989574221487</v>
      </c>
      <c r="O235" s="7">
        <v>10.905804431651314</v>
      </c>
    </row>
    <row r="236" spans="1:15">
      <c r="A236" s="13" t="s">
        <v>71</v>
      </c>
      <c r="B236" s="7">
        <v>140428.19428234201</v>
      </c>
      <c r="C236" s="8">
        <v>18214.591037351402</v>
      </c>
      <c r="D236" s="7">
        <v>1208.6224126720399</v>
      </c>
      <c r="E236" s="9">
        <v>7.1768466043562702</v>
      </c>
      <c r="F236" s="10">
        <v>128.504388302221</v>
      </c>
      <c r="G236" s="10">
        <v>86.298470778401907</v>
      </c>
      <c r="H236" s="10" t="s">
        <v>18</v>
      </c>
      <c r="I236" s="10">
        <v>180.780372715857</v>
      </c>
      <c r="J236" s="10">
        <v>9.5218749680285804</v>
      </c>
      <c r="K236" s="10">
        <v>18.394771654130199</v>
      </c>
      <c r="L236" s="7">
        <v>440.703975337202</v>
      </c>
      <c r="M236" s="10">
        <v>100.72422223737399</v>
      </c>
      <c r="N236" s="7">
        <v>212.42468304412222</v>
      </c>
      <c r="O236" s="7">
        <v>9.4062465767997736</v>
      </c>
    </row>
    <row r="237" spans="1:15">
      <c r="A237" s="13" t="s">
        <v>72</v>
      </c>
      <c r="B237" s="7">
        <v>140092.40724100199</v>
      </c>
      <c r="C237" s="8">
        <v>27646.923780089099</v>
      </c>
      <c r="D237" s="7">
        <v>1390.0741459498599</v>
      </c>
      <c r="E237" s="7">
        <v>211.82292179005199</v>
      </c>
      <c r="F237" s="7">
        <v>690.19913178696402</v>
      </c>
      <c r="G237" s="7">
        <v>395.420036618013</v>
      </c>
      <c r="H237" s="10">
        <v>5.3132852278589704</v>
      </c>
      <c r="I237" s="10">
        <v>156.440974107599</v>
      </c>
      <c r="J237" s="10">
        <v>5.6332869179323897</v>
      </c>
      <c r="K237" s="10">
        <v>22.0058197299707</v>
      </c>
      <c r="L237" s="7">
        <v>259.69798978808302</v>
      </c>
      <c r="M237" s="10">
        <v>74.979511932876903</v>
      </c>
      <c r="N237" s="7">
        <v>204.58631004458633</v>
      </c>
      <c r="O237" s="7">
        <v>10.45808707122279</v>
      </c>
    </row>
    <row r="238" spans="1:15">
      <c r="A238" s="13" t="s">
        <v>72</v>
      </c>
      <c r="B238" s="7">
        <v>144147.69666928001</v>
      </c>
      <c r="C238" s="8">
        <v>42186.616313238897</v>
      </c>
      <c r="D238" s="7">
        <v>1461.4123523374001</v>
      </c>
      <c r="E238" s="9">
        <v>127.87253316081799</v>
      </c>
      <c r="F238" s="7">
        <v>318.68546298544601</v>
      </c>
      <c r="G238" s="10">
        <v>185.92202556926301</v>
      </c>
      <c r="H238" s="10">
        <v>8.2362329397606597</v>
      </c>
      <c r="I238" s="10">
        <v>94.526129510366104</v>
      </c>
      <c r="J238" s="10">
        <v>2.0627379787988298</v>
      </c>
      <c r="K238" s="10">
        <v>6.7672165826538198</v>
      </c>
      <c r="L238" s="7">
        <v>284.89816813122798</v>
      </c>
      <c r="M238" s="10">
        <v>69.535133403563705</v>
      </c>
      <c r="N238" s="7">
        <v>205.92085076845183</v>
      </c>
      <c r="O238" s="7">
        <v>10.279003481439368</v>
      </c>
    </row>
    <row r="239" spans="1:15">
      <c r="A239" s="13" t="s">
        <v>72</v>
      </c>
      <c r="B239" s="7">
        <v>143523.81419919099</v>
      </c>
      <c r="C239" s="8">
        <v>49063.937256320198</v>
      </c>
      <c r="D239" s="7">
        <v>1535.7168465570501</v>
      </c>
      <c r="E239" s="9">
        <v>187.648910030569</v>
      </c>
      <c r="F239" s="7">
        <v>370.64178406684698</v>
      </c>
      <c r="G239" s="10">
        <v>114.57546341553901</v>
      </c>
      <c r="H239" s="10">
        <v>31.5314075109047</v>
      </c>
      <c r="I239" s="10">
        <v>70.635917693983899</v>
      </c>
      <c r="J239" s="10">
        <v>1.40148754477714</v>
      </c>
      <c r="K239" s="10">
        <v>7.1609599640358201</v>
      </c>
      <c r="L239" s="7">
        <v>325.64176922216001</v>
      </c>
      <c r="M239" s="10">
        <v>50.282084484755103</v>
      </c>
      <c r="N239" s="7">
        <v>200.75824769506104</v>
      </c>
      <c r="O239" s="7">
        <v>10.971779261508352</v>
      </c>
    </row>
    <row r="240" spans="1:15">
      <c r="A240" s="13" t="s">
        <v>73</v>
      </c>
      <c r="B240" s="7">
        <v>150384.65869817801</v>
      </c>
      <c r="C240" s="8">
        <v>26404.3831849977</v>
      </c>
      <c r="D240" s="7">
        <v>1006.46514446795</v>
      </c>
      <c r="E240" s="9">
        <v>158.166807867881</v>
      </c>
      <c r="F240" s="10">
        <v>169.69834189296199</v>
      </c>
      <c r="G240" s="10">
        <v>138.39532425410101</v>
      </c>
      <c r="H240" s="10">
        <v>2.5514309107658701</v>
      </c>
      <c r="I240" s="10">
        <v>81.067445448421907</v>
      </c>
      <c r="J240" s="10">
        <v>1.33387040605379</v>
      </c>
      <c r="K240" s="10">
        <v>9.1048096370701899</v>
      </c>
      <c r="L240" s="10">
        <v>128.753201767055</v>
      </c>
      <c r="M240" s="10">
        <v>43.068704437900102</v>
      </c>
      <c r="N240" s="7">
        <v>213.98938869614574</v>
      </c>
      <c r="O240" s="7">
        <v>9.1962768845245613</v>
      </c>
    </row>
    <row r="241" spans="1:15">
      <c r="A241" s="13" t="s">
        <v>46</v>
      </c>
      <c r="B241" s="7">
        <v>124781.807599691</v>
      </c>
      <c r="C241" s="8">
        <v>37290.126243737097</v>
      </c>
      <c r="D241" s="7">
        <v>1194.2636011606</v>
      </c>
      <c r="E241" s="9">
        <v>162.667923295983</v>
      </c>
      <c r="F241" s="7">
        <v>257.33198856064502</v>
      </c>
      <c r="G241" s="10">
        <v>153.56168687554299</v>
      </c>
      <c r="H241" s="10">
        <v>7.3545801997122497</v>
      </c>
      <c r="I241" s="10">
        <v>181.52363712865599</v>
      </c>
      <c r="J241" s="10">
        <v>1.6378795051806201</v>
      </c>
      <c r="K241" s="10">
        <v>9.4863094020395895</v>
      </c>
      <c r="L241" s="10">
        <v>176.55807755910999</v>
      </c>
      <c r="M241" s="10">
        <v>125.05647944303399</v>
      </c>
      <c r="N241" s="7">
        <v>208.44509328278841</v>
      </c>
      <c r="O241" s="7">
        <v>9.9402724087434677</v>
      </c>
    </row>
    <row r="242" spans="1:15">
      <c r="A242" s="13" t="s">
        <v>46</v>
      </c>
      <c r="B242" s="7">
        <v>127036.48898749299</v>
      </c>
      <c r="C242" s="8">
        <v>36516.946447148497</v>
      </c>
      <c r="D242" s="7">
        <v>1032.06709210279</v>
      </c>
      <c r="E242" s="9">
        <v>159.230413966659</v>
      </c>
      <c r="F242" s="7">
        <v>311.89096368028999</v>
      </c>
      <c r="G242" s="10">
        <v>158.513378715323</v>
      </c>
      <c r="H242" s="10">
        <v>21.1007982110409</v>
      </c>
      <c r="I242" s="10">
        <v>116.840126483123</v>
      </c>
      <c r="J242" s="10">
        <v>0.90826117173868703</v>
      </c>
      <c r="K242" s="10">
        <v>1.8342889795006101</v>
      </c>
      <c r="L242" s="10">
        <v>112.897896780788</v>
      </c>
      <c r="M242" s="10">
        <v>45.079514015376198</v>
      </c>
      <c r="N242" s="7">
        <v>191.5894760016642</v>
      </c>
      <c r="O242" s="7">
        <v>12.202147521835503</v>
      </c>
    </row>
    <row r="243" spans="1:15">
      <c r="A243" s="13" t="s">
        <v>47</v>
      </c>
      <c r="B243" s="7">
        <v>123776.85740303301</v>
      </c>
      <c r="C243" s="8">
        <v>28240.3764099051</v>
      </c>
      <c r="D243" s="7">
        <v>1144.40735779847</v>
      </c>
      <c r="E243" s="9">
        <v>174.79278478630599</v>
      </c>
      <c r="F243" s="7">
        <v>415.568737937685</v>
      </c>
      <c r="G243" s="7">
        <v>277.20114973838503</v>
      </c>
      <c r="H243" s="10">
        <v>8.3507521970557601</v>
      </c>
      <c r="I243" s="10">
        <v>147.878174929636</v>
      </c>
      <c r="J243" s="10">
        <v>1.35254214618581</v>
      </c>
      <c r="K243" s="10">
        <v>3.9716147439956702</v>
      </c>
      <c r="L243" s="10">
        <v>182.884985404547</v>
      </c>
      <c r="M243" s="10">
        <v>67.187255959057794</v>
      </c>
      <c r="N243" s="7">
        <v>194.00178922563495</v>
      </c>
      <c r="O243" s="7">
        <v>11.87843637229531</v>
      </c>
    </row>
    <row r="244" spans="1:15">
      <c r="A244" s="13" t="s">
        <v>47</v>
      </c>
      <c r="B244" s="7">
        <v>123301.482128287</v>
      </c>
      <c r="C244" s="8">
        <v>25711.846627798401</v>
      </c>
      <c r="D244" s="7">
        <v>1044.89693552929</v>
      </c>
      <c r="E244" s="9">
        <v>172.71613741674</v>
      </c>
      <c r="F244" s="7">
        <v>231.16203650055101</v>
      </c>
      <c r="G244" s="10">
        <v>154.61670097615701</v>
      </c>
      <c r="H244" s="10">
        <v>7.6481466019118303</v>
      </c>
      <c r="I244" s="10">
        <v>85.807518676259306</v>
      </c>
      <c r="J244" s="10">
        <v>0.930821619485248</v>
      </c>
      <c r="K244" s="10">
        <v>3.4154673860443401</v>
      </c>
      <c r="L244" s="10">
        <v>130.359602085163</v>
      </c>
      <c r="M244" s="10">
        <v>22.167697830974301</v>
      </c>
      <c r="N244" s="7">
        <v>197.98964220545238</v>
      </c>
      <c r="O244" s="7">
        <v>11.343301689341867</v>
      </c>
    </row>
    <row r="245" spans="1:15">
      <c r="A245" s="13" t="s">
        <v>48</v>
      </c>
      <c r="B245" s="7">
        <v>152459.54093980999</v>
      </c>
      <c r="C245" s="8">
        <v>1571.3965779978901</v>
      </c>
      <c r="D245" s="7">
        <v>2415.7719873321498</v>
      </c>
      <c r="E245" s="9">
        <v>138.96611542754999</v>
      </c>
      <c r="F245" s="10">
        <v>58.129330111347599</v>
      </c>
      <c r="G245" s="10">
        <v>2.2576529601120399</v>
      </c>
      <c r="H245" s="10">
        <v>20.562871567552602</v>
      </c>
      <c r="I245" s="10">
        <v>29.416737732482801</v>
      </c>
      <c r="J245" s="10">
        <v>5.4324554148258403E-2</v>
      </c>
      <c r="K245" s="10" t="s">
        <v>18</v>
      </c>
      <c r="L245" s="7">
        <v>276.21192933259698</v>
      </c>
      <c r="M245" s="10">
        <v>14.505891564205299</v>
      </c>
      <c r="N245" s="7">
        <v>162.65867599044478</v>
      </c>
      <c r="O245" s="7">
        <v>16.084405611576344</v>
      </c>
    </row>
    <row r="246" spans="1:15">
      <c r="A246" s="13" t="s">
        <v>81</v>
      </c>
      <c r="B246" s="7">
        <v>156912.038448148</v>
      </c>
      <c r="C246" s="8">
        <v>17974.920339594501</v>
      </c>
      <c r="D246" s="7">
        <v>1497.83848881629</v>
      </c>
      <c r="E246" s="7">
        <v>227.75028489269801</v>
      </c>
      <c r="F246" s="7">
        <v>5530.76243707923</v>
      </c>
      <c r="G246" s="10">
        <v>65.621562298526996</v>
      </c>
      <c r="H246" s="10">
        <v>1971.5742247838</v>
      </c>
      <c r="I246" s="7">
        <v>227.72524572010099</v>
      </c>
      <c r="J246" s="10">
        <v>0.46234064810713199</v>
      </c>
      <c r="K246" s="10">
        <v>114.955234191248</v>
      </c>
      <c r="L246" s="7">
        <v>202.86065583496401</v>
      </c>
      <c r="M246" s="10">
        <v>81.443563568774806</v>
      </c>
      <c r="N246" s="7">
        <v>133.79630988908571</v>
      </c>
      <c r="O246" s="7">
        <v>19.957480474442541</v>
      </c>
    </row>
    <row r="247" spans="1:15">
      <c r="A247" s="13" t="s">
        <v>81</v>
      </c>
      <c r="B247" s="7">
        <v>160522.536716662</v>
      </c>
      <c r="C247" s="8">
        <v>11076.436669929401</v>
      </c>
      <c r="D247" s="7">
        <v>1776.1083583018799</v>
      </c>
      <c r="E247" s="7">
        <v>446.52984702730402</v>
      </c>
      <c r="F247" s="7">
        <v>2755.6146922380199</v>
      </c>
      <c r="G247" s="10">
        <v>133.19052890734901</v>
      </c>
      <c r="H247" s="10">
        <v>969.83883311673503</v>
      </c>
      <c r="I247" s="10">
        <v>183.408448626964</v>
      </c>
      <c r="J247" s="10">
        <v>0.14915025837946899</v>
      </c>
      <c r="K247" s="10">
        <v>72.397565622600396</v>
      </c>
      <c r="L247" s="7">
        <v>209.311059608525</v>
      </c>
      <c r="M247" s="10">
        <v>73.584474734777601</v>
      </c>
      <c r="N247" s="7">
        <v>125.24061355599073</v>
      </c>
      <c r="O247" s="7">
        <v>21.105579430905657</v>
      </c>
    </row>
    <row r="248" spans="1:15">
      <c r="A248" s="13" t="s">
        <v>56</v>
      </c>
      <c r="B248" s="7">
        <v>123301.482128287</v>
      </c>
      <c r="C248" s="8">
        <v>1571.3965779978901</v>
      </c>
      <c r="D248" s="7">
        <v>978.60015802391194</v>
      </c>
      <c r="E248" s="9">
        <v>7.1768466043562702</v>
      </c>
      <c r="F248" s="11">
        <f>MIN(F216:F247)</f>
        <v>26.686155594801001</v>
      </c>
      <c r="G248" s="10">
        <v>2.2576529601120399</v>
      </c>
      <c r="H248" s="10">
        <v>0.672924437988493</v>
      </c>
      <c r="I248" s="10">
        <v>29.416737732482801</v>
      </c>
      <c r="J248" s="10">
        <v>1.11969845109503E-2</v>
      </c>
      <c r="K248" s="10">
        <v>0.25327275327160298</v>
      </c>
      <c r="L248" s="10">
        <v>56.310906715471504</v>
      </c>
      <c r="M248" s="10">
        <v>1.2985107907270801</v>
      </c>
      <c r="N248" s="7">
        <v>124.5624297308338</v>
      </c>
      <c r="O248" s="7"/>
    </row>
    <row r="249" spans="1:15">
      <c r="A249" s="13" t="s">
        <v>57</v>
      </c>
      <c r="B249" s="7">
        <v>185416.02733212401</v>
      </c>
      <c r="C249" s="8">
        <v>97535.555039192899</v>
      </c>
      <c r="D249" s="7">
        <v>2463.9726867700901</v>
      </c>
      <c r="E249" s="7">
        <v>1777.0345312151701</v>
      </c>
      <c r="F249" s="7">
        <f>_xlfn.QUARTILE.INC(F216:F247,4)</f>
        <v>15710.086079246101</v>
      </c>
      <c r="G249" s="7">
        <v>867.26467366112104</v>
      </c>
      <c r="H249" s="10">
        <v>1971.5742247838</v>
      </c>
      <c r="I249" s="7">
        <v>227.72524572010099</v>
      </c>
      <c r="J249" s="10">
        <v>9.9841317554168807</v>
      </c>
      <c r="K249" s="10">
        <v>114.955234191248</v>
      </c>
      <c r="L249" s="7">
        <v>748.744930035116</v>
      </c>
      <c r="M249" s="7">
        <v>413.32805717583602</v>
      </c>
      <c r="N249" s="7">
        <v>220.81702376061008</v>
      </c>
      <c r="O249" s="7"/>
    </row>
    <row r="250" spans="1:15">
      <c r="A250" s="13" t="s">
        <v>58</v>
      </c>
      <c r="B250" s="7">
        <v>151517.7081950875</v>
      </c>
      <c r="C250" s="8">
        <v>14525.678504761951</v>
      </c>
      <c r="D250" s="7">
        <v>1365.10635761553</v>
      </c>
      <c r="E250" s="9">
        <v>175.75778497418048</v>
      </c>
      <c r="F250" s="7">
        <f>_xlfn.QUARTILE.INC(F216:F247,2)</f>
        <v>379.37273178217299</v>
      </c>
      <c r="G250" s="10">
        <v>156.56503984573999</v>
      </c>
      <c r="H250" s="10">
        <v>11.0057341369347</v>
      </c>
      <c r="I250" s="10">
        <v>106.39026702050299</v>
      </c>
      <c r="J250" s="10">
        <v>1.284055550929905</v>
      </c>
      <c r="K250" s="10">
        <v>9.0522331071143292</v>
      </c>
      <c r="L250" s="10">
        <v>196.20803811349501</v>
      </c>
      <c r="M250" s="10">
        <v>66.760395790705189</v>
      </c>
      <c r="N250" s="7">
        <v>184.50987512596589</v>
      </c>
      <c r="O250" s="7"/>
    </row>
    <row r="251" spans="1:15">
      <c r="A251" s="13" t="s">
        <v>59</v>
      </c>
      <c r="B251" s="7">
        <v>149000.14835997918</v>
      </c>
      <c r="C251" s="8">
        <v>20551.783569394793</v>
      </c>
      <c r="D251" s="7">
        <v>1432.7281285687141</v>
      </c>
      <c r="E251" s="7">
        <v>298.66588520434487</v>
      </c>
      <c r="F251" s="7">
        <f>AVERAGE(F216:F247)</f>
        <v>1125.0312332316453</v>
      </c>
      <c r="G251" s="7">
        <v>208.25612722814881</v>
      </c>
      <c r="H251" s="10">
        <v>172.78555455633048</v>
      </c>
      <c r="I251" s="10">
        <v>111.20262667002511</v>
      </c>
      <c r="J251" s="10">
        <v>1.9616318458733604</v>
      </c>
      <c r="K251" s="10">
        <v>17.475055229278073</v>
      </c>
      <c r="L251" s="7">
        <v>254.12187681000916</v>
      </c>
      <c r="M251" s="10">
        <v>69.683547720146734</v>
      </c>
      <c r="N251" s="7">
        <v>180.61252128759074</v>
      </c>
      <c r="O251" s="7"/>
    </row>
    <row r="252" spans="1:15">
      <c r="A252" s="13" t="s">
        <v>60</v>
      </c>
      <c r="B252" s="7">
        <f>STDEV(B216:B247)</f>
        <v>15315.984020307316</v>
      </c>
      <c r="C252" s="7">
        <f t="shared" ref="C252:N252" si="10">STDEV(C216:C247)</f>
        <v>19597.498355762058</v>
      </c>
      <c r="D252" s="7">
        <f t="shared" si="10"/>
        <v>387.18079242178464</v>
      </c>
      <c r="E252" s="7">
        <f t="shared" si="10"/>
        <v>368.79978601812542</v>
      </c>
      <c r="F252" s="7">
        <f t="shared" si="10"/>
        <v>2858.8660378674595</v>
      </c>
      <c r="G252" s="10">
        <f t="shared" si="10"/>
        <v>194.45716640931104</v>
      </c>
      <c r="H252" s="7">
        <f t="shared" si="10"/>
        <v>440.16468094975232</v>
      </c>
      <c r="I252" s="10">
        <f t="shared" si="10"/>
        <v>57.036910450446371</v>
      </c>
      <c r="J252" s="10">
        <f t="shared" si="10"/>
        <v>2.4689258637985958</v>
      </c>
      <c r="K252" s="10">
        <f t="shared" si="10"/>
        <v>26.73144764115084</v>
      </c>
      <c r="L252" s="10">
        <f t="shared" si="10"/>
        <v>170.59490006127018</v>
      </c>
      <c r="M252" s="10">
        <f t="shared" si="10"/>
        <v>70.274425281342886</v>
      </c>
      <c r="N252" s="10">
        <f t="shared" si="10"/>
        <v>27.660751071591047</v>
      </c>
      <c r="O252" s="7"/>
    </row>
    <row r="253" spans="1:15" ht="25.5" customHeight="1">
      <c r="A253" s="17" t="s">
        <v>85</v>
      </c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</row>
  </sheetData>
  <mergeCells count="5">
    <mergeCell ref="A1:O1"/>
    <mergeCell ref="A3:O3"/>
    <mergeCell ref="A101:O101"/>
    <mergeCell ref="A215:O215"/>
    <mergeCell ref="A253:O253"/>
  </mergeCells>
  <phoneticPr fontId="2" type="noConversion"/>
  <pageMargins left="0.7" right="0.7" top="0.75" bottom="0.75" header="0.3" footer="0.3"/>
  <ignoredErrors>
    <ignoredError sqref="B214:N214 B252 C252:N252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86358C9-8BD6-4474-92AA-FC59DC298D51}"/>
</file>

<file path=customXml/itemProps2.xml><?xml version="1.0" encoding="utf-8"?>
<ds:datastoreItem xmlns:ds="http://schemas.openxmlformats.org/officeDocument/2006/customXml" ds:itemID="{7599B570-8081-4962-911C-EBA718C9DB79}"/>
</file>

<file path=customXml/itemProps3.xml><?xml version="1.0" encoding="utf-8"?>
<ds:datastoreItem xmlns:ds="http://schemas.openxmlformats.org/officeDocument/2006/customXml" ds:itemID="{B12BF6C1-E622-4E34-9BD4-3629665281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Eheim</dc:creator>
  <cp:keywords/>
  <dc:description/>
  <cp:lastModifiedBy>k20052</cp:lastModifiedBy>
  <cp:revision/>
  <dcterms:created xsi:type="dcterms:W3CDTF">2015-06-05T18:19:34Z</dcterms:created>
  <dcterms:modified xsi:type="dcterms:W3CDTF">2025-02-12T16:45:35Z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0x010100E89770C754368F49BB2A63D8816AD496</vt:lpwstr>
  </property>
</Properties>
</file>