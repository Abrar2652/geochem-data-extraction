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半边街\文章\新文章\校稿\"/>
    </mc:Choice>
  </mc:AlternateContent>
  <xr:revisionPtr revIDLastSave="0" documentId="8_{52C2936F-5E8C-48A8-B287-78F6B327527E}" xr6:coauthVersionLast="47" xr6:coauthVersionMax="47" xr10:uidLastSave="{00000000-0000-0000-0000-000000000000}"/>
  <bookViews>
    <workbookView xWindow="-105" yWindow="-105" windowWidth="30930" windowHeight="167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D48" i="1"/>
  <c r="E48" i="1"/>
  <c r="C34" i="1"/>
  <c r="D34" i="1"/>
  <c r="E34" i="1"/>
  <c r="C8" i="1"/>
  <c r="D8" i="1"/>
  <c r="E8" i="1"/>
  <c r="U34" i="1" l="1"/>
  <c r="U48" i="1"/>
  <c r="U8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W34" i="1"/>
  <c r="AV34" i="1"/>
  <c r="F34" i="1"/>
  <c r="G8" i="1" l="1"/>
  <c r="H8" i="1"/>
  <c r="I8" i="1"/>
  <c r="J8" i="1"/>
  <c r="K8" i="1"/>
  <c r="L8" i="1"/>
  <c r="M8" i="1"/>
  <c r="N8" i="1"/>
  <c r="O8" i="1"/>
  <c r="P8" i="1"/>
  <c r="Q8" i="1"/>
  <c r="R8" i="1"/>
  <c r="S8" i="1"/>
  <c r="T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W8" i="1"/>
  <c r="AV8" i="1"/>
  <c r="F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W48" i="1"/>
  <c r="AV48" i="1"/>
  <c r="F48" i="1"/>
</calcChain>
</file>

<file path=xl/sharedStrings.xml><?xml version="1.0" encoding="utf-8"?>
<sst xmlns="http://schemas.openxmlformats.org/spreadsheetml/2006/main" count="189" uniqueCount="103">
  <si>
    <t>The role of ore-forming conditions in high germanium enrichment of colloform sphalerite: A case study of the Banbianjie deposit, SW China</t>
    <phoneticPr fontId="2" type="noConversion"/>
  </si>
  <si>
    <t>Supplementary Material 2 In situ trace elements and S-Pb isotopic compositions of sphalerite from the Banbianjie deposit.</t>
    <phoneticPr fontId="2" type="noConversion"/>
  </si>
  <si>
    <t>S34_ppm_mean</t>
  </si>
  <si>
    <t>S34_ppm_2SE(int)</t>
  </si>
  <si>
    <t>S34_ppm_LOD_Pettke</t>
  </si>
  <si>
    <t>Mn55_ppm_mean</t>
  </si>
  <si>
    <t>Mn55_ppm_2SE(int)</t>
  </si>
  <si>
    <t>Mn55_ppm_LOD_Pettke</t>
  </si>
  <si>
    <t>Fe57_ppm_mean</t>
  </si>
  <si>
    <t>Fe57_ppm_2SE(int)</t>
  </si>
  <si>
    <t>Fe57_ppm_LOD_Pettke</t>
  </si>
  <si>
    <t>Cu65_ppm_mean</t>
  </si>
  <si>
    <t>Cu65_ppm_2SE(int)</t>
  </si>
  <si>
    <t>Cu65_ppm_LOD_Pettke</t>
  </si>
  <si>
    <t>Zn66_ppm_mean</t>
  </si>
  <si>
    <t>Zn66_ppm_2SE(int)</t>
  </si>
  <si>
    <t>Zn66_ppm_LOD_Pettke</t>
  </si>
  <si>
    <t>Ga71_ppm_mean</t>
  </si>
  <si>
    <t>Ga71_ppm_2SE(int)</t>
  </si>
  <si>
    <t>Ga71_ppm_LOD_Pettke</t>
  </si>
  <si>
    <t>Ge72_ppm_mean</t>
  </si>
  <si>
    <t>Ge72_ppm_2SE(int)</t>
  </si>
  <si>
    <t>Ge72_ppm_LOD_Pettke</t>
  </si>
  <si>
    <t>As75_ppm_mean</t>
  </si>
  <si>
    <t>As75_ppm_2SE(int)</t>
  </si>
  <si>
    <t>As75_ppm_LOD_Pettke</t>
  </si>
  <si>
    <t>Ag109_ppm_mean</t>
  </si>
  <si>
    <t>Ag109_ppm_2SE(int)</t>
  </si>
  <si>
    <t>Ag109_ppm_LOD_Pettke</t>
  </si>
  <si>
    <t>Cd111_ppm_mean</t>
  </si>
  <si>
    <t>Cd111_ppm_2SE(int)</t>
  </si>
  <si>
    <t>Cd111_ppm_LOD_Pettke</t>
  </si>
  <si>
    <t>In113_ppm_mean</t>
  </si>
  <si>
    <t>In113_ppm_2SE(int)</t>
  </si>
  <si>
    <t>In113_ppm_LOD_Pettke</t>
  </si>
  <si>
    <t>Sn118_ppm_mean</t>
  </si>
  <si>
    <t>Sn118_ppm_2SE(int)</t>
  </si>
  <si>
    <t>Sn118_ppm_LOD_Pettke</t>
  </si>
  <si>
    <t>Sb121_ppm_mean</t>
  </si>
  <si>
    <t>Sb121_ppm_2SE(int)</t>
  </si>
  <si>
    <t>Sb121_ppm_LOD_Pettke</t>
  </si>
  <si>
    <t>Tl205_ppm_mean</t>
  </si>
  <si>
    <t>Tl205_ppm_2SE(int)</t>
  </si>
  <si>
    <t>Tl205_ppm_LOD_Pettke</t>
  </si>
  <si>
    <t>Pb208_ppm_mean</t>
  </si>
  <si>
    <t>Pb208_ppm_2SE(int)</t>
  </si>
  <si>
    <t>Pb208_ppm_LOD_Pettke</t>
  </si>
  <si>
    <r>
      <t>δ</t>
    </r>
    <r>
      <rPr>
        <sz val="9"/>
        <color theme="1"/>
        <rFont val="宋体"/>
        <family val="2"/>
        <charset val="134"/>
      </rPr>
      <t>34S</t>
    </r>
    <phoneticPr fontId="2" type="noConversion"/>
  </si>
  <si>
    <t>2SE</t>
    <phoneticPr fontId="2" type="noConversion"/>
  </si>
  <si>
    <r>
      <rPr>
        <b/>
        <vertAlign val="superscript"/>
        <sz val="9"/>
        <rFont val="Calibri"/>
        <family val="2"/>
      </rPr>
      <t>208</t>
    </r>
    <r>
      <rPr>
        <b/>
        <sz val="9"/>
        <rFont val="Calibri"/>
        <family val="2"/>
      </rPr>
      <t>Pb/</t>
    </r>
    <r>
      <rPr>
        <b/>
        <vertAlign val="superscript"/>
        <sz val="9"/>
        <rFont val="Calibri"/>
        <family val="2"/>
      </rPr>
      <t>204</t>
    </r>
    <r>
      <rPr>
        <b/>
        <sz val="9"/>
        <rFont val="Calibri"/>
        <family val="2"/>
      </rPr>
      <t>Pb</t>
    </r>
    <phoneticPr fontId="2" type="noConversion"/>
  </si>
  <si>
    <t>SE</t>
    <phoneticPr fontId="2" type="noConversion"/>
  </si>
  <si>
    <r>
      <rPr>
        <b/>
        <vertAlign val="superscript"/>
        <sz val="9"/>
        <rFont val="Calibri"/>
        <family val="2"/>
      </rPr>
      <t>207</t>
    </r>
    <r>
      <rPr>
        <b/>
        <sz val="9"/>
        <rFont val="Calibri"/>
        <family val="2"/>
      </rPr>
      <t>Pb/</t>
    </r>
    <r>
      <rPr>
        <b/>
        <vertAlign val="superscript"/>
        <sz val="9"/>
        <rFont val="Calibri"/>
        <family val="2"/>
      </rPr>
      <t>204</t>
    </r>
    <r>
      <rPr>
        <b/>
        <sz val="9"/>
        <rFont val="Calibri"/>
        <family val="2"/>
      </rPr>
      <t>Pb</t>
    </r>
    <phoneticPr fontId="2" type="noConversion"/>
  </si>
  <si>
    <r>
      <rPr>
        <b/>
        <vertAlign val="superscript"/>
        <sz val="9"/>
        <rFont val="Calibri"/>
        <family val="2"/>
      </rPr>
      <t>206</t>
    </r>
    <r>
      <rPr>
        <b/>
        <sz val="9"/>
        <rFont val="Calibri"/>
        <family val="2"/>
      </rPr>
      <t>Pb/</t>
    </r>
    <r>
      <rPr>
        <b/>
        <vertAlign val="superscript"/>
        <sz val="9"/>
        <rFont val="Calibri"/>
        <family val="2"/>
      </rPr>
      <t>204</t>
    </r>
    <r>
      <rPr>
        <b/>
        <sz val="9"/>
        <rFont val="Calibri"/>
        <family val="2"/>
      </rPr>
      <t>Pb</t>
    </r>
    <phoneticPr fontId="2" type="noConversion"/>
  </si>
  <si>
    <t>PC1</t>
    <phoneticPr fontId="2" type="noConversion"/>
  </si>
  <si>
    <t>Tmax</t>
  </si>
  <si>
    <t>Tmin</t>
  </si>
  <si>
    <t>Tcal</t>
  </si>
  <si>
    <t>Sp1a</t>
    <phoneticPr fontId="2" type="noConversion"/>
  </si>
  <si>
    <t>DY-1@1</t>
  </si>
  <si>
    <t>BelowLOD</t>
  </si>
  <si>
    <t>DY-1@2</t>
  </si>
  <si>
    <t>DY-1@3</t>
  </si>
  <si>
    <t>DY-1@4</t>
  </si>
  <si>
    <t>Average</t>
    <phoneticPr fontId="2" type="noConversion"/>
  </si>
  <si>
    <t>Sp1b</t>
    <phoneticPr fontId="2" type="noConversion"/>
  </si>
  <si>
    <t>DY-1@5</t>
  </si>
  <si>
    <t>DY-1@6</t>
  </si>
  <si>
    <t>DY-1@7</t>
  </si>
  <si>
    <t>DY-1@8</t>
  </si>
  <si>
    <t>DY-1@9</t>
  </si>
  <si>
    <t>DY-1@10</t>
  </si>
  <si>
    <t>DY-1@11</t>
  </si>
  <si>
    <t>DY-1@12</t>
  </si>
  <si>
    <t>DY-1@13</t>
  </si>
  <si>
    <t>DY-1@14</t>
  </si>
  <si>
    <t>DY-1@15</t>
  </si>
  <si>
    <t>DY-5@1</t>
  </si>
  <si>
    <t>DY-5@2</t>
  </si>
  <si>
    <t>DY-5@3</t>
  </si>
  <si>
    <t>DY-5@4</t>
  </si>
  <si>
    <t>DY-5@5</t>
  </si>
  <si>
    <t>DY-5@6</t>
  </si>
  <si>
    <t>DY-5@7</t>
  </si>
  <si>
    <t>DY-5@8</t>
  </si>
  <si>
    <t>DY-5@9</t>
  </si>
  <si>
    <t>DY-5@10</t>
  </si>
  <si>
    <t>DY-5@11</t>
  </si>
  <si>
    <t>DY-5@12</t>
  </si>
  <si>
    <t>DY-5@13</t>
  </si>
  <si>
    <t>Sp2</t>
    <phoneticPr fontId="2" type="noConversion"/>
  </si>
  <si>
    <t>ZK1008@1</t>
  </si>
  <si>
    <t>ZK1008@2</t>
  </si>
  <si>
    <t>ZK1008@3</t>
  </si>
  <si>
    <t>ZK1008@4</t>
  </si>
  <si>
    <t>ZK1008@5</t>
  </si>
  <si>
    <t>ZK1008@6</t>
  </si>
  <si>
    <t>ZK1008@7</t>
  </si>
  <si>
    <t>ZK1008@8</t>
  </si>
  <si>
    <t>ZK1008@9</t>
  </si>
  <si>
    <t>ZK1008@10</t>
  </si>
  <si>
    <t>ZK1008@11</t>
  </si>
  <si>
    <t>ZK1008@12</t>
  </si>
  <si>
    <t>ZK1008@13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</si>
</sst>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 "/>
    <numFmt numFmtId="165" formatCode="0.0"/>
    <numFmt numFmtId="166" formatCode="0.000_);[Red]\(0.000\)"/>
    <numFmt numFmtId="167" formatCode="0.00_ "/>
    <numFmt numFmtId="168" formatCode="0_ "/>
  </numFmts>
  <fonts count="11">
    <font>
      <sz val="9"/>
      <color theme="1"/>
      <name val="Times New Roman"/>
      <family val="2"/>
      <charset val="134"/>
    </font>
    <font>
      <b/>
      <sz val="9"/>
      <name val="Calibri"/>
      <family val="2"/>
    </font>
    <font>
      <sz val="9"/>
      <name val="Times New Roman"/>
      <family val="2"/>
      <charset val="134"/>
    </font>
    <font>
      <sz val="11"/>
      <name val="Calibri"/>
      <family val="2"/>
    </font>
    <font>
      <sz val="12"/>
      <name val="宋体"/>
      <family val="3"/>
      <charset val="134"/>
    </font>
    <font>
      <sz val="9"/>
      <name val="Times New Roman"/>
      <family val="1"/>
    </font>
    <font>
      <sz val="9"/>
      <color theme="1"/>
      <name val="Arial"/>
      <family val="2"/>
    </font>
    <font>
      <sz val="9"/>
      <color theme="1"/>
      <name val="宋体"/>
      <family val="2"/>
      <charset val="134"/>
    </font>
    <font>
      <b/>
      <vertAlign val="superscript"/>
      <sz val="9"/>
      <name val="Calibri"/>
      <family val="2"/>
    </font>
    <font>
      <sz val="16"/>
      <color theme="1"/>
      <name val="Times New Roman"/>
      <family val="2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0" fillId="0" borderId="0" xfId="0" applyAlignment="1"/>
    <xf numFmtId="167" fontId="1" fillId="0" borderId="0" xfId="0" applyNumberFormat="1" applyFont="1" applyAlignment="1">
      <alignment horizontal="left" wrapText="1"/>
    </xf>
    <xf numFmtId="167" fontId="1" fillId="0" borderId="0" xfId="0" applyNumberFormat="1" applyFont="1" applyFill="1" applyAlignment="1">
      <alignment horizontal="left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left"/>
    </xf>
    <xf numFmtId="167" fontId="0" fillId="0" borderId="0" xfId="0" applyNumberFormat="1" applyFill="1" applyAlignment="1">
      <alignment horizontal="left"/>
    </xf>
    <xf numFmtId="164" fontId="3" fillId="0" borderId="0" xfId="0" applyNumberFormat="1" applyFon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6" fontId="5" fillId="0" borderId="0" xfId="1" applyNumberFormat="1" applyFont="1" applyAlignment="1">
      <alignment horizontal="left" vertical="center"/>
    </xf>
    <xf numFmtId="166" fontId="5" fillId="0" borderId="0" xfId="2" applyNumberFormat="1" applyFont="1" applyAlignment="1">
      <alignment horizontal="left"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left" wrapText="1"/>
    </xf>
    <xf numFmtId="168" fontId="0" fillId="0" borderId="0" xfId="0" applyNumberFormat="1" applyAlignment="1">
      <alignment horizontal="left"/>
    </xf>
    <xf numFmtId="0" fontId="0" fillId="0" borderId="0" xfId="0" applyFill="1">
      <alignment vertical="center"/>
    </xf>
    <xf numFmtId="0" fontId="0" fillId="0" borderId="0" xfId="0" applyFill="1" applyAlignment="1"/>
    <xf numFmtId="168" fontId="0" fillId="0" borderId="0" xfId="0" applyNumberFormat="1" applyFill="1" applyAlignment="1">
      <alignment horizontal="left"/>
    </xf>
    <xf numFmtId="165" fontId="3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 vertical="center"/>
    </xf>
    <xf numFmtId="167" fontId="0" fillId="0" borderId="0" xfId="0" applyNumberFormat="1" applyFill="1" applyAlignment="1">
      <alignment horizontal="left" vertical="center"/>
    </xf>
    <xf numFmtId="0" fontId="0" fillId="0" borderId="0" xfId="0" applyAlignment="1"/>
    <xf numFmtId="0" fontId="9" fillId="0" borderId="0" xfId="0" applyFont="1" applyAlignment="1"/>
    <xf numFmtId="0" fontId="0" fillId="0" borderId="0" xfId="0" applyAlignment="1"/>
    <xf numFmtId="0" fontId="10" fillId="0" borderId="0" xfId="0" applyFont="1" applyAlignment="1"/>
  </cellXfs>
  <cellStyles count="5">
    <cellStyle name="Normal" xfId="0" builtinId="0"/>
    <cellStyle name="常规 2" xfId="2" xr:uid="{00000000-0005-0000-0000-000001000000}"/>
    <cellStyle name="常规 2 2" xfId="3" xr:uid="{00000000-0005-0000-0000-000002000000}"/>
    <cellStyle name="常规 2_SP17G582徐大良-Hf-Report" xfId="4" xr:uid="{00000000-0005-0000-0000-000003000000}"/>
    <cellStyle name="常规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8"/>
  <sheetViews>
    <sheetView tabSelected="1" workbookViewId="0">
      <pane ySplit="3" topLeftCell="A4" activePane="bottomLeft" state="frozen"/>
      <selection pane="bottomLeft" activeCell="M3" sqref="M3"/>
    </sheetView>
  </sheetViews>
  <sheetFormatPr defaultRowHeight="12"/>
  <cols>
    <col min="2" max="2" width="12.1640625" style="2" customWidth="1"/>
    <col min="3" max="3" width="11" style="17" bestFit="1" customWidth="1"/>
    <col min="4" max="4" width="9.83203125" style="17" bestFit="1" customWidth="1"/>
    <col min="5" max="5" width="9.33203125" style="17" bestFit="1" customWidth="1"/>
    <col min="6" max="8" width="9.33203125" style="8" bestFit="1" customWidth="1"/>
    <col min="9" max="9" width="9.83203125" style="17" bestFit="1" customWidth="1"/>
    <col min="10" max="10" width="9.33203125" style="17" bestFit="1" customWidth="1"/>
    <col min="11" max="11" width="9.33203125" style="8" bestFit="1" customWidth="1"/>
    <col min="12" max="12" width="14" style="8" customWidth="1"/>
    <col min="13" max="14" width="9.33203125" style="8" bestFit="1" customWidth="1"/>
    <col min="15" max="15" width="11" style="17" bestFit="1" customWidth="1"/>
    <col min="16" max="16" width="9.83203125" style="17" bestFit="1" customWidth="1"/>
    <col min="17" max="17" width="9.33203125" style="8" bestFit="1" customWidth="1"/>
    <col min="18" max="23" width="9.33203125" style="9" bestFit="1" customWidth="1"/>
    <col min="24" max="24" width="13.83203125" style="9" customWidth="1"/>
    <col min="25" max="30" width="9.33203125" style="9" bestFit="1" customWidth="1"/>
    <col min="31" max="38" width="9.33203125" style="8" bestFit="1" customWidth="1"/>
    <col min="39" max="39" width="15.6640625" style="8" customWidth="1"/>
    <col min="40" max="44" width="9.33203125" style="8" bestFit="1" customWidth="1"/>
    <col min="45" max="45" width="9.33203125" style="9" bestFit="1" customWidth="1"/>
    <col min="46" max="47" width="9.33203125" style="8" bestFit="1" customWidth="1"/>
    <col min="48" max="49" width="9.1640625" style="7"/>
    <col min="50" max="50" width="13.6640625" style="7" customWidth="1"/>
    <col min="51" max="51" width="9.1640625" style="7"/>
    <col min="52" max="52" width="13.5" style="7" customWidth="1"/>
    <col min="53" max="53" width="9.1640625" style="7"/>
    <col min="54" max="54" width="12.33203125" style="7" customWidth="1"/>
    <col min="55" max="55" width="9.1640625" style="7"/>
    <col min="56" max="59" width="11" style="11" bestFit="1" customWidth="1"/>
  </cols>
  <sheetData>
    <row r="1" spans="1:59" ht="2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/>
      <c r="X1" s="26"/>
      <c r="Y1" s="26"/>
      <c r="Z1" s="26"/>
      <c r="AA1" s="26"/>
    </row>
    <row r="2" spans="1:59" ht="15.75">
      <c r="B2" s="27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59" ht="36">
      <c r="B3" s="1"/>
      <c r="C3" s="16" t="s">
        <v>2</v>
      </c>
      <c r="D3" s="16" t="s">
        <v>3</v>
      </c>
      <c r="E3" s="16" t="s">
        <v>4</v>
      </c>
      <c r="F3" s="3" t="s">
        <v>5</v>
      </c>
      <c r="G3" s="3" t="s">
        <v>6</v>
      </c>
      <c r="H3" s="3" t="s">
        <v>7</v>
      </c>
      <c r="I3" s="16" t="s">
        <v>8</v>
      </c>
      <c r="J3" s="16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16" t="s">
        <v>14</v>
      </c>
      <c r="P3" s="16" t="s">
        <v>15</v>
      </c>
      <c r="Q3" s="3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4" t="s">
        <v>44</v>
      </c>
      <c r="AT3" s="3" t="s">
        <v>45</v>
      </c>
      <c r="AU3" s="3" t="s">
        <v>46</v>
      </c>
      <c r="AV3" s="5" t="s">
        <v>47</v>
      </c>
      <c r="AW3" s="6" t="s">
        <v>48</v>
      </c>
      <c r="AX3" s="6" t="s">
        <v>49</v>
      </c>
      <c r="AY3" s="6" t="s">
        <v>50</v>
      </c>
      <c r="AZ3" s="6" t="s">
        <v>51</v>
      </c>
      <c r="BA3" s="6" t="s">
        <v>50</v>
      </c>
      <c r="BB3" s="6" t="s">
        <v>52</v>
      </c>
      <c r="BC3" s="6" t="s">
        <v>50</v>
      </c>
      <c r="BD3" s="11" t="s">
        <v>53</v>
      </c>
      <c r="BE3" s="11" t="s">
        <v>54</v>
      </c>
      <c r="BF3" s="11" t="s">
        <v>55</v>
      </c>
      <c r="BG3" s="11" t="s">
        <v>56</v>
      </c>
    </row>
    <row r="4" spans="1:59" ht="15">
      <c r="A4" t="s">
        <v>57</v>
      </c>
      <c r="B4" s="24" t="s">
        <v>58</v>
      </c>
      <c r="C4" s="17">
        <v>333281.43224028801</v>
      </c>
      <c r="D4" s="17">
        <v>12728.740747922</v>
      </c>
      <c r="E4" s="17">
        <v>403.73960570179798</v>
      </c>
      <c r="F4" s="8">
        <v>52.734060288008799</v>
      </c>
      <c r="G4" s="8">
        <v>1.7423691646295401</v>
      </c>
      <c r="H4" s="8">
        <v>1.23731105191966</v>
      </c>
      <c r="I4" s="17">
        <v>14776.961257249601</v>
      </c>
      <c r="J4" s="17">
        <v>274.232257976612</v>
      </c>
      <c r="K4" s="8">
        <v>11.5442673871419</v>
      </c>
      <c r="L4" s="8">
        <v>2.1555331384260601</v>
      </c>
      <c r="M4" s="8">
        <v>0.32294716014135899</v>
      </c>
      <c r="N4" s="8">
        <v>1.19572806508799</v>
      </c>
      <c r="O4" s="17">
        <v>649059.36207076802</v>
      </c>
      <c r="P4" s="17">
        <v>12851.5224021907</v>
      </c>
      <c r="Q4" s="8">
        <v>1.78972557320074</v>
      </c>
      <c r="R4" s="9">
        <v>3.3332161807403198</v>
      </c>
      <c r="S4" s="9">
        <v>0.60706981562221995</v>
      </c>
      <c r="T4" s="9">
        <v>0.14925563354329399</v>
      </c>
      <c r="U4" s="9">
        <v>561.94565420342303</v>
      </c>
      <c r="V4" s="9">
        <v>31.474395018939699</v>
      </c>
      <c r="W4" s="9">
        <v>0.70351696936312902</v>
      </c>
      <c r="X4" s="9" t="s">
        <v>59</v>
      </c>
      <c r="Y4" s="9">
        <v>0.66600164563506203</v>
      </c>
      <c r="Z4" s="9">
        <v>3.62994575987282</v>
      </c>
      <c r="AA4" s="9">
        <v>1.3028702935676699</v>
      </c>
      <c r="AB4" s="9">
        <v>0.107558482765724</v>
      </c>
      <c r="AC4" s="9">
        <v>3.9838233614513198E-2</v>
      </c>
      <c r="AD4" s="9">
        <v>468.84218969796001</v>
      </c>
      <c r="AE4" s="8">
        <v>21.303156246079201</v>
      </c>
      <c r="AF4" s="8">
        <v>0.41513895303077902</v>
      </c>
      <c r="AG4" s="8">
        <v>203.13683370472799</v>
      </c>
      <c r="AH4" s="8">
        <v>8.1217366161391507</v>
      </c>
      <c r="AI4" s="8">
        <v>0.182504056799175</v>
      </c>
      <c r="AJ4" s="8">
        <v>6.90194616523479</v>
      </c>
      <c r="AK4" s="8">
        <v>0.47564897877498802</v>
      </c>
      <c r="AL4" s="8">
        <v>0.28694006984190001</v>
      </c>
      <c r="AM4" s="8" t="s">
        <v>59</v>
      </c>
      <c r="AN4" s="8">
        <v>8.5700689873891706E-2</v>
      </c>
      <c r="AO4" s="8">
        <v>0.36569761968221798</v>
      </c>
      <c r="AP4" s="8">
        <v>22.178409395141799</v>
      </c>
      <c r="AQ4" s="8">
        <v>0.58754370589171301</v>
      </c>
      <c r="AR4" s="8">
        <v>1.30801302245321E-2</v>
      </c>
      <c r="AS4" s="9">
        <v>803.149382291385</v>
      </c>
      <c r="AT4" s="8">
        <v>28.515665987090799</v>
      </c>
      <c r="AU4" s="8">
        <v>3.1660120644237198E-2</v>
      </c>
      <c r="AV4" s="10">
        <v>-4.8818999999999999</v>
      </c>
      <c r="AW4" s="11">
        <v>0.26250000000000001</v>
      </c>
      <c r="AX4" s="12">
        <v>38.326180000000001</v>
      </c>
      <c r="AY4" s="12">
        <v>7.1228619999999998E-3</v>
      </c>
      <c r="AZ4" s="12">
        <v>15.734970000000001</v>
      </c>
      <c r="BA4" s="12">
        <v>3.05273E-3</v>
      </c>
      <c r="BB4" s="12">
        <v>18.343399999999999</v>
      </c>
      <c r="BC4" s="12">
        <v>3.4156569999999999E-3</v>
      </c>
      <c r="BD4" s="11">
        <v>0.79411230006997302</v>
      </c>
      <c r="BE4" s="11">
        <v>180.597310666704</v>
      </c>
      <c r="BF4" s="11">
        <v>144.71506466530479</v>
      </c>
      <c r="BG4" s="11">
        <v>162.65618766600454</v>
      </c>
    </row>
    <row r="5" spans="1:59" ht="15">
      <c r="B5" s="24" t="s">
        <v>60</v>
      </c>
      <c r="C5" s="17">
        <v>331027.88613240502</v>
      </c>
      <c r="D5" s="17">
        <v>12377.704859015999</v>
      </c>
      <c r="E5" s="17">
        <v>394.08484129445498</v>
      </c>
      <c r="F5" s="8">
        <v>43.7747371744926</v>
      </c>
      <c r="G5" s="8">
        <v>1.5334478721525999</v>
      </c>
      <c r="H5" s="8">
        <v>1.2101820670560699</v>
      </c>
      <c r="I5" s="17">
        <v>13477.8845538323</v>
      </c>
      <c r="J5" s="17">
        <v>472.270843868219</v>
      </c>
      <c r="K5" s="8">
        <v>11.5117291263825</v>
      </c>
      <c r="L5" s="8">
        <v>2.4651770445799399</v>
      </c>
      <c r="M5" s="8">
        <v>0.31882738362320501</v>
      </c>
      <c r="N5" s="8">
        <v>1.2295951206550499</v>
      </c>
      <c r="O5" s="17">
        <v>653476.40352395899</v>
      </c>
      <c r="P5" s="17">
        <v>12543.816761828401</v>
      </c>
      <c r="Q5" s="8">
        <v>1.90048272873372</v>
      </c>
      <c r="R5" s="9">
        <v>18.119994162866998</v>
      </c>
      <c r="S5" s="9">
        <v>1.1866616321825501</v>
      </c>
      <c r="T5" s="9">
        <v>0.10625270095011199</v>
      </c>
      <c r="U5" s="9">
        <v>463.00712682389701</v>
      </c>
      <c r="V5" s="9">
        <v>29.764937692683901</v>
      </c>
      <c r="W5" s="9">
        <v>0.61710657230380705</v>
      </c>
      <c r="X5" s="9" t="s">
        <v>59</v>
      </c>
      <c r="Y5" s="9">
        <v>0.730724136463482</v>
      </c>
      <c r="Z5" s="9">
        <v>3.5624439763460898</v>
      </c>
      <c r="AA5" s="9">
        <v>0.67656389639794501</v>
      </c>
      <c r="AB5" s="9">
        <v>7.2231589140952193E-2</v>
      </c>
      <c r="AC5" s="9">
        <v>7.3199749919850496E-2</v>
      </c>
      <c r="AD5" s="9">
        <v>760.36051650544505</v>
      </c>
      <c r="AE5" s="8">
        <v>35.119742511953397</v>
      </c>
      <c r="AF5" s="8">
        <v>0.44041506861889701</v>
      </c>
      <c r="AG5" s="8">
        <v>333.99824015595999</v>
      </c>
      <c r="AH5" s="8">
        <v>14.2943089462094</v>
      </c>
      <c r="AI5" s="8">
        <v>0.259941910367886</v>
      </c>
      <c r="AJ5" s="8">
        <v>6.43950586091582</v>
      </c>
      <c r="AK5" s="8">
        <v>0.35912137902590502</v>
      </c>
      <c r="AL5" s="8">
        <v>0.27707069922311001</v>
      </c>
      <c r="AM5" s="8" t="s">
        <v>59</v>
      </c>
      <c r="AN5" s="8">
        <v>8.1557575535709401E-2</v>
      </c>
      <c r="AO5" s="8">
        <v>0.348299015840211</v>
      </c>
      <c r="AP5" s="8">
        <v>16.8962416731651</v>
      </c>
      <c r="AQ5" s="8">
        <v>0.49645168477944301</v>
      </c>
      <c r="AR5" s="8">
        <v>1.29826687891376E-2</v>
      </c>
      <c r="AS5" s="9">
        <v>581.98561807718397</v>
      </c>
      <c r="AT5" s="8">
        <v>26.5355119313088</v>
      </c>
      <c r="AU5" s="8">
        <v>2.65602831130268E-2</v>
      </c>
      <c r="AV5" s="10">
        <v>-5.8287000000000004</v>
      </c>
      <c r="AW5" s="11">
        <v>0.16450000000000001</v>
      </c>
      <c r="BD5" s="11">
        <v>1.0951168371834299</v>
      </c>
      <c r="BE5" s="11">
        <v>166.41999696866</v>
      </c>
      <c r="BF5" s="11">
        <v>124.51766022499186</v>
      </c>
      <c r="BG5" s="11">
        <v>145.46882859682614</v>
      </c>
    </row>
    <row r="6" spans="1:59" ht="15">
      <c r="B6" s="24" t="s">
        <v>61</v>
      </c>
      <c r="C6" s="17">
        <v>336951.65020823601</v>
      </c>
      <c r="D6" s="17">
        <v>11098.308571474599</v>
      </c>
      <c r="E6" s="17">
        <v>396.92286291152999</v>
      </c>
      <c r="F6" s="8">
        <v>66.844953267747897</v>
      </c>
      <c r="G6" s="8">
        <v>2.09536220577675</v>
      </c>
      <c r="H6" s="8">
        <v>1.2078223211480901</v>
      </c>
      <c r="I6" s="17">
        <v>10407.478234558101</v>
      </c>
      <c r="J6" s="17">
        <v>476.75209325640299</v>
      </c>
      <c r="K6" s="8">
        <v>10.8996635975665</v>
      </c>
      <c r="L6" s="8">
        <v>5.3116808800248103</v>
      </c>
      <c r="M6" s="8">
        <v>0.44207413887126201</v>
      </c>
      <c r="N6" s="8">
        <v>1.1907819583830099</v>
      </c>
      <c r="O6" s="17">
        <v>646103.761391746</v>
      </c>
      <c r="P6" s="17">
        <v>11291.33508357</v>
      </c>
      <c r="Q6" s="8">
        <v>2.2543116216557402</v>
      </c>
      <c r="R6" s="9">
        <v>1.2793126188125601</v>
      </c>
      <c r="S6" s="9">
        <v>0.16026550704067699</v>
      </c>
      <c r="T6" s="9">
        <v>0.12373377482541199</v>
      </c>
      <c r="U6" s="9">
        <v>692.41314167598705</v>
      </c>
      <c r="V6" s="9">
        <v>40.583684933398303</v>
      </c>
      <c r="W6" s="9">
        <v>0.61784435306145702</v>
      </c>
      <c r="X6" s="9" t="s">
        <v>59</v>
      </c>
      <c r="Y6" s="9">
        <v>0.67679289109399499</v>
      </c>
      <c r="Z6" s="9">
        <v>3.5353339777730399</v>
      </c>
      <c r="AA6" s="9">
        <v>1.7001411459259499</v>
      </c>
      <c r="AB6" s="9">
        <v>0.16341656719103601</v>
      </c>
      <c r="AC6" s="9">
        <v>3.9671829895271002E-2</v>
      </c>
      <c r="AD6" s="9">
        <v>522.86502074713906</v>
      </c>
      <c r="AE6" s="8">
        <v>30.883278529322599</v>
      </c>
      <c r="AF6" s="8">
        <v>0.49574161273628198</v>
      </c>
      <c r="AG6" s="8">
        <v>226.62753340726999</v>
      </c>
      <c r="AH6" s="8">
        <v>10.9664975909877</v>
      </c>
      <c r="AI6" s="8">
        <v>0.27862957167742503</v>
      </c>
      <c r="AJ6" s="8">
        <v>6.5433845211911397</v>
      </c>
      <c r="AK6" s="8">
        <v>0.49934775500727502</v>
      </c>
      <c r="AL6" s="8">
        <v>0.25693926819441298</v>
      </c>
      <c r="AM6" s="8">
        <v>0.43997098839286702</v>
      </c>
      <c r="AN6" s="8">
        <v>7.8308379499957004E-2</v>
      </c>
      <c r="AO6" s="8">
        <v>0.32892344374198401</v>
      </c>
      <c r="AP6" s="8">
        <v>27.902355421661401</v>
      </c>
      <c r="AQ6" s="8">
        <v>1.10036854395267</v>
      </c>
      <c r="AR6" s="8">
        <v>1.3028896295892101E-2</v>
      </c>
      <c r="AS6" s="9">
        <v>956.67459201925794</v>
      </c>
      <c r="AT6" s="8">
        <v>40.178871015516101</v>
      </c>
      <c r="AU6" s="8">
        <v>3.29962289372931E-2</v>
      </c>
      <c r="AV6" s="10">
        <v>-7.0365000000000002</v>
      </c>
      <c r="AW6" s="11">
        <v>0.122</v>
      </c>
      <c r="AX6" s="13">
        <v>38.317059999999998</v>
      </c>
      <c r="AY6" s="13">
        <v>1.0614739999999999E-2</v>
      </c>
      <c r="AZ6" s="13">
        <v>15.73222</v>
      </c>
      <c r="BA6" s="13">
        <v>4.5875459999999996E-3</v>
      </c>
      <c r="BB6" s="13">
        <v>18.345580000000002</v>
      </c>
      <c r="BC6" s="13">
        <v>4.5130200000000004E-3</v>
      </c>
      <c r="BD6" s="11">
        <v>1.0131147074545728</v>
      </c>
      <c r="BE6" s="11">
        <v>170.28229727888962</v>
      </c>
      <c r="BF6" s="11">
        <v>130.02000312979817</v>
      </c>
      <c r="BG6" s="11">
        <v>150.15115020434388</v>
      </c>
    </row>
    <row r="7" spans="1:59" ht="15">
      <c r="B7" s="24" t="s">
        <v>62</v>
      </c>
      <c r="C7" s="17">
        <v>329623.44393389201</v>
      </c>
      <c r="D7" s="17">
        <v>8147.7563526623999</v>
      </c>
      <c r="E7" s="17">
        <v>423.56340553162698</v>
      </c>
      <c r="F7" s="8">
        <v>61.044619948916598</v>
      </c>
      <c r="G7" s="8">
        <v>1.85840166785802</v>
      </c>
      <c r="H7" s="8">
        <v>1.25819963503771</v>
      </c>
      <c r="I7" s="17">
        <v>22006.837836077699</v>
      </c>
      <c r="J7" s="17">
        <v>2383.4960039727698</v>
      </c>
      <c r="K7" s="8">
        <v>11.810733604286099</v>
      </c>
      <c r="L7" s="8">
        <v>3.2675813347220202</v>
      </c>
      <c r="M7" s="8">
        <v>0.41969161522863202</v>
      </c>
      <c r="N7" s="8">
        <v>1.34011688855797</v>
      </c>
      <c r="O7" s="17">
        <v>615364.49615026603</v>
      </c>
      <c r="P7" s="17">
        <v>11866.1093984609</v>
      </c>
      <c r="Q7" s="8">
        <v>2.51446222339387</v>
      </c>
      <c r="R7" s="9">
        <v>2.7673582162481298</v>
      </c>
      <c r="S7" s="9">
        <v>0.23748095995433699</v>
      </c>
      <c r="T7" s="9">
        <v>9.9967217006548995E-2</v>
      </c>
      <c r="U7" s="9">
        <v>574.54959062954504</v>
      </c>
      <c r="V7" s="9">
        <v>25.258210391733801</v>
      </c>
      <c r="W7" s="9">
        <v>0.693166796872424</v>
      </c>
      <c r="X7" s="9">
        <v>6.90591221221427</v>
      </c>
      <c r="Y7" s="9">
        <v>1.3617442566848199</v>
      </c>
      <c r="Z7" s="9">
        <v>3.6614776722614799</v>
      </c>
      <c r="AA7" s="9">
        <v>1.53153871527664</v>
      </c>
      <c r="AB7" s="9">
        <v>0.15022899836367901</v>
      </c>
      <c r="AC7" s="9">
        <v>5.7791222986878603E-2</v>
      </c>
      <c r="AD7" s="9">
        <v>502.39802992615802</v>
      </c>
      <c r="AE7" s="8">
        <v>22.235869811008801</v>
      </c>
      <c r="AF7" s="8">
        <v>0.559171239675189</v>
      </c>
      <c r="AG7" s="8">
        <v>222.34944720728799</v>
      </c>
      <c r="AH7" s="8">
        <v>9.2413745658926505</v>
      </c>
      <c r="AI7" s="8">
        <v>0.22207008653877799</v>
      </c>
      <c r="AJ7" s="8">
        <v>9.1888080688782807</v>
      </c>
      <c r="AK7" s="8">
        <v>0.53990804767978795</v>
      </c>
      <c r="AL7" s="8">
        <v>0.272093232419994</v>
      </c>
      <c r="AM7" s="8">
        <v>0.74171897998985103</v>
      </c>
      <c r="AN7" s="8">
        <v>0.116406295732579</v>
      </c>
      <c r="AO7" s="8">
        <v>0.344642140003796</v>
      </c>
      <c r="AP7" s="8">
        <v>23.964932927649901</v>
      </c>
      <c r="AQ7" s="8">
        <v>0.69780961900226801</v>
      </c>
      <c r="AR7" s="8">
        <v>7.5788322156986098E-3</v>
      </c>
      <c r="AS7" s="9">
        <v>955.60806189781601</v>
      </c>
      <c r="AT7" s="8">
        <v>30.067567151523701</v>
      </c>
      <c r="AU7" s="8">
        <v>3.7039298619638401E-2</v>
      </c>
      <c r="AV7" s="10">
        <v>-5.6702000000000004</v>
      </c>
      <c r="AW7" s="11">
        <v>0.1217</v>
      </c>
      <c r="AX7" s="13">
        <v>38.330390000000001</v>
      </c>
      <c r="AY7" s="13">
        <v>7.7238100000000002E-3</v>
      </c>
      <c r="AZ7" s="13">
        <v>15.73639</v>
      </c>
      <c r="BA7" s="13">
        <v>3.1195089999999999E-3</v>
      </c>
      <c r="BB7" s="13">
        <v>18.34273</v>
      </c>
      <c r="BC7" s="13">
        <v>3.5122830000000002E-3</v>
      </c>
      <c r="BD7" s="11">
        <v>0.57530488662235024</v>
      </c>
      <c r="BE7" s="11">
        <v>190.90313984008731</v>
      </c>
      <c r="BF7" s="11">
        <v>159.39704210764029</v>
      </c>
      <c r="BG7" s="11">
        <v>175.1500909738638</v>
      </c>
    </row>
    <row r="8" spans="1:59">
      <c r="B8" s="24" t="s">
        <v>63</v>
      </c>
      <c r="C8" s="8">
        <f t="shared" ref="C8:E8" si="0">AVERAGE(C4:C7)</f>
        <v>332721.10312870529</v>
      </c>
      <c r="D8" s="8">
        <f t="shared" si="0"/>
        <v>11088.12763276875</v>
      </c>
      <c r="E8" s="8">
        <f t="shared" si="0"/>
        <v>404.57767885985248</v>
      </c>
      <c r="F8" s="8">
        <f>AVERAGE(F4:F7)</f>
        <v>56.099592669791477</v>
      </c>
      <c r="G8" s="8">
        <f t="shared" ref="G8:AV8" si="1">AVERAGE(G4:G7)</f>
        <v>1.8073952276042275</v>
      </c>
      <c r="H8" s="8">
        <f t="shared" si="1"/>
        <v>1.2283787687903824</v>
      </c>
      <c r="I8" s="17">
        <f t="shared" si="1"/>
        <v>15167.290470429425</v>
      </c>
      <c r="J8" s="17">
        <f t="shared" si="1"/>
        <v>901.68779976850101</v>
      </c>
      <c r="K8" s="8">
        <f t="shared" si="1"/>
        <v>11.44159842884425</v>
      </c>
      <c r="L8" s="8">
        <f t="shared" si="1"/>
        <v>3.2999930994382076</v>
      </c>
      <c r="M8" s="8">
        <f t="shared" si="1"/>
        <v>0.37588507446611452</v>
      </c>
      <c r="N8" s="8">
        <f t="shared" si="1"/>
        <v>1.2390555081710048</v>
      </c>
      <c r="O8" s="17">
        <f t="shared" si="1"/>
        <v>641001.00578418467</v>
      </c>
      <c r="P8" s="17">
        <f t="shared" si="1"/>
        <v>12138.195911512499</v>
      </c>
      <c r="Q8" s="8">
        <f t="shared" si="1"/>
        <v>2.1147455367460175</v>
      </c>
      <c r="R8" s="9">
        <f t="shared" si="1"/>
        <v>6.3749702946670022</v>
      </c>
      <c r="S8" s="9">
        <f t="shared" si="1"/>
        <v>0.54786947869994596</v>
      </c>
      <c r="T8" s="9">
        <f t="shared" si="1"/>
        <v>0.11980233158134174</v>
      </c>
      <c r="U8" s="9">
        <f t="shared" si="1"/>
        <v>572.97887833321306</v>
      </c>
      <c r="V8" s="9">
        <f t="shared" si="1"/>
        <v>31.770307009188926</v>
      </c>
      <c r="W8" s="9">
        <f t="shared" si="1"/>
        <v>0.65790867290020427</v>
      </c>
      <c r="X8" s="9">
        <f t="shared" si="1"/>
        <v>6.90591221221427</v>
      </c>
      <c r="Y8" s="9">
        <f t="shared" si="1"/>
        <v>0.85881573246933973</v>
      </c>
      <c r="Z8" s="9">
        <f t="shared" si="1"/>
        <v>3.5973003465633573</v>
      </c>
      <c r="AA8" s="9">
        <f t="shared" si="1"/>
        <v>1.3027785127920513</v>
      </c>
      <c r="AB8" s="9">
        <f t="shared" si="1"/>
        <v>0.1233589093653478</v>
      </c>
      <c r="AC8" s="9">
        <f t="shared" si="1"/>
        <v>5.2625259104128325E-2</v>
      </c>
      <c r="AD8" s="9">
        <f t="shared" si="1"/>
        <v>563.6164392191755</v>
      </c>
      <c r="AE8" s="8">
        <f t="shared" si="1"/>
        <v>27.385511774590999</v>
      </c>
      <c r="AF8" s="8">
        <f t="shared" si="1"/>
        <v>0.47761671851528675</v>
      </c>
      <c r="AG8" s="8">
        <f t="shared" si="1"/>
        <v>246.52801361881149</v>
      </c>
      <c r="AH8" s="8">
        <f t="shared" si="1"/>
        <v>10.655979429807225</v>
      </c>
      <c r="AI8" s="8">
        <f t="shared" si="1"/>
        <v>0.23578640634581602</v>
      </c>
      <c r="AJ8" s="8">
        <f t="shared" si="1"/>
        <v>7.2684111540550074</v>
      </c>
      <c r="AK8" s="8">
        <f t="shared" si="1"/>
        <v>0.468506540121989</v>
      </c>
      <c r="AL8" s="8">
        <f t="shared" si="1"/>
        <v>0.27326081741985425</v>
      </c>
      <c r="AM8" s="8">
        <f t="shared" si="1"/>
        <v>0.590844984191359</v>
      </c>
      <c r="AN8" s="8">
        <f t="shared" si="1"/>
        <v>9.0493235160534272E-2</v>
      </c>
      <c r="AO8" s="8">
        <f t="shared" si="1"/>
        <v>0.34689055481705222</v>
      </c>
      <c r="AP8" s="8">
        <f t="shared" si="1"/>
        <v>22.73548485440455</v>
      </c>
      <c r="AQ8" s="8">
        <f t="shared" si="1"/>
        <v>0.72054338840652354</v>
      </c>
      <c r="AR8" s="8">
        <f t="shared" si="1"/>
        <v>1.1667631881315104E-2</v>
      </c>
      <c r="AS8" s="9">
        <f t="shared" si="1"/>
        <v>824.35441357141076</v>
      </c>
      <c r="AT8" s="8">
        <f t="shared" si="1"/>
        <v>31.32440402135985</v>
      </c>
      <c r="AU8" s="8">
        <f t="shared" si="1"/>
        <v>3.2063982828548873E-2</v>
      </c>
      <c r="AV8" s="14">
        <f t="shared" si="1"/>
        <v>-5.8543250000000002</v>
      </c>
      <c r="AW8" s="14">
        <f>AVERAGE(AW4:AW7)</f>
        <v>0.16767500000000002</v>
      </c>
      <c r="AX8" s="13"/>
      <c r="AY8" s="13"/>
      <c r="AZ8" s="13"/>
      <c r="BA8" s="13"/>
      <c r="BB8" s="13"/>
      <c r="BC8" s="13"/>
      <c r="BD8" s="11">
        <v>0.89977414648996434</v>
      </c>
      <c r="BE8" s="11">
        <v>175.62063770032267</v>
      </c>
      <c r="BF8" s="11">
        <v>137.62515477052341</v>
      </c>
      <c r="BG8" s="11">
        <v>156.62289623542304</v>
      </c>
    </row>
    <row r="9" spans="1:59">
      <c r="B9" s="24"/>
      <c r="AV9" s="14"/>
      <c r="AW9" s="14"/>
      <c r="AX9" s="13"/>
      <c r="AY9" s="13"/>
      <c r="AZ9" s="13"/>
      <c r="BA9" s="13"/>
      <c r="BB9" s="13"/>
      <c r="BC9" s="13"/>
    </row>
    <row r="10" spans="1:59" ht="15">
      <c r="A10" t="s">
        <v>64</v>
      </c>
      <c r="B10" s="24" t="s">
        <v>65</v>
      </c>
      <c r="C10" s="17">
        <v>331872.68089232198</v>
      </c>
      <c r="D10" s="17">
        <v>5265.0942229125003</v>
      </c>
      <c r="E10" s="17">
        <v>390.58983145038297</v>
      </c>
      <c r="F10" s="8">
        <v>89.751307857806594</v>
      </c>
      <c r="G10" s="8">
        <v>1.60878301760971</v>
      </c>
      <c r="H10" s="8">
        <v>1.2028521627564599</v>
      </c>
      <c r="I10" s="17">
        <v>7640.1502373683397</v>
      </c>
      <c r="J10" s="17">
        <v>176.49095233883</v>
      </c>
      <c r="K10" s="8">
        <v>10.737726013895299</v>
      </c>
      <c r="L10" s="8">
        <v>3.0267078074673499</v>
      </c>
      <c r="M10" s="8">
        <v>0.38196134156809097</v>
      </c>
      <c r="N10" s="8">
        <v>1.19245471048844</v>
      </c>
      <c r="O10" s="17">
        <v>652168.97876252304</v>
      </c>
      <c r="P10" s="17">
        <v>5319.2972188158601</v>
      </c>
      <c r="Q10" s="8">
        <v>2.3925185981941501</v>
      </c>
      <c r="R10" s="9">
        <v>1.52885789080685</v>
      </c>
      <c r="S10" s="9">
        <v>0.111564616615693</v>
      </c>
      <c r="T10" s="9">
        <v>8.6040628525963905E-2</v>
      </c>
      <c r="U10" s="9">
        <v>824.04196094244696</v>
      </c>
      <c r="V10" s="9">
        <v>20.4199903726992</v>
      </c>
      <c r="W10" s="9">
        <v>0.63277134404874902</v>
      </c>
      <c r="X10" s="9" t="s">
        <v>59</v>
      </c>
      <c r="Y10" s="9">
        <v>0.61153119161875402</v>
      </c>
      <c r="Z10" s="9">
        <v>3.41126453656622</v>
      </c>
      <c r="AA10" s="9">
        <v>2.27085063603365</v>
      </c>
      <c r="AB10" s="9">
        <v>0.12729382042506199</v>
      </c>
      <c r="AC10" s="9">
        <v>5.4240244466058997E-2</v>
      </c>
      <c r="AD10" s="9">
        <v>653.81983460736001</v>
      </c>
      <c r="AE10" s="8">
        <v>13.3338462474007</v>
      </c>
      <c r="AF10" s="8">
        <v>0.49758851715076402</v>
      </c>
      <c r="AG10" s="8">
        <v>289.20299214117199</v>
      </c>
      <c r="AH10" s="8">
        <v>5.4432793476731298</v>
      </c>
      <c r="AI10" s="8">
        <v>0.20793143382951201</v>
      </c>
      <c r="AJ10" s="8">
        <v>6.0851463982396901</v>
      </c>
      <c r="AK10" s="8">
        <v>0.20504059976081301</v>
      </c>
      <c r="AL10" s="8">
        <v>0.242685225199926</v>
      </c>
      <c r="AM10" s="8" t="s">
        <v>59</v>
      </c>
      <c r="AN10" s="8">
        <v>5.4521366255496501E-2</v>
      </c>
      <c r="AO10" s="8">
        <v>0.31882659873361602</v>
      </c>
      <c r="AP10" s="8">
        <v>32.718568823495303</v>
      </c>
      <c r="AQ10" s="8">
        <v>0.38016160883730199</v>
      </c>
      <c r="AR10" s="8">
        <v>1.8189707846947199E-2</v>
      </c>
      <c r="AS10" s="9">
        <v>1518.8128129624399</v>
      </c>
      <c r="AT10" s="8">
        <v>26.567732223445098</v>
      </c>
      <c r="AU10" s="8">
        <v>3.0332768392190498E-2</v>
      </c>
      <c r="AV10" s="10">
        <v>-5.1593999999999998</v>
      </c>
      <c r="AW10" s="11">
        <v>9.6000000000000002E-2</v>
      </c>
      <c r="BD10" s="11">
        <v>1.2492041813906525</v>
      </c>
      <c r="BE10" s="11">
        <v>159.16248305650026</v>
      </c>
      <c r="BF10" s="11">
        <v>114.17839942868723</v>
      </c>
      <c r="BG10" s="11">
        <v>136.67044124259374</v>
      </c>
    </row>
    <row r="11" spans="1:59" ht="15">
      <c r="B11" s="24" t="s">
        <v>66</v>
      </c>
      <c r="C11" s="17">
        <v>348564.43105214101</v>
      </c>
      <c r="D11" s="17">
        <v>9899.9363603535603</v>
      </c>
      <c r="E11" s="17">
        <v>385.29654675625602</v>
      </c>
      <c r="F11" s="8">
        <v>235.97616018676899</v>
      </c>
      <c r="G11" s="8">
        <v>16.3150395050002</v>
      </c>
      <c r="H11" s="8">
        <v>1.2582141135759499</v>
      </c>
      <c r="I11" s="17">
        <v>41183.441905234104</v>
      </c>
      <c r="J11" s="17">
        <v>6249.0965491996903</v>
      </c>
      <c r="K11" s="8">
        <v>11.705633598674</v>
      </c>
      <c r="L11" s="8">
        <v>2.0352239625081401</v>
      </c>
      <c r="M11" s="8">
        <v>0.32619282959935197</v>
      </c>
      <c r="N11" s="8">
        <v>1.36237759296964</v>
      </c>
      <c r="O11" s="17">
        <v>593312.62922662601</v>
      </c>
      <c r="P11" s="17">
        <v>14229.8736047332</v>
      </c>
      <c r="Q11" s="8">
        <v>2.1517252299227798</v>
      </c>
      <c r="R11" s="9">
        <v>5.2821644697382704</v>
      </c>
      <c r="S11" s="9">
        <v>0.36512163390838498</v>
      </c>
      <c r="T11" s="9">
        <v>0.128079321724619</v>
      </c>
      <c r="U11" s="9">
        <v>1662.20438820001</v>
      </c>
      <c r="V11" s="9">
        <v>74.242873308603293</v>
      </c>
      <c r="W11" s="9">
        <v>0.63984292880265403</v>
      </c>
      <c r="X11" s="9">
        <v>4.7899203274990603</v>
      </c>
      <c r="Y11" s="9">
        <v>0.93130166416539795</v>
      </c>
      <c r="Z11" s="9">
        <v>3.4643452906276599</v>
      </c>
      <c r="AA11" s="9">
        <v>1.72742720549851</v>
      </c>
      <c r="AB11" s="9">
        <v>0.12937373045407</v>
      </c>
      <c r="AC11" s="9">
        <v>5.8820151453282997E-3</v>
      </c>
      <c r="AD11" s="9">
        <v>360.28250170614501</v>
      </c>
      <c r="AE11" s="8">
        <v>17.114353320671</v>
      </c>
      <c r="AF11" s="8">
        <v>0.48990913954600601</v>
      </c>
      <c r="AG11" s="8">
        <v>158.29586725751</v>
      </c>
      <c r="AH11" s="8">
        <v>6.6627507421081003</v>
      </c>
      <c r="AI11" s="8">
        <v>0.23825249480649299</v>
      </c>
      <c r="AJ11" s="8">
        <v>6.0376554827085496</v>
      </c>
      <c r="AK11" s="8">
        <v>0.47884045398137698</v>
      </c>
      <c r="AL11" s="8">
        <v>0.27985611388123599</v>
      </c>
      <c r="AM11" s="8">
        <v>0.33187413345877598</v>
      </c>
      <c r="AN11" s="8">
        <v>7.3764386653785194E-2</v>
      </c>
      <c r="AO11" s="8">
        <v>0.31766098360156703</v>
      </c>
      <c r="AP11" s="8">
        <v>86.902286374015006</v>
      </c>
      <c r="AQ11" s="8">
        <v>1.56572453472437</v>
      </c>
      <c r="AR11" s="8">
        <v>1.14098990649243E-2</v>
      </c>
      <c r="AS11" s="9">
        <v>3750.1669476080601</v>
      </c>
      <c r="AT11" s="8">
        <v>123.640066978012</v>
      </c>
      <c r="AU11" s="8">
        <v>3.8211623276621101E-2</v>
      </c>
      <c r="AV11" s="10">
        <v>-4.8361999999999998</v>
      </c>
      <c r="AW11" s="11">
        <v>9.8799999999999999E-2</v>
      </c>
      <c r="BD11" s="11">
        <v>0.4329536429239379</v>
      </c>
      <c r="BE11" s="11">
        <v>197.60788341828254</v>
      </c>
      <c r="BF11" s="11">
        <v>168.94881055980377</v>
      </c>
      <c r="BG11" s="11">
        <v>183.27834698904314</v>
      </c>
    </row>
    <row r="12" spans="1:59" ht="15">
      <c r="B12" s="24" t="s">
        <v>67</v>
      </c>
      <c r="C12" s="17">
        <v>325215.42254027497</v>
      </c>
      <c r="D12" s="17">
        <v>7077.5645056753801</v>
      </c>
      <c r="E12" s="17">
        <v>388.06269060260701</v>
      </c>
      <c r="F12" s="8">
        <v>146.15849049005399</v>
      </c>
      <c r="G12" s="8">
        <v>2.81064081418379</v>
      </c>
      <c r="H12" s="8">
        <v>1.3466110212701601</v>
      </c>
      <c r="I12" s="17">
        <v>12166.184223018299</v>
      </c>
      <c r="J12" s="17">
        <v>223.51725042678899</v>
      </c>
      <c r="K12" s="8">
        <v>10.3815544414767</v>
      </c>
      <c r="L12" s="8">
        <v>2.0340412368567198</v>
      </c>
      <c r="M12" s="8">
        <v>0.32798326709739301</v>
      </c>
      <c r="N12" s="8">
        <v>1.2706972921253199</v>
      </c>
      <c r="O12" s="17">
        <v>644961.04603600199</v>
      </c>
      <c r="P12" s="17">
        <v>6943.67424336563</v>
      </c>
      <c r="Q12" s="8">
        <v>2.4654981141248999</v>
      </c>
      <c r="R12" s="9">
        <v>20.171148384334199</v>
      </c>
      <c r="S12" s="9">
        <v>0.94802638956080998</v>
      </c>
      <c r="T12" s="9">
        <v>0.14314365350783001</v>
      </c>
      <c r="U12" s="9">
        <v>1362.2639708136201</v>
      </c>
      <c r="V12" s="9">
        <v>37.748599201317298</v>
      </c>
      <c r="W12" s="9">
        <v>0.66958087527272503</v>
      </c>
      <c r="X12" s="9" t="s">
        <v>59</v>
      </c>
      <c r="Y12" s="9">
        <v>0.67042063005792296</v>
      </c>
      <c r="Z12" s="9">
        <v>3.4056225510629301</v>
      </c>
      <c r="AA12" s="9">
        <v>3.0907901519980401</v>
      </c>
      <c r="AB12" s="9">
        <v>0.16702904114922301</v>
      </c>
      <c r="AC12" s="9">
        <v>4.12083095229041E-2</v>
      </c>
      <c r="AD12" s="9">
        <v>665.49899168890204</v>
      </c>
      <c r="AE12" s="8">
        <v>17.419234224474302</v>
      </c>
      <c r="AF12" s="8">
        <v>0.45120489585198897</v>
      </c>
      <c r="AG12" s="8">
        <v>293.48187539436498</v>
      </c>
      <c r="AH12" s="8">
        <v>8.0335735142723692</v>
      </c>
      <c r="AI12" s="8">
        <v>0.19973753452524301</v>
      </c>
      <c r="AJ12" s="8">
        <v>20.329249154885101</v>
      </c>
      <c r="AK12" s="8">
        <v>0.90433374309630599</v>
      </c>
      <c r="AL12" s="8">
        <v>0.26149777064077201</v>
      </c>
      <c r="AM12" s="8">
        <v>0.45907842146210298</v>
      </c>
      <c r="AN12" s="8">
        <v>7.5248039476048204E-2</v>
      </c>
      <c r="AO12" s="8">
        <v>0.31972816680460597</v>
      </c>
      <c r="AP12" s="8">
        <v>63.502020868770003</v>
      </c>
      <c r="AQ12" s="8">
        <v>0.75301274920272598</v>
      </c>
      <c r="AR12" s="8">
        <v>1.18706655773511E-2</v>
      </c>
      <c r="AS12" s="9">
        <v>3343.4664203000202</v>
      </c>
      <c r="AT12" s="8">
        <v>71.472159573045104</v>
      </c>
      <c r="AU12" s="8">
        <v>4.9833288483111603E-2</v>
      </c>
      <c r="AV12" s="10">
        <v>-6.3724999999999996</v>
      </c>
      <c r="AW12" s="11">
        <v>0.1186</v>
      </c>
      <c r="BD12" s="11">
        <v>1.0044722243481434</v>
      </c>
      <c r="BE12" s="11">
        <v>170.68935823320243</v>
      </c>
      <c r="BF12" s="11">
        <v>130.59991374623957</v>
      </c>
      <c r="BG12" s="11">
        <v>150.644635989721</v>
      </c>
    </row>
    <row r="13" spans="1:59" ht="15">
      <c r="B13" s="24" t="s">
        <v>68</v>
      </c>
      <c r="C13" s="17">
        <v>328070.43253863201</v>
      </c>
      <c r="D13" s="17">
        <v>7804.9370395228798</v>
      </c>
      <c r="E13" s="17">
        <v>379.12747989091298</v>
      </c>
      <c r="F13" s="8">
        <v>261.781375012593</v>
      </c>
      <c r="G13" s="8">
        <v>4.9488453585330303</v>
      </c>
      <c r="H13" s="8">
        <v>1.3519641638861599</v>
      </c>
      <c r="I13" s="17">
        <v>9361.2954513425193</v>
      </c>
      <c r="J13" s="17">
        <v>168.427364921834</v>
      </c>
      <c r="K13" s="8">
        <v>11.427512317609199</v>
      </c>
      <c r="L13" s="8">
        <v>1.5113273206995199</v>
      </c>
      <c r="M13" s="8">
        <v>0.30734831784167299</v>
      </c>
      <c r="N13" s="8">
        <v>1.3093335179204999</v>
      </c>
      <c r="O13" s="17">
        <v>637451.10144738003</v>
      </c>
      <c r="P13" s="17">
        <v>7749.7089700062697</v>
      </c>
      <c r="Q13" s="8">
        <v>2.5656991534106801</v>
      </c>
      <c r="R13" s="9">
        <v>4.2439846945266302</v>
      </c>
      <c r="S13" s="9">
        <v>0.28312530958373999</v>
      </c>
      <c r="T13" s="9">
        <v>0.106574812729732</v>
      </c>
      <c r="U13" s="9">
        <v>1915.7736679500399</v>
      </c>
      <c r="V13" s="9">
        <v>61.680753767241001</v>
      </c>
      <c r="W13" s="9">
        <v>0.72483964119626598</v>
      </c>
      <c r="X13" s="9" t="s">
        <v>59</v>
      </c>
      <c r="Y13" s="9">
        <v>0.65332454445400101</v>
      </c>
      <c r="Z13" s="9">
        <v>3.3705320086856099</v>
      </c>
      <c r="AA13" s="9">
        <v>2.2612988158867902</v>
      </c>
      <c r="AB13" s="9">
        <v>0.15844602016513601</v>
      </c>
      <c r="AC13" s="9">
        <v>7.4216674535829696E-2</v>
      </c>
      <c r="AD13" s="9">
        <v>307.08046688353699</v>
      </c>
      <c r="AE13" s="8">
        <v>10.160318322891399</v>
      </c>
      <c r="AF13" s="8">
        <v>0.62770704681724698</v>
      </c>
      <c r="AG13" s="8">
        <v>138.18087911259599</v>
      </c>
      <c r="AH13" s="8">
        <v>4.5313237297748596</v>
      </c>
      <c r="AI13" s="8">
        <v>0.25006271084410803</v>
      </c>
      <c r="AJ13" s="8">
        <v>5.3737165462876604</v>
      </c>
      <c r="AK13" s="8">
        <v>0.33179160951408798</v>
      </c>
      <c r="AL13" s="8">
        <v>0.250009718403361</v>
      </c>
      <c r="AM13" s="8" t="s">
        <v>59</v>
      </c>
      <c r="AN13" s="8">
        <v>6.5312668805205504E-2</v>
      </c>
      <c r="AO13" s="8">
        <v>0.30382153554983699</v>
      </c>
      <c r="AP13" s="8">
        <v>83.576004838535198</v>
      </c>
      <c r="AQ13" s="8">
        <v>1.0083875006190901</v>
      </c>
      <c r="AR13" s="8">
        <v>1.3171189813273899E-2</v>
      </c>
      <c r="AS13" s="9">
        <v>6198.2144801464201</v>
      </c>
      <c r="AT13" s="8">
        <v>140.99223454344599</v>
      </c>
      <c r="AU13" s="8">
        <v>6.0572222689051998E-2</v>
      </c>
      <c r="AV13" s="10">
        <v>-6.2408000000000001</v>
      </c>
      <c r="AW13" s="11">
        <v>0.1391</v>
      </c>
      <c r="AX13" s="13">
        <v>38.324289999999998</v>
      </c>
      <c r="AY13" s="13">
        <v>2.9780359999999999E-3</v>
      </c>
      <c r="AZ13" s="13">
        <v>15.73283</v>
      </c>
      <c r="BA13" s="13">
        <v>1.1703550000000001E-3</v>
      </c>
      <c r="BB13" s="13">
        <v>18.344750000000001</v>
      </c>
      <c r="BC13" s="13">
        <v>1.256732E-3</v>
      </c>
      <c r="BD13" s="11">
        <v>0.90916934386257942</v>
      </c>
      <c r="BE13" s="11">
        <v>175.17812390407249</v>
      </c>
      <c r="BF13" s="11">
        <v>136.99473702682093</v>
      </c>
      <c r="BG13" s="11">
        <v>156.08643046544671</v>
      </c>
    </row>
    <row r="14" spans="1:59" ht="15">
      <c r="B14" s="24" t="s">
        <v>69</v>
      </c>
      <c r="C14" s="17">
        <v>323685.78811207099</v>
      </c>
      <c r="D14" s="17">
        <v>8719.4871496188407</v>
      </c>
      <c r="E14" s="17">
        <v>384.81772396295003</v>
      </c>
      <c r="F14" s="8">
        <v>149.67228639341201</v>
      </c>
      <c r="G14" s="8">
        <v>3.64798941687478</v>
      </c>
      <c r="H14" s="8">
        <v>1.4048460067933</v>
      </c>
      <c r="I14" s="17">
        <v>11172.730905709799</v>
      </c>
      <c r="J14" s="17">
        <v>204.68890833867201</v>
      </c>
      <c r="K14" s="8">
        <v>10.1994559650566</v>
      </c>
      <c r="L14" s="8">
        <v>1.54480276273618</v>
      </c>
      <c r="M14" s="8">
        <v>0.32310160755060502</v>
      </c>
      <c r="N14" s="8">
        <v>1.28475030646876</v>
      </c>
      <c r="O14" s="17">
        <v>650413.37796596705</v>
      </c>
      <c r="P14" s="17">
        <v>8720.0527455265292</v>
      </c>
      <c r="Q14" s="8">
        <v>2.6781108345490701</v>
      </c>
      <c r="R14" s="9">
        <v>17.935489233943802</v>
      </c>
      <c r="S14" s="9">
        <v>0.908221177403575</v>
      </c>
      <c r="T14" s="9">
        <v>0.120773039387851</v>
      </c>
      <c r="U14" s="9">
        <v>1293.89180988372</v>
      </c>
      <c r="V14" s="9">
        <v>46.338606272398501</v>
      </c>
      <c r="W14" s="9">
        <v>0.64043219958007302</v>
      </c>
      <c r="X14" s="9" t="s">
        <v>59</v>
      </c>
      <c r="Y14" s="9">
        <v>0.66152067243561796</v>
      </c>
      <c r="Z14" s="9">
        <v>3.3641158864053602</v>
      </c>
      <c r="AA14" s="9">
        <v>3.54948431678896</v>
      </c>
      <c r="AB14" s="9">
        <v>0.201428903631439</v>
      </c>
      <c r="AC14" s="9">
        <v>4.0954316922865601E-2</v>
      </c>
      <c r="AD14" s="9">
        <v>576.40297716406496</v>
      </c>
      <c r="AE14" s="8">
        <v>17.805123926819299</v>
      </c>
      <c r="AF14" s="8">
        <v>0.61835399277154801</v>
      </c>
      <c r="AG14" s="8">
        <v>255.19501408620701</v>
      </c>
      <c r="AH14" s="8">
        <v>7.5156233148772102</v>
      </c>
      <c r="AI14" s="8">
        <v>0.233724957281124</v>
      </c>
      <c r="AJ14" s="8">
        <v>17.988419251595801</v>
      </c>
      <c r="AK14" s="8">
        <v>0.74896114875549602</v>
      </c>
      <c r="AL14" s="8">
        <v>0.269270887688696</v>
      </c>
      <c r="AM14" s="8">
        <v>0.50747620989088404</v>
      </c>
      <c r="AN14" s="8">
        <v>7.2601473312030596E-2</v>
      </c>
      <c r="AO14" s="8">
        <v>0.29339209276025802</v>
      </c>
      <c r="AP14" s="8">
        <v>51.741179557034499</v>
      </c>
      <c r="AQ14" s="8">
        <v>0.66927085508220896</v>
      </c>
      <c r="AR14" s="8">
        <v>1.6240623211843899E-2</v>
      </c>
      <c r="AS14" s="9">
        <v>3309.4509753242201</v>
      </c>
      <c r="AT14" s="8">
        <v>84.232101403284801</v>
      </c>
      <c r="AU14" s="8">
        <v>6.02890344670821E-2</v>
      </c>
      <c r="AV14" s="10">
        <v>-5.4565999999999999</v>
      </c>
      <c r="AW14" s="11">
        <v>0.1038</v>
      </c>
      <c r="AX14" s="13">
        <v>38.32141</v>
      </c>
      <c r="AY14" s="13">
        <v>3.9475400000000003E-3</v>
      </c>
      <c r="AZ14" s="13">
        <v>15.73249</v>
      </c>
      <c r="BA14" s="13">
        <v>1.5439119999999999E-3</v>
      </c>
      <c r="BB14" s="13">
        <v>18.340679999999999</v>
      </c>
      <c r="BC14" s="13">
        <v>1.9017050000000001E-3</v>
      </c>
      <c r="BD14" s="11">
        <v>1.0939004206322267</v>
      </c>
      <c r="BE14" s="11">
        <v>166.47729018822213</v>
      </c>
      <c r="BF14" s="11">
        <v>124.59928177557759</v>
      </c>
      <c r="BG14" s="11">
        <v>145.53828598189986</v>
      </c>
    </row>
    <row r="15" spans="1:59" ht="15">
      <c r="B15" s="24" t="s">
        <v>70</v>
      </c>
      <c r="C15" s="17">
        <v>339054.55500270199</v>
      </c>
      <c r="D15" s="17">
        <v>8624.2662175242403</v>
      </c>
      <c r="E15" s="17">
        <v>406.90980148649197</v>
      </c>
      <c r="F15" s="8">
        <v>24.125385631519499</v>
      </c>
      <c r="G15" s="8">
        <v>0.74304232692421601</v>
      </c>
      <c r="H15" s="8">
        <v>1.43326231133251</v>
      </c>
      <c r="I15" s="17">
        <v>5581.4848297831604</v>
      </c>
      <c r="J15" s="17">
        <v>137.72792544741199</v>
      </c>
      <c r="K15" s="8">
        <v>12.4537504186115</v>
      </c>
      <c r="L15" s="8">
        <v>4.21017632712734</v>
      </c>
      <c r="M15" s="8">
        <v>0.44551223744054202</v>
      </c>
      <c r="N15" s="8">
        <v>1.5874416199388499</v>
      </c>
      <c r="O15" s="17">
        <v>644482.88189787301</v>
      </c>
      <c r="P15" s="17">
        <v>8871.9394208730992</v>
      </c>
      <c r="Q15" s="8">
        <v>2.6027553372893899</v>
      </c>
      <c r="R15" s="9">
        <v>227.24241450076701</v>
      </c>
      <c r="S15" s="9">
        <v>8.0736254008882504</v>
      </c>
      <c r="T15" s="9">
        <v>0.17395445221997599</v>
      </c>
      <c r="U15" s="9">
        <v>319.19135185374301</v>
      </c>
      <c r="V15" s="9">
        <v>12.607066003719</v>
      </c>
      <c r="W15" s="9">
        <v>0.762175614526588</v>
      </c>
      <c r="X15" s="9" t="s">
        <v>59</v>
      </c>
      <c r="Y15" s="9">
        <v>0.67941258241428903</v>
      </c>
      <c r="Z15" s="9">
        <v>3.5322902089133801</v>
      </c>
      <c r="AA15" s="9">
        <v>0.72616766883593098</v>
      </c>
      <c r="AB15" s="9">
        <v>8.0541268376958297E-2</v>
      </c>
      <c r="AC15" s="9">
        <v>4.3497563752947797E-2</v>
      </c>
      <c r="AD15" s="9">
        <v>4242.2966473340502</v>
      </c>
      <c r="AE15" s="8">
        <v>191.14064982614099</v>
      </c>
      <c r="AF15" s="8">
        <v>0.71819278231614103</v>
      </c>
      <c r="AG15" s="8">
        <v>1918.6432414998501</v>
      </c>
      <c r="AH15" s="8">
        <v>73.440859389354301</v>
      </c>
      <c r="AI15" s="8">
        <v>0.30037474249737101</v>
      </c>
      <c r="AJ15" s="8">
        <v>2.4871519899974901</v>
      </c>
      <c r="AK15" s="8">
        <v>0.16991562353581199</v>
      </c>
      <c r="AL15" s="8">
        <v>0.24019986596128401</v>
      </c>
      <c r="AM15" s="8" t="s">
        <v>59</v>
      </c>
      <c r="AN15" s="8">
        <v>6.2603403190307605E-2</v>
      </c>
      <c r="AO15" s="8">
        <v>0.29388489719618899</v>
      </c>
      <c r="AP15" s="8">
        <v>10.1205862208851</v>
      </c>
      <c r="AQ15" s="8">
        <v>0.16777199089390801</v>
      </c>
      <c r="AR15" s="8">
        <v>7.7211310089542497E-3</v>
      </c>
      <c r="AS15" s="9">
        <v>314.27373645933397</v>
      </c>
      <c r="AT15" s="8">
        <v>8.6480513643163697</v>
      </c>
      <c r="AU15" s="8">
        <v>4.4573638954703801E-2</v>
      </c>
      <c r="AV15" s="10">
        <v>-2.2233999999999998</v>
      </c>
      <c r="AW15" s="11">
        <v>9.2600000000000002E-2</v>
      </c>
      <c r="AX15" s="13">
        <v>38.319800000000001</v>
      </c>
      <c r="AY15" s="13">
        <v>9.0321069999999993E-3</v>
      </c>
      <c r="AZ15" s="13">
        <v>15.73353</v>
      </c>
      <c r="BA15" s="13">
        <v>3.533128E-3</v>
      </c>
      <c r="BB15" s="13">
        <v>18.340489999999999</v>
      </c>
      <c r="BC15" s="13">
        <v>4.1943299999999996E-3</v>
      </c>
      <c r="BD15" s="11">
        <v>2.0328467627333531</v>
      </c>
      <c r="BE15" s="11">
        <v>122.25291747525907</v>
      </c>
      <c r="BF15" s="11">
        <v>61.59598222059202</v>
      </c>
      <c r="BG15" s="11">
        <v>91.924449847925544</v>
      </c>
    </row>
    <row r="16" spans="1:59" ht="15">
      <c r="B16" s="24" t="s">
        <v>71</v>
      </c>
      <c r="C16" s="17">
        <v>333424.97869472997</v>
      </c>
      <c r="D16" s="17">
        <v>8291.9519615648605</v>
      </c>
      <c r="E16" s="17">
        <v>414.64898502006599</v>
      </c>
      <c r="F16" s="8">
        <v>120.300201316876</v>
      </c>
      <c r="G16" s="8">
        <v>9.1641247802365609</v>
      </c>
      <c r="H16" s="8">
        <v>1.53684657998387</v>
      </c>
      <c r="I16" s="17">
        <v>20574.7977779662</v>
      </c>
      <c r="J16" s="17">
        <v>2259.06250302541</v>
      </c>
      <c r="K16" s="8">
        <v>12.779279278738001</v>
      </c>
      <c r="L16" s="8">
        <v>2.1175860662387</v>
      </c>
      <c r="M16" s="8">
        <v>0.41371577508355301</v>
      </c>
      <c r="N16" s="8">
        <v>1.5691390555979701</v>
      </c>
      <c r="O16" s="17">
        <v>638220.130183712</v>
      </c>
      <c r="P16" s="17">
        <v>9052.5422795970408</v>
      </c>
      <c r="Q16" s="8">
        <v>2.7376828923134999</v>
      </c>
      <c r="R16" s="9">
        <v>20.187226287941598</v>
      </c>
      <c r="S16" s="9">
        <v>0.74927028280317098</v>
      </c>
      <c r="T16" s="9">
        <v>0.16609091445480401</v>
      </c>
      <c r="U16" s="9">
        <v>732.25128255817901</v>
      </c>
      <c r="V16" s="9">
        <v>27.6032878657455</v>
      </c>
      <c r="W16" s="9">
        <v>0.74891300712143605</v>
      </c>
      <c r="X16" s="9">
        <v>3.8021330887189402</v>
      </c>
      <c r="Y16" s="9">
        <v>0.78950648823187497</v>
      </c>
      <c r="Z16" s="9">
        <v>3.6541911349220699</v>
      </c>
      <c r="AA16" s="9">
        <v>4.1157503935471196</v>
      </c>
      <c r="AB16" s="9">
        <v>0.22568251980607701</v>
      </c>
      <c r="AC16" s="9">
        <v>8.4460969719339002E-2</v>
      </c>
      <c r="AD16" s="9">
        <v>767.47270307776796</v>
      </c>
      <c r="AE16" s="8">
        <v>25.3096385899178</v>
      </c>
      <c r="AF16" s="8">
        <v>0.67169281783593304</v>
      </c>
      <c r="AG16" s="8">
        <v>356.53103416878099</v>
      </c>
      <c r="AH16" s="8">
        <v>10.2604938437317</v>
      </c>
      <c r="AI16" s="8">
        <v>0.38103422901887801</v>
      </c>
      <c r="AJ16" s="8">
        <v>26.3542355955278</v>
      </c>
      <c r="AK16" s="8">
        <v>0.88321695368198305</v>
      </c>
      <c r="AL16" s="8">
        <v>0.28161321564306602</v>
      </c>
      <c r="AM16" s="8">
        <v>0.47210165857738401</v>
      </c>
      <c r="AN16" s="8">
        <v>7.1087264267591793E-2</v>
      </c>
      <c r="AO16" s="8">
        <v>0.30444200976348501</v>
      </c>
      <c r="AP16" s="8">
        <v>36.706056759631103</v>
      </c>
      <c r="AQ16" s="8">
        <v>1.2537312489165799</v>
      </c>
      <c r="AR16" s="8">
        <v>1.09606878072339E-2</v>
      </c>
      <c r="AS16" s="9">
        <v>1472.87019435967</v>
      </c>
      <c r="AT16" s="8">
        <v>78.1124614581571</v>
      </c>
      <c r="AU16" s="8">
        <v>4.1147625311902497E-2</v>
      </c>
      <c r="AV16" s="10">
        <v>-8.1452000000000009</v>
      </c>
      <c r="AW16" s="11">
        <v>0.14169999999999999</v>
      </c>
      <c r="AX16" s="13">
        <v>38.312280000000001</v>
      </c>
      <c r="AY16" s="13">
        <v>5.6098370000000003E-3</v>
      </c>
      <c r="AZ16" s="13">
        <v>15.730079999999999</v>
      </c>
      <c r="BA16" s="13">
        <v>2.1857930000000001E-3</v>
      </c>
      <c r="BB16" s="13">
        <v>18.338989999999999</v>
      </c>
      <c r="BC16" s="13">
        <v>2.6582419999999999E-3</v>
      </c>
      <c r="BD16" s="11">
        <v>0.64924568076505285</v>
      </c>
      <c r="BE16" s="11">
        <v>187.42052843596602</v>
      </c>
      <c r="BF16" s="11">
        <v>154.43561482066497</v>
      </c>
      <c r="BG16" s="11">
        <v>170.92807162831548</v>
      </c>
    </row>
    <row r="17" spans="2:59" ht="15">
      <c r="B17" s="24" t="s">
        <v>72</v>
      </c>
      <c r="C17" s="17">
        <v>333109.85731648799</v>
      </c>
      <c r="D17" s="17">
        <v>8894.2280845606401</v>
      </c>
      <c r="E17" s="17">
        <v>396.30561256571099</v>
      </c>
      <c r="F17" s="8">
        <v>15.7958367886601</v>
      </c>
      <c r="G17" s="8">
        <v>0.64224968461808196</v>
      </c>
      <c r="H17" s="8">
        <v>1.37435447282351</v>
      </c>
      <c r="I17" s="17">
        <v>1410.54895723083</v>
      </c>
      <c r="J17" s="17">
        <v>33.121974239401901</v>
      </c>
      <c r="K17" s="8">
        <v>10.751857853917</v>
      </c>
      <c r="L17" s="8">
        <v>2.4745885384988902</v>
      </c>
      <c r="M17" s="8">
        <v>0.35815043862863799</v>
      </c>
      <c r="N17" s="8">
        <v>1.60330172727652</v>
      </c>
      <c r="O17" s="17">
        <v>658215.22096070903</v>
      </c>
      <c r="P17" s="17">
        <v>9012.8668744155802</v>
      </c>
      <c r="Q17" s="8">
        <v>2.9193986199255502</v>
      </c>
      <c r="R17" s="9">
        <v>129.97105478617499</v>
      </c>
      <c r="S17" s="9">
        <v>4.5215947008609598</v>
      </c>
      <c r="T17" s="9">
        <v>0.122777457719024</v>
      </c>
      <c r="U17" s="9">
        <v>237.49416925818599</v>
      </c>
      <c r="V17" s="9">
        <v>10.4865115976091</v>
      </c>
      <c r="W17" s="9">
        <v>0.72184203172894901</v>
      </c>
      <c r="X17" s="9" t="s">
        <v>59</v>
      </c>
      <c r="Y17" s="9">
        <v>0.64904020626591297</v>
      </c>
      <c r="Z17" s="9">
        <v>3.5496655476469199</v>
      </c>
      <c r="AA17" s="9">
        <v>0.33545480113124199</v>
      </c>
      <c r="AB17" s="9">
        <v>5.1958389421340699E-2</v>
      </c>
      <c r="AC17" s="9">
        <v>4.4482313383813199E-2</v>
      </c>
      <c r="AD17" s="9">
        <v>3429.4530113207602</v>
      </c>
      <c r="AE17" s="8">
        <v>112.085770832387</v>
      </c>
      <c r="AF17" s="8">
        <v>0.90884922853727801</v>
      </c>
      <c r="AG17" s="8">
        <v>1579.3446331242401</v>
      </c>
      <c r="AH17" s="8">
        <v>47.624564997215103</v>
      </c>
      <c r="AI17" s="8">
        <v>0.440652302482959</v>
      </c>
      <c r="AJ17" s="8">
        <v>1.78237523012976</v>
      </c>
      <c r="AK17" s="8">
        <v>0.16718224260519701</v>
      </c>
      <c r="AL17" s="8">
        <v>0.27177935771413197</v>
      </c>
      <c r="AM17" s="8" t="s">
        <v>59</v>
      </c>
      <c r="AN17" s="8">
        <v>5.8461752661421902E-2</v>
      </c>
      <c r="AO17" s="8">
        <v>0.28910540256442602</v>
      </c>
      <c r="AP17" s="8">
        <v>5.8973561515660604</v>
      </c>
      <c r="AQ17" s="8">
        <v>0.116967597231904</v>
      </c>
      <c r="AR17" s="8">
        <v>1.6220353899072799E-2</v>
      </c>
      <c r="AS17" s="9">
        <v>206.15076695619999</v>
      </c>
      <c r="AT17" s="8">
        <v>6.10605411770843</v>
      </c>
      <c r="AU17" s="8">
        <v>4.6896500842205598E-2</v>
      </c>
      <c r="AV17" s="10">
        <v>-1.0141</v>
      </c>
      <c r="AW17" s="11">
        <v>0.13159999999999999</v>
      </c>
      <c r="AX17" s="13">
        <v>38.338389999999997</v>
      </c>
      <c r="AY17" s="13">
        <v>7.626463E-3</v>
      </c>
      <c r="AZ17" s="13">
        <v>15.73828</v>
      </c>
      <c r="BA17" s="13">
        <v>3.0937299999999998E-3</v>
      </c>
      <c r="BB17" s="13">
        <v>18.343350000000001</v>
      </c>
      <c r="BC17" s="13">
        <v>3.6430680000000002E-3</v>
      </c>
      <c r="BD17" s="11">
        <v>2.4905123796551552</v>
      </c>
      <c r="BE17" s="11">
        <v>100.69686691824219</v>
      </c>
      <c r="BF17" s="11">
        <v>30.886619325139094</v>
      </c>
      <c r="BG17" s="11">
        <v>65.791743121690644</v>
      </c>
    </row>
    <row r="18" spans="2:59" ht="15">
      <c r="B18" s="24" t="s">
        <v>73</v>
      </c>
      <c r="C18" s="17">
        <v>337040.94960983802</v>
      </c>
      <c r="D18" s="17">
        <v>6517.7659666723303</v>
      </c>
      <c r="E18" s="17">
        <v>418.60279834199901</v>
      </c>
      <c r="F18" s="8">
        <v>42.8017115194477</v>
      </c>
      <c r="G18" s="8">
        <v>1.3506517286342701</v>
      </c>
      <c r="H18" s="8">
        <v>1.50899572846801</v>
      </c>
      <c r="I18" s="17">
        <v>14919.843894780101</v>
      </c>
      <c r="J18" s="17">
        <v>246.740309135855</v>
      </c>
      <c r="K18" s="8">
        <v>12.650109277299199</v>
      </c>
      <c r="L18" s="8" t="s">
        <v>59</v>
      </c>
      <c r="M18" s="8">
        <v>0.39666731876310102</v>
      </c>
      <c r="N18" s="8">
        <v>1.8524771086146301</v>
      </c>
      <c r="O18" s="17">
        <v>643551.02930745506</v>
      </c>
      <c r="P18" s="17">
        <v>6574.6304726809904</v>
      </c>
      <c r="Q18" s="8">
        <v>3.1916244685880502</v>
      </c>
      <c r="R18" s="9">
        <v>7.5357950471566504</v>
      </c>
      <c r="S18" s="9">
        <v>0.33197054294724798</v>
      </c>
      <c r="T18" s="9">
        <v>0.14950756983275101</v>
      </c>
      <c r="U18" s="9">
        <v>490.91457761437698</v>
      </c>
      <c r="V18" s="9">
        <v>21.635343205770599</v>
      </c>
      <c r="W18" s="9">
        <v>0.77242058017088699</v>
      </c>
      <c r="X18" s="9" t="s">
        <v>59</v>
      </c>
      <c r="Y18" s="9">
        <v>0.80940549050754496</v>
      </c>
      <c r="Z18" s="9">
        <v>3.8171142094501702</v>
      </c>
      <c r="AA18" s="9">
        <v>1.08153566436083</v>
      </c>
      <c r="AB18" s="9">
        <v>0.113447276173589</v>
      </c>
      <c r="AC18" s="9">
        <v>7.0308809222452903E-3</v>
      </c>
      <c r="AD18" s="9">
        <v>493.41009244772403</v>
      </c>
      <c r="AE18" s="8">
        <v>19.045799289499001</v>
      </c>
      <c r="AF18" s="8">
        <v>0.61562500020979805</v>
      </c>
      <c r="AG18" s="8">
        <v>225.762290916593</v>
      </c>
      <c r="AH18" s="8">
        <v>7.0175134696126404</v>
      </c>
      <c r="AI18" s="8">
        <v>0.42449768712980301</v>
      </c>
      <c r="AJ18" s="8">
        <v>11.776290660167</v>
      </c>
      <c r="AK18" s="8">
        <v>0.98624118455682797</v>
      </c>
      <c r="AL18" s="8">
        <v>0.247584778952398</v>
      </c>
      <c r="AM18" s="8" t="s">
        <v>59</v>
      </c>
      <c r="AN18" s="8">
        <v>5.8150287481902999E-2</v>
      </c>
      <c r="AO18" s="8">
        <v>0.304336449850165</v>
      </c>
      <c r="AP18" s="8">
        <v>17.7836743766719</v>
      </c>
      <c r="AQ18" s="8">
        <v>0.70933050663007302</v>
      </c>
      <c r="AR18" s="8">
        <v>1.1380424303461201E-2</v>
      </c>
      <c r="AS18" s="9">
        <v>580.33204789920399</v>
      </c>
      <c r="AT18" s="8">
        <v>22.570171092774501</v>
      </c>
      <c r="AU18" s="8">
        <v>5.2520500580225699E-2</v>
      </c>
      <c r="AV18" s="10">
        <v>-9.2885000000000009</v>
      </c>
      <c r="AW18" s="11">
        <v>0.1084</v>
      </c>
      <c r="AX18" s="13">
        <v>38.317189999999997</v>
      </c>
      <c r="AY18" s="13">
        <v>3.6474939999999998E-3</v>
      </c>
      <c r="AZ18" s="13">
        <v>15.731999999999999</v>
      </c>
      <c r="BA18" s="13">
        <v>1.2868619999999999E-3</v>
      </c>
      <c r="BB18" s="13">
        <v>18.337140000000002</v>
      </c>
      <c r="BC18" s="13">
        <v>1.6076420000000001E-3</v>
      </c>
      <c r="BD18" s="11">
        <v>0.80060974986061217</v>
      </c>
      <c r="BE18" s="11">
        <v>180.29128078156515</v>
      </c>
      <c r="BF18" s="11">
        <v>144.27908578435293</v>
      </c>
      <c r="BG18" s="11">
        <v>162.28518328295905</v>
      </c>
    </row>
    <row r="19" spans="2:59" ht="15">
      <c r="B19" s="24" t="s">
        <v>74</v>
      </c>
      <c r="C19" s="17">
        <v>329596.48621872999</v>
      </c>
      <c r="D19" s="17">
        <v>8318.8293287696706</v>
      </c>
      <c r="E19" s="17">
        <v>418.60261140052501</v>
      </c>
      <c r="F19" s="8">
        <v>54.6124425265211</v>
      </c>
      <c r="G19" s="8">
        <v>1.8664625341682699</v>
      </c>
      <c r="H19" s="8">
        <v>1.4844229534437099</v>
      </c>
      <c r="I19" s="17">
        <v>11836.761242869499</v>
      </c>
      <c r="J19" s="17">
        <v>445.80470478231899</v>
      </c>
      <c r="K19" s="8">
        <v>13.050775384833999</v>
      </c>
      <c r="L19" s="8" t="s">
        <v>59</v>
      </c>
      <c r="M19" s="8">
        <v>0.38424363144121598</v>
      </c>
      <c r="N19" s="8">
        <v>1.82758584918129</v>
      </c>
      <c r="O19" s="17">
        <v>653392.36944190902</v>
      </c>
      <c r="P19" s="17">
        <v>8465.6005770678003</v>
      </c>
      <c r="Q19" s="8">
        <v>3.3674997171200398</v>
      </c>
      <c r="R19" s="9">
        <v>8.1466264630158705</v>
      </c>
      <c r="S19" s="9">
        <v>0.434596343710418</v>
      </c>
      <c r="T19" s="9">
        <v>0.14357934121690499</v>
      </c>
      <c r="U19" s="9">
        <v>541.65981028633996</v>
      </c>
      <c r="V19" s="9">
        <v>23.097805980717499</v>
      </c>
      <c r="W19" s="9">
        <v>0.74259303034033697</v>
      </c>
      <c r="X19" s="9" t="s">
        <v>59</v>
      </c>
      <c r="Y19" s="9">
        <v>0.72484562992027701</v>
      </c>
      <c r="Z19" s="9">
        <v>3.7351779026599798</v>
      </c>
      <c r="AA19" s="9">
        <v>0.90233828417135398</v>
      </c>
      <c r="AB19" s="9">
        <v>9.0796689581935999E-2</v>
      </c>
      <c r="AC19" s="9">
        <v>6.4237575416941001E-2</v>
      </c>
      <c r="AD19" s="9">
        <v>634.20186131213302</v>
      </c>
      <c r="AE19" s="8">
        <v>20.323707074730599</v>
      </c>
      <c r="AF19" s="8">
        <v>0.83816917422027604</v>
      </c>
      <c r="AG19" s="8">
        <v>294.21180188158098</v>
      </c>
      <c r="AH19" s="8">
        <v>8.2687099504862296</v>
      </c>
      <c r="AI19" s="8">
        <v>0.34922343854294302</v>
      </c>
      <c r="AJ19" s="8">
        <v>8.5258823414196403</v>
      </c>
      <c r="AK19" s="8">
        <v>0.50800488190423299</v>
      </c>
      <c r="AL19" s="8">
        <v>0.277105180618129</v>
      </c>
      <c r="AM19" s="8" t="s">
        <v>59</v>
      </c>
      <c r="AN19" s="8">
        <v>6.1268638593653398E-2</v>
      </c>
      <c r="AO19" s="8">
        <v>0.31002379430931798</v>
      </c>
      <c r="AP19" s="8">
        <v>18.0058517610004</v>
      </c>
      <c r="AQ19" s="8">
        <v>0.531612203057514</v>
      </c>
      <c r="AR19" s="8">
        <v>1.3698807450793E-2</v>
      </c>
      <c r="AS19" s="9">
        <v>829.161320034087</v>
      </c>
      <c r="AT19" s="8">
        <v>39.296656710658503</v>
      </c>
      <c r="AU19" s="8">
        <v>4.4398941581905702E-2</v>
      </c>
      <c r="AV19" s="10">
        <v>-9.0215999999999994</v>
      </c>
      <c r="AW19" s="11">
        <v>0.12559999999999999</v>
      </c>
      <c r="AX19" s="13">
        <v>38.310119999999998</v>
      </c>
      <c r="AY19" s="13">
        <v>5.1727539999999999E-3</v>
      </c>
      <c r="AZ19" s="13">
        <v>15.729889999999999</v>
      </c>
      <c r="BA19" s="13">
        <v>1.9916090000000001E-3</v>
      </c>
      <c r="BB19" s="13">
        <v>18.340250000000001</v>
      </c>
      <c r="BC19" s="13">
        <v>2.1560989999999999E-3</v>
      </c>
      <c r="BD19" s="11">
        <v>0.87544346965416708</v>
      </c>
      <c r="BE19" s="11">
        <v>176.76661257928873</v>
      </c>
      <c r="BF19" s="11">
        <v>139.2577431862054</v>
      </c>
      <c r="BG19" s="11">
        <v>158.01217788274707</v>
      </c>
    </row>
    <row r="20" spans="2:59" ht="15">
      <c r="B20" s="24" t="s">
        <v>75</v>
      </c>
      <c r="C20" s="17">
        <v>329296.66010261199</v>
      </c>
      <c r="D20" s="17">
        <v>6330.0468377282496</v>
      </c>
      <c r="E20" s="17">
        <v>402.99852267593502</v>
      </c>
      <c r="F20" s="8">
        <v>54.107987948752601</v>
      </c>
      <c r="G20" s="8">
        <v>2.00738973923607</v>
      </c>
      <c r="H20" s="8">
        <v>1.5397222894884599</v>
      </c>
      <c r="I20" s="17">
        <v>16409.8115318071</v>
      </c>
      <c r="J20" s="17">
        <v>282.44597609723797</v>
      </c>
      <c r="K20" s="8">
        <v>12.729362066277901</v>
      </c>
      <c r="L20" s="8" t="s">
        <v>59</v>
      </c>
      <c r="M20" s="8">
        <v>0.39610341981892999</v>
      </c>
      <c r="N20" s="8">
        <v>1.7575168548567099</v>
      </c>
      <c r="O20" s="17">
        <v>649090.63891513401</v>
      </c>
      <c r="P20" s="17">
        <v>6438.9956598081499</v>
      </c>
      <c r="Q20" s="8">
        <v>2.9215611944109399</v>
      </c>
      <c r="R20" s="9">
        <v>4.6975978753466903</v>
      </c>
      <c r="S20" s="9">
        <v>0.387959083327515</v>
      </c>
      <c r="T20" s="9">
        <v>9.7342964357542097E-2</v>
      </c>
      <c r="U20" s="9">
        <v>419.28199982242199</v>
      </c>
      <c r="V20" s="9">
        <v>21.377289269117199</v>
      </c>
      <c r="W20" s="9">
        <v>0.74075497597020101</v>
      </c>
      <c r="X20" s="9" t="s">
        <v>59</v>
      </c>
      <c r="Y20" s="9">
        <v>0.65204040596318902</v>
      </c>
      <c r="Z20" s="9">
        <v>3.5927469870254898</v>
      </c>
      <c r="AA20" s="9">
        <v>0.72579589197506</v>
      </c>
      <c r="AB20" s="9">
        <v>9.5632395507093904E-2</v>
      </c>
      <c r="AC20" s="9">
        <v>6.9375107276007904E-3</v>
      </c>
      <c r="AD20" s="9">
        <v>480.80498440092498</v>
      </c>
      <c r="AE20" s="8">
        <v>10.5663408366611</v>
      </c>
      <c r="AF20" s="8">
        <v>0.67632970597761299</v>
      </c>
      <c r="AG20" s="8">
        <v>225.12386979909499</v>
      </c>
      <c r="AH20" s="8">
        <v>4.6339605031498099</v>
      </c>
      <c r="AI20" s="8">
        <v>0.33340563085865299</v>
      </c>
      <c r="AJ20" s="8">
        <v>3.67590154097969</v>
      </c>
      <c r="AK20" s="8">
        <v>0.461940527631092</v>
      </c>
      <c r="AL20" s="8">
        <v>0.29127792472115699</v>
      </c>
      <c r="AM20" s="8" t="s">
        <v>59</v>
      </c>
      <c r="AN20" s="8">
        <v>6.08461619056168E-2</v>
      </c>
      <c r="AO20" s="8">
        <v>0.27807502082834501</v>
      </c>
      <c r="AP20" s="8">
        <v>13.545830176281701</v>
      </c>
      <c r="AQ20" s="8">
        <v>0.61122572957461097</v>
      </c>
      <c r="AR20" s="8">
        <v>1.34791679956369E-2</v>
      </c>
      <c r="AS20" s="9">
        <v>629.57422277299702</v>
      </c>
      <c r="AT20" s="8">
        <v>25.0786579241393</v>
      </c>
      <c r="AU20" s="8">
        <v>4.21694317432659E-2</v>
      </c>
      <c r="AV20" s="10">
        <v>-13.179600000000001</v>
      </c>
      <c r="AW20" s="11">
        <v>0.13339999999999999</v>
      </c>
      <c r="AX20" s="13">
        <v>38.321840000000002</v>
      </c>
      <c r="AY20" s="13">
        <v>4.0424229999999998E-3</v>
      </c>
      <c r="AZ20" s="13">
        <v>15.73508</v>
      </c>
      <c r="BA20" s="13">
        <v>1.468876E-3</v>
      </c>
      <c r="BB20" s="13">
        <v>18.347650000000002</v>
      </c>
      <c r="BC20" s="13">
        <v>1.676496E-3</v>
      </c>
      <c r="BD20" s="11">
        <v>0.80982286196522568</v>
      </c>
      <c r="BE20" s="11">
        <v>179.85734320143786</v>
      </c>
      <c r="BF20" s="11">
        <v>143.66088596213336</v>
      </c>
      <c r="BG20" s="11">
        <v>161.75911458178561</v>
      </c>
    </row>
    <row r="21" spans="2:59" ht="15">
      <c r="B21" s="24" t="s">
        <v>76</v>
      </c>
      <c r="C21" s="17">
        <v>329471.11102818401</v>
      </c>
      <c r="D21" s="17">
        <v>9780.42068903779</v>
      </c>
      <c r="E21" s="17">
        <v>492.49274756329601</v>
      </c>
      <c r="F21" s="8">
        <v>71.462273572469499</v>
      </c>
      <c r="G21" s="8">
        <v>2.4211591702467601</v>
      </c>
      <c r="H21" s="8">
        <v>1.79875301702732</v>
      </c>
      <c r="I21" s="17">
        <v>8420.1581449287896</v>
      </c>
      <c r="J21" s="17">
        <v>201.878069796978</v>
      </c>
      <c r="K21" s="8">
        <v>15.545672837974999</v>
      </c>
      <c r="L21" s="8" t="s">
        <v>59</v>
      </c>
      <c r="M21" s="8">
        <v>0.50338226235539796</v>
      </c>
      <c r="N21" s="8">
        <v>2.1786033052508902</v>
      </c>
      <c r="O21" s="17">
        <v>653417.55748275702</v>
      </c>
      <c r="P21" s="17">
        <v>9858.0665672719206</v>
      </c>
      <c r="Q21" s="8">
        <v>4.1085476277320696</v>
      </c>
      <c r="R21" s="9">
        <v>14.196882685566999</v>
      </c>
      <c r="S21" s="9">
        <v>0.64738278910423497</v>
      </c>
      <c r="T21" s="9">
        <v>0.185527389741866</v>
      </c>
      <c r="U21" s="9">
        <v>849.65013345479895</v>
      </c>
      <c r="V21" s="9">
        <v>37.308686204542298</v>
      </c>
      <c r="W21" s="9">
        <v>0.97581053781031202</v>
      </c>
      <c r="X21" s="9" t="s">
        <v>59</v>
      </c>
      <c r="Y21" s="9">
        <v>0.73575805825839002</v>
      </c>
      <c r="Z21" s="9">
        <v>4.2611218020538804</v>
      </c>
      <c r="AA21" s="9">
        <v>2.2976494843336202</v>
      </c>
      <c r="AB21" s="9">
        <v>0.17870902717869</v>
      </c>
      <c r="AC21" s="9">
        <v>9.1474925549110808E-3</v>
      </c>
      <c r="AD21" s="9">
        <v>893.83132881001404</v>
      </c>
      <c r="AE21" s="8">
        <v>35.8561601201218</v>
      </c>
      <c r="AF21" s="8">
        <v>1.02294785715651</v>
      </c>
      <c r="AG21" s="8">
        <v>425.79962992561798</v>
      </c>
      <c r="AH21" s="8">
        <v>15.344753507586899</v>
      </c>
      <c r="AI21" s="8">
        <v>0.39108866978936102</v>
      </c>
      <c r="AJ21" s="8">
        <v>10.679552006477101</v>
      </c>
      <c r="AK21" s="8">
        <v>0.44244942917637398</v>
      </c>
      <c r="AL21" s="8">
        <v>0.27811753161814901</v>
      </c>
      <c r="AM21" s="8" t="s">
        <v>59</v>
      </c>
      <c r="AN21" s="8">
        <v>6.4330642996916404E-2</v>
      </c>
      <c r="AO21" s="8">
        <v>0.31665963730795599</v>
      </c>
      <c r="AP21" s="8">
        <v>36.704784638859898</v>
      </c>
      <c r="AQ21" s="8">
        <v>0.77444571926330297</v>
      </c>
      <c r="AR21" s="8">
        <v>1.09772202103145E-2</v>
      </c>
      <c r="AS21" s="9">
        <v>1278.4801506751901</v>
      </c>
      <c r="AT21" s="8">
        <v>52.949049183033203</v>
      </c>
      <c r="AU21" s="8">
        <v>7.6346929290154894E-2</v>
      </c>
      <c r="AV21" s="10">
        <v>-6.3190999999999997</v>
      </c>
      <c r="AW21" s="11">
        <v>9.2799999999999994E-2</v>
      </c>
      <c r="AX21" s="13">
        <v>38.320810000000002</v>
      </c>
      <c r="AY21" s="13">
        <v>2.7515040000000001E-3</v>
      </c>
      <c r="AZ21" s="13">
        <v>15.733560000000001</v>
      </c>
      <c r="BA21" s="13">
        <v>1.030169E-3</v>
      </c>
      <c r="BB21" s="13">
        <v>18.343350000000001</v>
      </c>
      <c r="BC21" s="13">
        <v>1.293045E-3</v>
      </c>
      <c r="BD21" s="11">
        <v>1.3864350380755452</v>
      </c>
      <c r="BE21" s="11">
        <v>152.69890970664181</v>
      </c>
      <c r="BF21" s="11">
        <v>104.97020894513092</v>
      </c>
      <c r="BG21" s="11">
        <v>128.83455932588637</v>
      </c>
    </row>
    <row r="22" spans="2:59" ht="15">
      <c r="B22" s="24" t="s">
        <v>77</v>
      </c>
      <c r="C22" s="17">
        <v>347603.78292324598</v>
      </c>
      <c r="D22" s="17">
        <v>9040.3616126304005</v>
      </c>
      <c r="E22" s="17">
        <v>487.89756631328498</v>
      </c>
      <c r="F22" s="8">
        <v>180.03200577771901</v>
      </c>
      <c r="G22" s="8">
        <v>8.3066828095789198</v>
      </c>
      <c r="H22" s="8">
        <v>1.88501818258097</v>
      </c>
      <c r="I22" s="17">
        <v>36116.862887109703</v>
      </c>
      <c r="J22" s="17">
        <v>6381.8310456344998</v>
      </c>
      <c r="K22" s="8">
        <v>15.077657356724799</v>
      </c>
      <c r="L22" s="8">
        <v>2.4799726046274699</v>
      </c>
      <c r="M22" s="8">
        <v>0.54766362215977205</v>
      </c>
      <c r="N22" s="8">
        <v>2.0611569894709998</v>
      </c>
      <c r="O22" s="17">
        <v>599574.58853882295</v>
      </c>
      <c r="P22" s="17">
        <v>14064.781233345</v>
      </c>
      <c r="Q22" s="8">
        <v>3.7723723936550599</v>
      </c>
      <c r="R22" s="9">
        <v>3.8643216042106201</v>
      </c>
      <c r="S22" s="9">
        <v>0.250791188468866</v>
      </c>
      <c r="T22" s="9">
        <v>0.19823936334046799</v>
      </c>
      <c r="U22" s="9">
        <v>1381.49212239279</v>
      </c>
      <c r="V22" s="9">
        <v>54.197908127407302</v>
      </c>
      <c r="W22" s="9">
        <v>0.96611489177211596</v>
      </c>
      <c r="X22" s="9" t="s">
        <v>59</v>
      </c>
      <c r="Y22" s="9">
        <v>0.93616085274920502</v>
      </c>
      <c r="Z22" s="9">
        <v>4.1821680783039703</v>
      </c>
      <c r="AA22" s="9">
        <v>3.9435083732982199</v>
      </c>
      <c r="AB22" s="9">
        <v>0.26697663583154702</v>
      </c>
      <c r="AC22" s="9">
        <v>8.5972638927867204E-2</v>
      </c>
      <c r="AD22" s="9">
        <v>381.87394052921098</v>
      </c>
      <c r="AE22" s="8">
        <v>15.3525709337571</v>
      </c>
      <c r="AF22" s="8">
        <v>0.97803077195485999</v>
      </c>
      <c r="AG22" s="8">
        <v>180.09413709077899</v>
      </c>
      <c r="AH22" s="8">
        <v>6.30434926434961</v>
      </c>
      <c r="AI22" s="8">
        <v>0.34662998970592102</v>
      </c>
      <c r="AJ22" s="8">
        <v>8.5431230715042297</v>
      </c>
      <c r="AK22" s="8">
        <v>0.45510457845782998</v>
      </c>
      <c r="AL22" s="8">
        <v>0.29437815378022503</v>
      </c>
      <c r="AM22" s="8" t="s">
        <v>59</v>
      </c>
      <c r="AN22" s="8">
        <v>6.8477931734194503E-2</v>
      </c>
      <c r="AO22" s="8">
        <v>0.32098417215383501</v>
      </c>
      <c r="AP22" s="8">
        <v>82.628660542355405</v>
      </c>
      <c r="AQ22" s="8">
        <v>1.4279058357897401</v>
      </c>
      <c r="AR22" s="8">
        <v>1.68193037856448E-3</v>
      </c>
      <c r="AS22" s="9">
        <v>3269.2909288164901</v>
      </c>
      <c r="AT22" s="8">
        <v>142.91693534951901</v>
      </c>
      <c r="AU22" s="8">
        <v>6.9021537883008396E-2</v>
      </c>
      <c r="AV22" s="10">
        <v>-5.0869</v>
      </c>
      <c r="AW22" s="11">
        <v>0.15720000000000001</v>
      </c>
      <c r="BD22" s="11">
        <v>0.44470718825344052</v>
      </c>
      <c r="BE22" s="11">
        <v>197.05429143326296</v>
      </c>
      <c r="BF22" s="11">
        <v>168.16014766819416</v>
      </c>
      <c r="BG22" s="11">
        <v>182.60721955072856</v>
      </c>
    </row>
    <row r="23" spans="2:59" ht="15">
      <c r="B23" s="24" t="s">
        <v>78</v>
      </c>
      <c r="C23" s="17">
        <v>326065.85905628197</v>
      </c>
      <c r="D23" s="17">
        <v>8941.5156064181992</v>
      </c>
      <c r="E23" s="17">
        <v>525.01293342556301</v>
      </c>
      <c r="F23" s="8">
        <v>129.68900805309201</v>
      </c>
      <c r="G23" s="8">
        <v>4.1352418236892996</v>
      </c>
      <c r="H23" s="8">
        <v>2.0859085972750901</v>
      </c>
      <c r="I23" s="17">
        <v>13281.5114628212</v>
      </c>
      <c r="J23" s="17">
        <v>361.06593175145298</v>
      </c>
      <c r="K23" s="8">
        <v>15.5960621007816</v>
      </c>
      <c r="L23" s="8" t="s">
        <v>59</v>
      </c>
      <c r="M23" s="8">
        <v>0.54420196417168898</v>
      </c>
      <c r="N23" s="8">
        <v>2.1664482876881102</v>
      </c>
      <c r="O23" s="17">
        <v>642272.03435479302</v>
      </c>
      <c r="P23" s="17">
        <v>9091.2176320574508</v>
      </c>
      <c r="Q23" s="8">
        <v>4.2325745443506397</v>
      </c>
      <c r="R23" s="9">
        <v>6.9966186290998396</v>
      </c>
      <c r="S23" s="9">
        <v>0.39892290550556497</v>
      </c>
      <c r="T23" s="9">
        <v>0.195785113915704</v>
      </c>
      <c r="U23" s="9">
        <v>1419.9639347728</v>
      </c>
      <c r="V23" s="9">
        <v>62.260269091096603</v>
      </c>
      <c r="W23" s="9">
        <v>1.0132553304016101</v>
      </c>
      <c r="X23" s="9" t="s">
        <v>59</v>
      </c>
      <c r="Y23" s="9">
        <v>0.85937293910164603</v>
      </c>
      <c r="Z23" s="9">
        <v>4.4786113097804696</v>
      </c>
      <c r="AA23" s="9">
        <v>2.3573177312862899</v>
      </c>
      <c r="AB23" s="9">
        <v>0.20145507827980699</v>
      </c>
      <c r="AC23" s="9">
        <v>0.12776726098337299</v>
      </c>
      <c r="AD23" s="9">
        <v>77.020577129613699</v>
      </c>
      <c r="AE23" s="8">
        <v>2.7771318136298699</v>
      </c>
      <c r="AF23" s="8">
        <v>0.86160908537854497</v>
      </c>
      <c r="AG23" s="8">
        <v>36.449196628054104</v>
      </c>
      <c r="AH23" s="8">
        <v>1.23486644372516</v>
      </c>
      <c r="AI23" s="8">
        <v>0.50276888358364002</v>
      </c>
      <c r="AJ23" s="8">
        <v>4.7367987273209504</v>
      </c>
      <c r="AK23" s="8">
        <v>0.26302640317473902</v>
      </c>
      <c r="AL23" s="8">
        <v>0.32048572777129503</v>
      </c>
      <c r="AM23" s="8" t="s">
        <v>59</v>
      </c>
      <c r="AN23" s="8">
        <v>7.4492206431994806E-2</v>
      </c>
      <c r="AO23" s="8">
        <v>0.33360691569459699</v>
      </c>
      <c r="AP23" s="8">
        <v>76.210396362210105</v>
      </c>
      <c r="AQ23" s="8">
        <v>2.38417406383752</v>
      </c>
      <c r="AR23" s="8">
        <v>1.82793414438864E-3</v>
      </c>
      <c r="AS23" s="9">
        <v>2990.6570217303101</v>
      </c>
      <c r="AT23" s="8">
        <v>106.95239444619</v>
      </c>
      <c r="AU23" s="8">
        <v>8.5634347588628895E-2</v>
      </c>
      <c r="AV23" s="10">
        <v>-4.8285999999999998</v>
      </c>
      <c r="AW23" s="11">
        <v>0.1424</v>
      </c>
      <c r="AX23" s="13">
        <v>38.333629999999999</v>
      </c>
      <c r="AY23" s="13">
        <v>2.784824E-3</v>
      </c>
      <c r="AZ23" s="13">
        <v>15.73592</v>
      </c>
      <c r="BA23" s="13">
        <v>9.7606639999999996E-4</v>
      </c>
      <c r="BB23" s="13">
        <v>18.344390000000001</v>
      </c>
      <c r="BC23" s="13">
        <v>1.128123E-3</v>
      </c>
      <c r="BD23" s="11">
        <v>0.9093475857423593</v>
      </c>
      <c r="BE23" s="11">
        <v>175.16972871153487</v>
      </c>
      <c r="BF23" s="11">
        <v>136.9827769966877</v>
      </c>
      <c r="BG23" s="11">
        <v>156.07625285411129</v>
      </c>
    </row>
    <row r="24" spans="2:59" ht="15">
      <c r="B24" s="24" t="s">
        <v>79</v>
      </c>
      <c r="C24" s="17">
        <v>324437.47455193102</v>
      </c>
      <c r="D24" s="17">
        <v>9845.8785488697595</v>
      </c>
      <c r="E24" s="17">
        <v>501.03320794350498</v>
      </c>
      <c r="F24" s="8">
        <v>159.944129779267</v>
      </c>
      <c r="G24" s="8">
        <v>3.8316335545215501</v>
      </c>
      <c r="H24" s="8">
        <v>2.0041448299794502</v>
      </c>
      <c r="I24" s="17">
        <v>9874.0705575730208</v>
      </c>
      <c r="J24" s="17">
        <v>175.90478729490999</v>
      </c>
      <c r="K24" s="8">
        <v>17.841887348025999</v>
      </c>
      <c r="L24" s="8">
        <v>2.2857050848448099</v>
      </c>
      <c r="M24" s="8">
        <v>0.53714804684530704</v>
      </c>
      <c r="N24" s="8">
        <v>2.1460279767444899</v>
      </c>
      <c r="O24" s="17">
        <v>649891.95403078897</v>
      </c>
      <c r="P24" s="17">
        <v>9780.1524663244109</v>
      </c>
      <c r="Q24" s="8">
        <v>4.1677661311802696</v>
      </c>
      <c r="R24" s="9">
        <v>7.8501617468104703</v>
      </c>
      <c r="S24" s="9">
        <v>0.46463487120971397</v>
      </c>
      <c r="T24" s="9">
        <v>0.18848473372653701</v>
      </c>
      <c r="U24" s="9">
        <v>1798.8465215369999</v>
      </c>
      <c r="V24" s="9">
        <v>69.161255622663305</v>
      </c>
      <c r="W24" s="9">
        <v>0.99009226740520095</v>
      </c>
      <c r="X24" s="9" t="s">
        <v>59</v>
      </c>
      <c r="Y24" s="9">
        <v>0.80866701253413897</v>
      </c>
      <c r="Z24" s="9">
        <v>4.3348443962338203</v>
      </c>
      <c r="AA24" s="9">
        <v>3.7702971565774499</v>
      </c>
      <c r="AB24" s="9">
        <v>0.27432945777786699</v>
      </c>
      <c r="AC24" s="9">
        <v>6.6689179347380306E-2</v>
      </c>
      <c r="AD24" s="9">
        <v>299.380573233993</v>
      </c>
      <c r="AE24" s="8">
        <v>11.764294654692</v>
      </c>
      <c r="AF24" s="8">
        <v>0.99183330320308005</v>
      </c>
      <c r="AG24" s="8">
        <v>139.58860657648401</v>
      </c>
      <c r="AH24" s="8">
        <v>5.146224014005</v>
      </c>
      <c r="AI24" s="8">
        <v>0.48346707225448599</v>
      </c>
      <c r="AJ24" s="8">
        <v>6.1141718194821397</v>
      </c>
      <c r="AK24" s="8">
        <v>0.359891487753631</v>
      </c>
      <c r="AL24" s="8">
        <v>0.30889077670106102</v>
      </c>
      <c r="AM24" s="8" t="s">
        <v>59</v>
      </c>
      <c r="AN24" s="8">
        <v>6.4966089249756498E-2</v>
      </c>
      <c r="AO24" s="8">
        <v>0.35783048167130499</v>
      </c>
      <c r="AP24" s="8">
        <v>94.2630685673725</v>
      </c>
      <c r="AQ24" s="8">
        <v>1.1978936201777699</v>
      </c>
      <c r="AR24" s="8">
        <v>1.6096942791282199E-2</v>
      </c>
      <c r="AS24" s="9">
        <v>3869.73230096006</v>
      </c>
      <c r="AT24" s="8">
        <v>101.870466998666</v>
      </c>
      <c r="AU24" s="8">
        <v>8.1165258779161406E-2</v>
      </c>
      <c r="AV24" s="10">
        <v>-5.2389999999999999</v>
      </c>
      <c r="AW24" s="11">
        <v>0.14349999999999999</v>
      </c>
      <c r="BD24" s="11">
        <v>1.1013870939295618</v>
      </c>
      <c r="BE24" s="11">
        <v>166.12466787591762</v>
      </c>
      <c r="BF24" s="11">
        <v>124.09692599732641</v>
      </c>
      <c r="BG24" s="11">
        <v>145.11079693662202</v>
      </c>
    </row>
    <row r="25" spans="2:59" ht="15">
      <c r="B25" s="24" t="s">
        <v>80</v>
      </c>
      <c r="C25" s="17">
        <v>326446.56718568201</v>
      </c>
      <c r="D25" s="17">
        <v>8995.8827635519192</v>
      </c>
      <c r="E25" s="17">
        <v>500.64438713433202</v>
      </c>
      <c r="F25" s="8">
        <v>167.27153802049199</v>
      </c>
      <c r="G25" s="8">
        <v>3.7716684489379699</v>
      </c>
      <c r="H25" s="8">
        <v>1.86587658071073</v>
      </c>
      <c r="I25" s="17">
        <v>13902.1171046523</v>
      </c>
      <c r="J25" s="17">
        <v>365.67143031858001</v>
      </c>
      <c r="K25" s="8">
        <v>16.444862329187998</v>
      </c>
      <c r="L25" s="8" t="s">
        <v>59</v>
      </c>
      <c r="M25" s="8">
        <v>0.44311527456509903</v>
      </c>
      <c r="N25" s="8">
        <v>2.2031222211767201</v>
      </c>
      <c r="O25" s="17">
        <v>635812.79121054604</v>
      </c>
      <c r="P25" s="17">
        <v>8873.6249832869307</v>
      </c>
      <c r="Q25" s="8">
        <v>4.14452685554176</v>
      </c>
      <c r="R25" s="9">
        <v>8.3148884924247408</v>
      </c>
      <c r="S25" s="9">
        <v>0.67300938399103005</v>
      </c>
      <c r="T25" s="9">
        <v>0.18850663567737</v>
      </c>
      <c r="U25" s="9">
        <v>1752.9375577241799</v>
      </c>
      <c r="V25" s="9">
        <v>76.160004632073594</v>
      </c>
      <c r="W25" s="9">
        <v>0.86649382315842605</v>
      </c>
      <c r="X25" s="9">
        <v>4.9701901193087297</v>
      </c>
      <c r="Y25" s="9">
        <v>1.2556967523746501</v>
      </c>
      <c r="Z25" s="9">
        <v>4.3131641912280196</v>
      </c>
      <c r="AA25" s="9">
        <v>3.0811509993566202</v>
      </c>
      <c r="AB25" s="9">
        <v>0.247691406698933</v>
      </c>
      <c r="AC25" s="9">
        <v>9.04589204053243E-2</v>
      </c>
      <c r="AD25" s="9">
        <v>314.54477841583201</v>
      </c>
      <c r="AE25" s="8">
        <v>15.532225011676999</v>
      </c>
      <c r="AF25" s="8">
        <v>0.72862640616265195</v>
      </c>
      <c r="AG25" s="8">
        <v>146.50620760282399</v>
      </c>
      <c r="AH25" s="8">
        <v>6.3253708479777604</v>
      </c>
      <c r="AI25" s="8">
        <v>0.42397576197266701</v>
      </c>
      <c r="AJ25" s="8">
        <v>8.1417734717160695</v>
      </c>
      <c r="AK25" s="8">
        <v>0.49386822835759497</v>
      </c>
      <c r="AL25" s="8">
        <v>0.28812553764156001</v>
      </c>
      <c r="AM25" s="8" t="s">
        <v>59</v>
      </c>
      <c r="AN25" s="8">
        <v>8.0730214672411094E-2</v>
      </c>
      <c r="AO25" s="8">
        <v>0.28932233728472001</v>
      </c>
      <c r="AP25" s="8">
        <v>81.288163965633402</v>
      </c>
      <c r="AQ25" s="8">
        <v>1.1746674919650699</v>
      </c>
      <c r="AR25" s="8">
        <v>1.6143886133022901E-2</v>
      </c>
      <c r="AS25" s="9">
        <v>6129.04938006067</v>
      </c>
      <c r="AT25" s="8">
        <v>159.776267929076</v>
      </c>
      <c r="AU25" s="8">
        <v>7.4555175475128202E-2</v>
      </c>
      <c r="AV25" s="10">
        <v>-5.4600999999999997</v>
      </c>
      <c r="AW25" s="11">
        <v>0.12330000000000001</v>
      </c>
      <c r="BD25" s="11">
        <v>0.88567629521911451</v>
      </c>
      <c r="BE25" s="11">
        <v>176.28464649517971</v>
      </c>
      <c r="BF25" s="11">
        <v>138.57112059079742</v>
      </c>
      <c r="BG25" s="11">
        <v>157.42788354298858</v>
      </c>
    </row>
    <row r="26" spans="2:59" ht="15">
      <c r="B26" s="24" t="s">
        <v>81</v>
      </c>
      <c r="C26" s="17">
        <v>322176.79719771701</v>
      </c>
      <c r="D26" s="17">
        <v>10142.886160234701</v>
      </c>
      <c r="E26" s="17">
        <v>493.51180318905102</v>
      </c>
      <c r="F26" s="8">
        <v>122.87101061177</v>
      </c>
      <c r="G26" s="8">
        <v>3.2652422444779599</v>
      </c>
      <c r="H26" s="8">
        <v>1.94528932494067</v>
      </c>
      <c r="I26" s="17">
        <v>8107.8347775307202</v>
      </c>
      <c r="J26" s="17">
        <v>147.35402173535201</v>
      </c>
      <c r="K26" s="8">
        <v>15.7134598200917</v>
      </c>
      <c r="L26" s="8" t="s">
        <v>59</v>
      </c>
      <c r="M26" s="8">
        <v>0.50391660657086701</v>
      </c>
      <c r="N26" s="8">
        <v>2.3423571845745599</v>
      </c>
      <c r="O26" s="17">
        <v>654534.632178823</v>
      </c>
      <c r="P26" s="17">
        <v>10071.9194670418</v>
      </c>
      <c r="Q26" s="8">
        <v>4.2587837061711298</v>
      </c>
      <c r="R26" s="9">
        <v>19.310772555377099</v>
      </c>
      <c r="S26" s="9">
        <v>0.92326270165022395</v>
      </c>
      <c r="T26" s="9">
        <v>0.12853865736310299</v>
      </c>
      <c r="U26" s="9">
        <v>1202.8340248914301</v>
      </c>
      <c r="V26" s="9">
        <v>52.379141267471901</v>
      </c>
      <c r="W26" s="9">
        <v>1.0138639265492899</v>
      </c>
      <c r="X26" s="9" t="s">
        <v>59</v>
      </c>
      <c r="Y26" s="9">
        <v>0.78432742292733804</v>
      </c>
      <c r="Z26" s="9">
        <v>4.4916828846425902</v>
      </c>
      <c r="AA26" s="9">
        <v>6.9162478793222499</v>
      </c>
      <c r="AB26" s="9">
        <v>0.41505900522905198</v>
      </c>
      <c r="AC26" s="9">
        <v>6.6217615291992604E-2</v>
      </c>
      <c r="AD26" s="9">
        <v>709.61477195260704</v>
      </c>
      <c r="AE26" s="8">
        <v>26.623144699803401</v>
      </c>
      <c r="AF26" s="8">
        <v>0.81346630443478596</v>
      </c>
      <c r="AG26" s="8">
        <v>330.847258312593</v>
      </c>
      <c r="AH26" s="8">
        <v>11.465593580663301</v>
      </c>
      <c r="AI26" s="8">
        <v>0.43070340227540399</v>
      </c>
      <c r="AJ26" s="8">
        <v>27.3567299911413</v>
      </c>
      <c r="AK26" s="8">
        <v>1.1326497867930501</v>
      </c>
      <c r="AL26" s="8">
        <v>0.28041662834447201</v>
      </c>
      <c r="AM26" s="8">
        <v>0.38607827153382901</v>
      </c>
      <c r="AN26" s="8">
        <v>7.5246187978571702E-2</v>
      </c>
      <c r="AO26" s="8">
        <v>0.29129576631176002</v>
      </c>
      <c r="AP26" s="8">
        <v>60.365940867630897</v>
      </c>
      <c r="AQ26" s="8">
        <v>0.85288708644018196</v>
      </c>
      <c r="AR26" s="8">
        <v>1.5988540179882101E-2</v>
      </c>
      <c r="AS26" s="9">
        <v>3614.1661830473299</v>
      </c>
      <c r="AT26" s="8">
        <v>110.91009148195801</v>
      </c>
      <c r="AU26" s="8">
        <v>6.8293162071285204E-2</v>
      </c>
      <c r="AV26" s="10">
        <v>-4.3399000000000001</v>
      </c>
      <c r="AW26" s="11">
        <v>0.1174</v>
      </c>
      <c r="AX26" s="13">
        <v>38.333680000000001</v>
      </c>
      <c r="AY26" s="13">
        <v>3.317778E-3</v>
      </c>
      <c r="AZ26" s="13">
        <v>15.736359999999999</v>
      </c>
      <c r="BA26" s="13">
        <v>1.146869E-3</v>
      </c>
      <c r="BB26" s="13">
        <v>18.344840000000001</v>
      </c>
      <c r="BC26" s="13">
        <v>1.2946399999999999E-3</v>
      </c>
      <c r="BD26" s="11">
        <v>1.2443143546988331</v>
      </c>
      <c r="BE26" s="11">
        <v>159.39279389368497</v>
      </c>
      <c r="BF26" s="11">
        <v>114.5065067997083</v>
      </c>
      <c r="BG26" s="11">
        <v>136.94965034669664</v>
      </c>
    </row>
    <row r="27" spans="2:59" ht="15">
      <c r="B27" s="24" t="s">
        <v>82</v>
      </c>
      <c r="C27" s="17">
        <v>332003.00875077402</v>
      </c>
      <c r="D27" s="17">
        <v>9367.1011727388304</v>
      </c>
      <c r="E27" s="17">
        <v>467.69377921864901</v>
      </c>
      <c r="F27" s="8">
        <v>12.1659818887992</v>
      </c>
      <c r="G27" s="8">
        <v>0.53750891125995803</v>
      </c>
      <c r="H27" s="8">
        <v>1.7507702004224499</v>
      </c>
      <c r="I27" s="17">
        <v>764.70824226970797</v>
      </c>
      <c r="J27" s="17">
        <v>29.8767573489149</v>
      </c>
      <c r="K27" s="8">
        <v>14.207530285752</v>
      </c>
      <c r="L27" s="8">
        <v>2.7468916840428301</v>
      </c>
      <c r="M27" s="8">
        <v>0.49563538958053399</v>
      </c>
      <c r="N27" s="8">
        <v>1.90492859670833</v>
      </c>
      <c r="O27" s="17">
        <v>660789.44496001501</v>
      </c>
      <c r="P27" s="17">
        <v>9440.6968656228091</v>
      </c>
      <c r="Q27" s="8">
        <v>3.9907433797945</v>
      </c>
      <c r="R27" s="9">
        <v>57.439580947413802</v>
      </c>
      <c r="S27" s="9">
        <v>3.0394267656312599</v>
      </c>
      <c r="T27" s="9">
        <v>0.14360049866423</v>
      </c>
      <c r="U27" s="9">
        <v>221.056103385455</v>
      </c>
      <c r="V27" s="9">
        <v>12.721023725846299</v>
      </c>
      <c r="W27" s="9">
        <v>0.77347172004086495</v>
      </c>
      <c r="X27" s="9" t="s">
        <v>59</v>
      </c>
      <c r="Y27" s="9">
        <v>0.73449893192353799</v>
      </c>
      <c r="Z27" s="9">
        <v>4.2248296773149798</v>
      </c>
      <c r="AA27" s="9">
        <v>0.13342170630010899</v>
      </c>
      <c r="AB27" s="9">
        <v>3.4767430037732402E-2</v>
      </c>
      <c r="AC27" s="9">
        <v>6.3401814570847106E-2</v>
      </c>
      <c r="AD27" s="9">
        <v>2435.8743134749702</v>
      </c>
      <c r="AE27" s="8">
        <v>109.93367083613001</v>
      </c>
      <c r="AF27" s="8">
        <v>1.0192466424442199</v>
      </c>
      <c r="AG27" s="8">
        <v>1134.9100904670299</v>
      </c>
      <c r="AH27" s="8">
        <v>43.667500029180502</v>
      </c>
      <c r="AI27" s="8">
        <v>0.399170922047212</v>
      </c>
      <c r="AJ27" s="8" t="s">
        <v>59</v>
      </c>
      <c r="AK27" s="8">
        <v>7.2621880757356899E-2</v>
      </c>
      <c r="AL27" s="8">
        <v>0.317707472049087</v>
      </c>
      <c r="AM27" s="8" t="s">
        <v>59</v>
      </c>
      <c r="AN27" s="8">
        <v>5.51674287398628E-2</v>
      </c>
      <c r="AO27" s="8">
        <v>0.29552787442927902</v>
      </c>
      <c r="AP27" s="8">
        <v>3.7531017093700401</v>
      </c>
      <c r="AQ27" s="8">
        <v>0.20641477449993101</v>
      </c>
      <c r="AR27" s="8">
        <v>1.1319007476878499E-2</v>
      </c>
      <c r="AS27" s="9">
        <v>639.10749270460201</v>
      </c>
      <c r="AT27" s="8">
        <v>34.043025646476302</v>
      </c>
      <c r="AU27" s="8">
        <v>6.7221376217293599E-2</v>
      </c>
      <c r="AV27" s="10">
        <v>-1.6231</v>
      </c>
      <c r="AW27" s="11">
        <v>8.8200000000000001E-2</v>
      </c>
      <c r="AX27" s="13">
        <v>38.310780000000001</v>
      </c>
      <c r="AY27" s="13">
        <v>7.8761899999999999E-3</v>
      </c>
      <c r="AZ27" s="13">
        <v>15.7302</v>
      </c>
      <c r="BA27" s="13">
        <v>3.0656289999999998E-3</v>
      </c>
      <c r="BB27" s="13">
        <v>18.337430000000001</v>
      </c>
      <c r="BC27" s="13">
        <v>3.4471910000000001E-3</v>
      </c>
      <c r="BD27" s="11" t="e">
        <v>#VALUE!</v>
      </c>
      <c r="BE27" s="11" t="e">
        <v>#VALUE!</v>
      </c>
      <c r="BF27" s="11" t="e">
        <v>#VALUE!</v>
      </c>
      <c r="BG27" s="11" t="e">
        <v>#VALUE!</v>
      </c>
    </row>
    <row r="28" spans="2:59" ht="15">
      <c r="B28" s="24" t="s">
        <v>83</v>
      </c>
      <c r="C28" s="17">
        <v>329771.71745169698</v>
      </c>
      <c r="D28" s="17">
        <v>8926.1193043124695</v>
      </c>
      <c r="E28" s="17">
        <v>500.86432286543902</v>
      </c>
      <c r="F28" s="8">
        <v>97.669585306633493</v>
      </c>
      <c r="G28" s="8">
        <v>2.5538160763082902</v>
      </c>
      <c r="H28" s="8">
        <v>1.96945062898332</v>
      </c>
      <c r="I28" s="17">
        <v>13269.7925410391</v>
      </c>
      <c r="J28" s="17">
        <v>185.46870313319101</v>
      </c>
      <c r="K28" s="8">
        <v>16.571062384540099</v>
      </c>
      <c r="L28" s="8">
        <v>3.2490937427798299</v>
      </c>
      <c r="M28" s="8">
        <v>0.55870257365550802</v>
      </c>
      <c r="N28" s="8">
        <v>2.67559291371286</v>
      </c>
      <c r="O28" s="17">
        <v>646512.26968458004</v>
      </c>
      <c r="P28" s="17">
        <v>9033.8015747505397</v>
      </c>
      <c r="Q28" s="8">
        <v>4.6395502743083004</v>
      </c>
      <c r="R28" s="9">
        <v>33.7495259351372</v>
      </c>
      <c r="S28" s="9">
        <v>1.19757485915968</v>
      </c>
      <c r="T28" s="9">
        <v>0.19916088947732899</v>
      </c>
      <c r="U28" s="9">
        <v>995.09535707580801</v>
      </c>
      <c r="V28" s="9">
        <v>38.6118304947084</v>
      </c>
      <c r="W28" s="9">
        <v>0.92014506094323301</v>
      </c>
      <c r="X28" s="9" t="s">
        <v>59</v>
      </c>
      <c r="Y28" s="9">
        <v>0.74095951652294301</v>
      </c>
      <c r="Z28" s="9">
        <v>4.3664009517074298</v>
      </c>
      <c r="AA28" s="9">
        <v>5.6293900967385602</v>
      </c>
      <c r="AB28" s="9">
        <v>0.37417756435914801</v>
      </c>
      <c r="AC28" s="9">
        <v>9.2441074988622293E-2</v>
      </c>
      <c r="AD28" s="9">
        <v>854.12526680107999</v>
      </c>
      <c r="AE28" s="8">
        <v>35.823943029374803</v>
      </c>
      <c r="AF28" s="8">
        <v>1.16012463202948</v>
      </c>
      <c r="AG28" s="8">
        <v>397.93348090600898</v>
      </c>
      <c r="AH28" s="8">
        <v>14.371766468539001</v>
      </c>
      <c r="AI28" s="8">
        <v>0.47725317166964598</v>
      </c>
      <c r="AJ28" s="8">
        <v>26.1791491746473</v>
      </c>
      <c r="AK28" s="8">
        <v>0.95033533523896396</v>
      </c>
      <c r="AL28" s="8">
        <v>0.34179850613652202</v>
      </c>
      <c r="AM28" s="8">
        <v>0.49383152349920201</v>
      </c>
      <c r="AN28" s="8">
        <v>8.1881543777389196E-2</v>
      </c>
      <c r="AO28" s="8">
        <v>0.32778368120141099</v>
      </c>
      <c r="AP28" s="8">
        <v>46.599917901740298</v>
      </c>
      <c r="AQ28" s="8">
        <v>0.68207060595855495</v>
      </c>
      <c r="AR28" s="8">
        <v>1.6506171938194501E-2</v>
      </c>
      <c r="AS28" s="9">
        <v>1798.9194385738299</v>
      </c>
      <c r="AT28" s="8">
        <v>54.564523775912598</v>
      </c>
      <c r="AU28" s="8">
        <v>7.6234468693471905E-2</v>
      </c>
      <c r="AV28" s="10">
        <v>-8.6000999999999994</v>
      </c>
      <c r="AW28" s="11">
        <v>0.1181</v>
      </c>
      <c r="AX28" s="13">
        <v>38.325180000000003</v>
      </c>
      <c r="AY28" s="13">
        <v>3.7959769999999999E-3</v>
      </c>
      <c r="AZ28" s="13">
        <v>15.73502</v>
      </c>
      <c r="BA28" s="13">
        <v>1.426257E-3</v>
      </c>
      <c r="BB28" s="13">
        <v>18.343900000000001</v>
      </c>
      <c r="BC28" s="13">
        <v>1.7836340000000001E-3</v>
      </c>
      <c r="BD28" s="11">
        <v>1.0247114910502999</v>
      </c>
      <c r="BE28" s="11">
        <v>169.73608877153089</v>
      </c>
      <c r="BF28" s="11">
        <v>129.24185895052489</v>
      </c>
      <c r="BG28" s="11">
        <v>149.48897386102789</v>
      </c>
    </row>
    <row r="29" spans="2:59" ht="15">
      <c r="B29" s="24" t="s">
        <v>84</v>
      </c>
      <c r="C29" s="17">
        <v>323829.75444180699</v>
      </c>
      <c r="D29" s="17">
        <v>9207.2887977397895</v>
      </c>
      <c r="E29" s="17">
        <v>486.64197747711</v>
      </c>
      <c r="F29" s="8">
        <v>55.892264547431601</v>
      </c>
      <c r="G29" s="8">
        <v>1.51932293103778</v>
      </c>
      <c r="H29" s="8">
        <v>1.9474211231977301</v>
      </c>
      <c r="I29" s="17">
        <v>7624.4245383249599</v>
      </c>
      <c r="J29" s="17">
        <v>202.15702765089799</v>
      </c>
      <c r="K29" s="8">
        <v>14.4566742913448</v>
      </c>
      <c r="L29" s="8" t="s">
        <v>59</v>
      </c>
      <c r="M29" s="8">
        <v>0.48293933083593499</v>
      </c>
      <c r="N29" s="8">
        <v>1.9852014526733801</v>
      </c>
      <c r="O29" s="17">
        <v>660707.93835648498</v>
      </c>
      <c r="P29" s="17">
        <v>9342.8515326501001</v>
      </c>
      <c r="Q29" s="8">
        <v>4.4657829892359899</v>
      </c>
      <c r="R29" s="9">
        <v>9.23929314927795</v>
      </c>
      <c r="S29" s="9">
        <v>0.45284715931188602</v>
      </c>
      <c r="T29" s="9">
        <v>0.14883164250143599</v>
      </c>
      <c r="U29" s="9">
        <v>532.78388410916205</v>
      </c>
      <c r="V29" s="9">
        <v>22.0572598989122</v>
      </c>
      <c r="W29" s="9">
        <v>0.80965149225185895</v>
      </c>
      <c r="X29" s="9" t="s">
        <v>59</v>
      </c>
      <c r="Y29" s="9">
        <v>0.83999410725208901</v>
      </c>
      <c r="Z29" s="9">
        <v>4.2445466862916099</v>
      </c>
      <c r="AA29" s="9">
        <v>2.5957686211128999</v>
      </c>
      <c r="AB29" s="9">
        <v>0.19560902690465901</v>
      </c>
      <c r="AC29" s="9">
        <v>6.6070006436027603E-2</v>
      </c>
      <c r="AD29" s="9">
        <v>789.17510449147403</v>
      </c>
      <c r="AE29" s="8">
        <v>27.105301736656301</v>
      </c>
      <c r="AF29" s="8">
        <v>0.93491847791605698</v>
      </c>
      <c r="AG29" s="8">
        <v>360.93714348088901</v>
      </c>
      <c r="AH29" s="8">
        <v>11.444259893735699</v>
      </c>
      <c r="AI29" s="8">
        <v>0.47069603129801602</v>
      </c>
      <c r="AJ29" s="8">
        <v>5.2304391483238</v>
      </c>
      <c r="AK29" s="8">
        <v>0.369734490508144</v>
      </c>
      <c r="AL29" s="8">
        <v>0.31866539549144002</v>
      </c>
      <c r="AM29" s="8" t="s">
        <v>59</v>
      </c>
      <c r="AN29" s="8">
        <v>6.1629821256010901E-2</v>
      </c>
      <c r="AO29" s="8">
        <v>0.29012928056953802</v>
      </c>
      <c r="AP29" s="8">
        <v>20.390909763852701</v>
      </c>
      <c r="AQ29" s="8">
        <v>0.35296583047815999</v>
      </c>
      <c r="AR29" s="8">
        <v>1.91547042663315E-2</v>
      </c>
      <c r="AS29" s="9">
        <v>1010.04635231574</v>
      </c>
      <c r="AT29" s="8">
        <v>27.384390224103399</v>
      </c>
      <c r="AU29" s="8">
        <v>8.0491918425823206E-2</v>
      </c>
      <c r="AV29" s="10">
        <v>-9.3755000000000006</v>
      </c>
      <c r="AW29" s="11">
        <v>0.1236</v>
      </c>
      <c r="AX29" s="13">
        <v>38.324289999999998</v>
      </c>
      <c r="AY29" s="13">
        <v>4.5543049999999998E-3</v>
      </c>
      <c r="AZ29" s="13">
        <v>15.7348</v>
      </c>
      <c r="BA29" s="13">
        <v>1.85085E-3</v>
      </c>
      <c r="BB29" s="13">
        <v>18.34572</v>
      </c>
      <c r="BC29" s="13">
        <v>2.1885339999999998E-3</v>
      </c>
      <c r="BD29" s="11">
        <v>1.0748424310838467</v>
      </c>
      <c r="BE29" s="11">
        <v>167.37492149595082</v>
      </c>
      <c r="BF29" s="11">
        <v>125.8780728742739</v>
      </c>
      <c r="BG29" s="11">
        <v>146.62649718511236</v>
      </c>
    </row>
    <row r="30" spans="2:59" ht="15">
      <c r="B30" s="24" t="s">
        <v>85</v>
      </c>
      <c r="C30" s="17">
        <v>324439.68295463797</v>
      </c>
      <c r="D30" s="17">
        <v>8457.6902944736794</v>
      </c>
      <c r="E30" s="17">
        <v>481.60650757586097</v>
      </c>
      <c r="F30" s="8">
        <v>100.959242114067</v>
      </c>
      <c r="G30" s="8">
        <v>2.5586662700525</v>
      </c>
      <c r="H30" s="8">
        <v>1.8415707182583501</v>
      </c>
      <c r="I30" s="17">
        <v>5503.2896497148404</v>
      </c>
      <c r="J30" s="17">
        <v>132.13420460837401</v>
      </c>
      <c r="K30" s="8">
        <v>15.955790821194901</v>
      </c>
      <c r="L30" s="8" t="s">
        <v>59</v>
      </c>
      <c r="M30" s="8">
        <v>0.49957089823814899</v>
      </c>
      <c r="N30" s="8">
        <v>2.3525759738356702</v>
      </c>
      <c r="O30" s="17">
        <v>657622.65819841798</v>
      </c>
      <c r="P30" s="17">
        <v>8464.5725745620202</v>
      </c>
      <c r="Q30" s="8">
        <v>4.4958159106915501</v>
      </c>
      <c r="R30" s="9">
        <v>3.3078110626076298</v>
      </c>
      <c r="S30" s="9">
        <v>0.28906723488489899</v>
      </c>
      <c r="T30" s="9">
        <v>0.16704833234511601</v>
      </c>
      <c r="U30" s="9">
        <v>627.44585537314003</v>
      </c>
      <c r="V30" s="9">
        <v>24.554011793815199</v>
      </c>
      <c r="W30" s="9">
        <v>0.83318019435564805</v>
      </c>
      <c r="X30" s="9" t="s">
        <v>59</v>
      </c>
      <c r="Y30" s="9">
        <v>0.81050654238879805</v>
      </c>
      <c r="Z30" s="9">
        <v>4.3151659401979998</v>
      </c>
      <c r="AA30" s="9">
        <v>1.23755072918923</v>
      </c>
      <c r="AB30" s="9">
        <v>0.121635867836328</v>
      </c>
      <c r="AC30" s="9">
        <v>9.8095800619907095E-3</v>
      </c>
      <c r="AD30" s="9">
        <v>470.44199713117598</v>
      </c>
      <c r="AE30" s="8">
        <v>16.808648172408201</v>
      </c>
      <c r="AF30" s="8">
        <v>1.08981561444328</v>
      </c>
      <c r="AG30" s="8">
        <v>213.50965363648299</v>
      </c>
      <c r="AH30" s="8">
        <v>6.7022528165114004</v>
      </c>
      <c r="AI30" s="8">
        <v>0.39901566967768598</v>
      </c>
      <c r="AJ30" s="8">
        <v>2.3960091063073401</v>
      </c>
      <c r="AK30" s="8">
        <v>0.21663909346819299</v>
      </c>
      <c r="AL30" s="8">
        <v>0.26879760585600299</v>
      </c>
      <c r="AM30" s="8" t="s">
        <v>59</v>
      </c>
      <c r="AN30" s="8">
        <v>5.7872386693813199E-2</v>
      </c>
      <c r="AO30" s="8">
        <v>0.33536707951621098</v>
      </c>
      <c r="AP30" s="8">
        <v>18.5981774500878</v>
      </c>
      <c r="AQ30" s="8">
        <v>0.28351100236958698</v>
      </c>
      <c r="AR30" s="8">
        <v>1.5962516039116099E-2</v>
      </c>
      <c r="AS30" s="9">
        <v>3099.77751455316</v>
      </c>
      <c r="AT30" s="8">
        <v>79.146882857047999</v>
      </c>
      <c r="AU30" s="8">
        <v>7.8863849145114504E-2</v>
      </c>
      <c r="AV30" s="10">
        <v>-11.897600000000001</v>
      </c>
      <c r="AW30" s="11">
        <v>0.13139999999999999</v>
      </c>
      <c r="AX30" s="13">
        <v>38.312950000000001</v>
      </c>
      <c r="AY30" s="13">
        <v>3.8630019999999999E-3</v>
      </c>
      <c r="AZ30" s="13">
        <v>15.73184</v>
      </c>
      <c r="BA30" s="13">
        <v>1.340482E-3</v>
      </c>
      <c r="BB30" s="13">
        <v>18.343540000000001</v>
      </c>
      <c r="BC30" s="13">
        <v>1.511297E-3</v>
      </c>
      <c r="BD30" s="11">
        <v>1.1087535841498211</v>
      </c>
      <c r="BE30" s="11">
        <v>165.77770618654341</v>
      </c>
      <c r="BF30" s="11">
        <v>123.60263450354701</v>
      </c>
      <c r="BG30" s="11">
        <v>144.6901703450452</v>
      </c>
    </row>
    <row r="31" spans="2:59" ht="15">
      <c r="B31" s="24" t="s">
        <v>86</v>
      </c>
      <c r="C31" s="17">
        <v>325063.68675091199</v>
      </c>
      <c r="D31" s="17">
        <v>8012.0012056957203</v>
      </c>
      <c r="E31" s="17">
        <v>496.17117657211298</v>
      </c>
      <c r="F31" s="8">
        <v>67.432373759989005</v>
      </c>
      <c r="G31" s="8">
        <v>1.68334569788677</v>
      </c>
      <c r="H31" s="8">
        <v>1.8915652748277301</v>
      </c>
      <c r="I31" s="17">
        <v>12672.6869208605</v>
      </c>
      <c r="J31" s="17">
        <v>237.941436243917</v>
      </c>
      <c r="K31" s="8">
        <v>15.3601652812978</v>
      </c>
      <c r="L31" s="8">
        <v>2.2150763880654698</v>
      </c>
      <c r="M31" s="8">
        <v>0.49651397370058498</v>
      </c>
      <c r="N31" s="8">
        <v>2.1990013351782101</v>
      </c>
      <c r="O31" s="17">
        <v>656741.97103192296</v>
      </c>
      <c r="P31" s="17">
        <v>8096.5026650658801</v>
      </c>
      <c r="Q31" s="8">
        <v>4.5963197923060699</v>
      </c>
      <c r="R31" s="9">
        <v>6.4396714873337499</v>
      </c>
      <c r="S31" s="9">
        <v>0.65147470611293501</v>
      </c>
      <c r="T31" s="9">
        <v>0.195902783288771</v>
      </c>
      <c r="U31" s="9">
        <v>607.20438226645797</v>
      </c>
      <c r="V31" s="9">
        <v>24.1698098407118</v>
      </c>
      <c r="W31" s="9">
        <v>1.03501933300409</v>
      </c>
      <c r="X31" s="9" t="s">
        <v>59</v>
      </c>
      <c r="Y31" s="9">
        <v>0.78652392279372896</v>
      </c>
      <c r="Z31" s="9">
        <v>4.2463794503016503</v>
      </c>
      <c r="AA31" s="9">
        <v>2.7363964276111399</v>
      </c>
      <c r="AB31" s="9">
        <v>0.22514283774089699</v>
      </c>
      <c r="AC31" s="9">
        <v>1.0064674140167901E-2</v>
      </c>
      <c r="AD31" s="9">
        <v>682.98065048790204</v>
      </c>
      <c r="AE31" s="8">
        <v>23.134375862596901</v>
      </c>
      <c r="AF31" s="8">
        <v>0.84210787916128904</v>
      </c>
      <c r="AG31" s="8">
        <v>312.03029299592799</v>
      </c>
      <c r="AH31" s="8">
        <v>9.9315705692022096</v>
      </c>
      <c r="AI31" s="8">
        <v>0.39468380978798201</v>
      </c>
      <c r="AJ31" s="8">
        <v>13.1771363032069</v>
      </c>
      <c r="AK31" s="8">
        <v>0.75393196526031903</v>
      </c>
      <c r="AL31" s="8">
        <v>0.31781566564833202</v>
      </c>
      <c r="AM31" s="8" t="s">
        <v>59</v>
      </c>
      <c r="AN31" s="8">
        <v>7.2834290574292096E-2</v>
      </c>
      <c r="AO31" s="8">
        <v>0.34242772532537302</v>
      </c>
      <c r="AP31" s="8">
        <v>22.774337122309401</v>
      </c>
      <c r="AQ31" s="8">
        <v>0.441456481113914</v>
      </c>
      <c r="AR31" s="8">
        <v>1.21094699345823E-2</v>
      </c>
      <c r="AS31" s="9">
        <v>860.15962676422703</v>
      </c>
      <c r="AT31" s="8">
        <v>25.397889465517999</v>
      </c>
      <c r="AU31" s="8">
        <v>6.1549797769720499E-2</v>
      </c>
      <c r="AV31" s="10">
        <v>-11.911</v>
      </c>
      <c r="AW31" s="11">
        <v>0.15429999999999999</v>
      </c>
      <c r="AX31" s="13">
        <v>38.315089999999998</v>
      </c>
      <c r="AY31" s="13">
        <v>6.3148609999999997E-3</v>
      </c>
      <c r="AZ31" s="13">
        <v>15.7317</v>
      </c>
      <c r="BA31" s="13">
        <v>2.4763070000000001E-3</v>
      </c>
      <c r="BB31" s="13">
        <v>18.34526</v>
      </c>
      <c r="BC31" s="13">
        <v>2.7528819999999999E-3</v>
      </c>
      <c r="BD31" s="11">
        <v>0.8656273360928729</v>
      </c>
      <c r="BE31" s="11">
        <v>177.22895247002569</v>
      </c>
      <c r="BF31" s="11">
        <v>139.91640574816824</v>
      </c>
      <c r="BG31" s="11">
        <v>158.57267910909695</v>
      </c>
    </row>
    <row r="32" spans="2:59" ht="15">
      <c r="B32" s="24" t="s">
        <v>87</v>
      </c>
      <c r="C32" s="17">
        <v>326475.33367830003</v>
      </c>
      <c r="D32" s="17">
        <v>8117.5495993796903</v>
      </c>
      <c r="E32" s="17">
        <v>486.23243971688203</v>
      </c>
      <c r="F32" s="8">
        <v>75.704446258930801</v>
      </c>
      <c r="G32" s="8">
        <v>1.83856619060626</v>
      </c>
      <c r="H32" s="8">
        <v>1.9643618704380399</v>
      </c>
      <c r="I32" s="17">
        <v>7018.7690236254602</v>
      </c>
      <c r="J32" s="17">
        <v>106.462494356207</v>
      </c>
      <c r="K32" s="8">
        <v>15.6755247187915</v>
      </c>
      <c r="L32" s="8" t="s">
        <v>59</v>
      </c>
      <c r="M32" s="8">
        <v>0.50261622521425298</v>
      </c>
      <c r="N32" s="8">
        <v>2.25280332257769</v>
      </c>
      <c r="O32" s="17">
        <v>659349.98715585703</v>
      </c>
      <c r="P32" s="17">
        <v>8139.9907773137902</v>
      </c>
      <c r="Q32" s="8">
        <v>4.6391277989805797</v>
      </c>
      <c r="R32" s="9">
        <v>4.4413509898642696</v>
      </c>
      <c r="S32" s="9">
        <v>0.38091144388362003</v>
      </c>
      <c r="T32" s="9">
        <v>0.11513826950268501</v>
      </c>
      <c r="U32" s="9">
        <v>856.34948838734203</v>
      </c>
      <c r="V32" s="9">
        <v>30.537650474631999</v>
      </c>
      <c r="W32" s="9">
        <v>0.87132892481139201</v>
      </c>
      <c r="X32" s="9" t="s">
        <v>59</v>
      </c>
      <c r="Y32" s="9">
        <v>0.78634215144667596</v>
      </c>
      <c r="Z32" s="9">
        <v>4.1023859380883403</v>
      </c>
      <c r="AA32" s="9">
        <v>2.05908283073911</v>
      </c>
      <c r="AB32" s="9">
        <v>0.17785476617982901</v>
      </c>
      <c r="AC32" s="9">
        <v>9.9266246604943903E-3</v>
      </c>
      <c r="AD32" s="9">
        <v>459.25138988053601</v>
      </c>
      <c r="AE32" s="8">
        <v>16.9604467428947</v>
      </c>
      <c r="AF32" s="8">
        <v>1.0488986495664501</v>
      </c>
      <c r="AG32" s="8">
        <v>211.46741258231299</v>
      </c>
      <c r="AH32" s="8">
        <v>7.4718447435418103</v>
      </c>
      <c r="AI32" s="8">
        <v>0.48180594189164699</v>
      </c>
      <c r="AJ32" s="8">
        <v>10.0139864655783</v>
      </c>
      <c r="AK32" s="8">
        <v>0.55139576632033405</v>
      </c>
      <c r="AL32" s="8">
        <v>0.30890047862741798</v>
      </c>
      <c r="AM32" s="8" t="s">
        <v>59</v>
      </c>
      <c r="AN32" s="8">
        <v>7.6073737033115499E-2</v>
      </c>
      <c r="AO32" s="8">
        <v>0.27598412253381699</v>
      </c>
      <c r="AP32" s="8">
        <v>32.877475887271899</v>
      </c>
      <c r="AQ32" s="8">
        <v>0.47896070574654098</v>
      </c>
      <c r="AR32" s="8">
        <v>1.7737689064996399E-3</v>
      </c>
      <c r="AS32" s="9">
        <v>1297.8506696531099</v>
      </c>
      <c r="AT32" s="8">
        <v>32.727788894348599</v>
      </c>
      <c r="AU32" s="8">
        <v>7.8145242503211004E-2</v>
      </c>
      <c r="AV32" s="15">
        <v>-7.5651000000000002</v>
      </c>
      <c r="AW32" s="11">
        <v>0.127</v>
      </c>
      <c r="AX32" s="13">
        <v>38.313130000000001</v>
      </c>
      <c r="AY32" s="13">
        <v>4.6676779999999998E-3</v>
      </c>
      <c r="AZ32" s="13">
        <v>15.730919999999999</v>
      </c>
      <c r="BA32" s="13">
        <v>1.7686240000000001E-3</v>
      </c>
      <c r="BB32" s="13">
        <v>18.34442</v>
      </c>
      <c r="BC32" s="13">
        <v>2.0091229999999998E-3</v>
      </c>
      <c r="BD32" s="11">
        <v>1.0849931563398709</v>
      </c>
      <c r="BE32" s="11">
        <v>166.89682233639206</v>
      </c>
      <c r="BF32" s="11">
        <v>125.19695920959467</v>
      </c>
      <c r="BG32" s="11">
        <v>146.04689077299338</v>
      </c>
    </row>
    <row r="33" spans="1:59" ht="15">
      <c r="B33" s="24" t="s">
        <v>88</v>
      </c>
      <c r="C33" s="17">
        <v>327575.01530357799</v>
      </c>
      <c r="D33" s="17">
        <v>8066.1960224492996</v>
      </c>
      <c r="E33" s="17">
        <v>497.05175161505599</v>
      </c>
      <c r="F33" s="8">
        <v>45.620843941636799</v>
      </c>
      <c r="G33" s="8">
        <v>1.1577492644828</v>
      </c>
      <c r="H33" s="8">
        <v>1.9507962344199601</v>
      </c>
      <c r="I33" s="17">
        <v>9263.1242233321991</v>
      </c>
      <c r="J33" s="17">
        <v>272.86109427451203</v>
      </c>
      <c r="K33" s="8">
        <v>15.327696633386701</v>
      </c>
      <c r="L33" s="8" t="s">
        <v>59</v>
      </c>
      <c r="M33" s="8">
        <v>0.50129543511423302</v>
      </c>
      <c r="N33" s="8">
        <v>2.4239926781783501</v>
      </c>
      <c r="O33" s="17">
        <v>658207.88526083401</v>
      </c>
      <c r="P33" s="17">
        <v>8124.44955084305</v>
      </c>
      <c r="Q33" s="8">
        <v>4.3475266463452504</v>
      </c>
      <c r="R33" s="9">
        <v>11.459065193535</v>
      </c>
      <c r="S33" s="9">
        <v>1.1196862742479601</v>
      </c>
      <c r="T33" s="9">
        <v>0.19277977574649799</v>
      </c>
      <c r="U33" s="9">
        <v>473.89885148688398</v>
      </c>
      <c r="V33" s="9">
        <v>14.135150702094</v>
      </c>
      <c r="W33" s="9">
        <v>0.872610826912944</v>
      </c>
      <c r="X33" s="9" t="s">
        <v>59</v>
      </c>
      <c r="Y33" s="9">
        <v>0.74828085733849303</v>
      </c>
      <c r="Z33" s="9">
        <v>4.2285659898437498</v>
      </c>
      <c r="AA33" s="9">
        <v>1.7293912120987001</v>
      </c>
      <c r="AB33" s="9">
        <v>0.17226227250821299</v>
      </c>
      <c r="AC33" s="9">
        <v>1.0381610839989E-2</v>
      </c>
      <c r="AD33" s="9">
        <v>418.67927390774599</v>
      </c>
      <c r="AE33" s="8">
        <v>18.206630047052801</v>
      </c>
      <c r="AF33" s="8">
        <v>0.86002496199727796</v>
      </c>
      <c r="AG33" s="8">
        <v>189.30930151702501</v>
      </c>
      <c r="AH33" s="8">
        <v>7.2680214555419296</v>
      </c>
      <c r="AI33" s="8">
        <v>0.39008580981517799</v>
      </c>
      <c r="AJ33" s="8">
        <v>2.2133677572741499</v>
      </c>
      <c r="AK33" s="8">
        <v>0.19039730122207901</v>
      </c>
      <c r="AL33" s="8">
        <v>0.268221573294666</v>
      </c>
      <c r="AM33" s="8" t="s">
        <v>59</v>
      </c>
      <c r="AN33" s="8">
        <v>5.4521622775159997E-2</v>
      </c>
      <c r="AO33" s="8">
        <v>0.31309159899396899</v>
      </c>
      <c r="AP33" s="8">
        <v>19.170154240416402</v>
      </c>
      <c r="AQ33" s="8">
        <v>0.277114262897454</v>
      </c>
      <c r="AR33" s="8">
        <v>1.6902674542404999E-2</v>
      </c>
      <c r="AS33" s="9">
        <v>690.73508985600301</v>
      </c>
      <c r="AT33" s="8">
        <v>15.4726257126325</v>
      </c>
      <c r="AU33" s="8">
        <v>7.6174000603667802E-2</v>
      </c>
      <c r="AV33" s="15">
        <v>-8.1036999999999999</v>
      </c>
      <c r="AW33" s="11">
        <v>0.1285</v>
      </c>
      <c r="AX33" s="13">
        <v>38.316420000000001</v>
      </c>
      <c r="AY33" s="13">
        <v>5.4079640000000003E-3</v>
      </c>
      <c r="AZ33" s="13">
        <v>15.732559999999999</v>
      </c>
      <c r="BA33" s="13">
        <v>2.1997330000000002E-3</v>
      </c>
      <c r="BB33" s="13">
        <v>18.347670000000001</v>
      </c>
      <c r="BC33" s="13">
        <v>2.6634929999999999E-3</v>
      </c>
      <c r="BD33" s="11">
        <v>1.0983790394577109</v>
      </c>
      <c r="BE33" s="11">
        <v>166.26634724154181</v>
      </c>
      <c r="BF33" s="11">
        <v>124.29876645238761</v>
      </c>
      <c r="BG33" s="11">
        <v>145.28255684696472</v>
      </c>
    </row>
    <row r="34" spans="1:59">
      <c r="B34" s="24" t="s">
        <v>63</v>
      </c>
      <c r="C34" s="8">
        <f t="shared" ref="C34:E34" si="2">AVERAGE(C10:C33)</f>
        <v>330178.83472313709</v>
      </c>
      <c r="D34" s="8">
        <f t="shared" si="2"/>
        <v>8443.5416438514749</v>
      </c>
      <c r="E34" s="8">
        <f t="shared" si="2"/>
        <v>450.11738353183244</v>
      </c>
      <c r="F34" s="8">
        <f t="shared" ref="F34:AW34" si="3">AVERAGE(F10:F33)</f>
        <v>103.40824538769623</v>
      </c>
      <c r="G34" s="8">
        <f t="shared" si="3"/>
        <v>3.4452425957960746</v>
      </c>
      <c r="H34" s="8">
        <f t="shared" si="3"/>
        <v>1.6809590994534964</v>
      </c>
      <c r="I34" s="17">
        <f t="shared" si="3"/>
        <v>12419.850042953853</v>
      </c>
      <c r="J34" s="17">
        <f t="shared" si="3"/>
        <v>801.1554759208849</v>
      </c>
      <c r="K34" s="8">
        <f t="shared" si="3"/>
        <v>13.86004428439518</v>
      </c>
      <c r="L34" s="8">
        <f t="shared" si="3"/>
        <v>2.4562456558840959</v>
      </c>
      <c r="M34" s="8">
        <f t="shared" si="3"/>
        <v>0.44490340782668431</v>
      </c>
      <c r="N34" s="8">
        <f t="shared" si="3"/>
        <v>1.8962036613837039</v>
      </c>
      <c r="O34" s="17">
        <f t="shared" si="3"/>
        <v>645862.29652458045</v>
      </c>
      <c r="P34" s="17">
        <f t="shared" si="3"/>
        <v>8906.7420815427413</v>
      </c>
      <c r="Q34" s="8">
        <f t="shared" si="3"/>
        <v>3.577229675422593</v>
      </c>
      <c r="R34" s="9">
        <f t="shared" si="3"/>
        <v>26.398012671350489</v>
      </c>
      <c r="S34" s="9">
        <f t="shared" si="3"/>
        <v>1.1501694901988182</v>
      </c>
      <c r="T34" s="9">
        <f t="shared" si="3"/>
        <v>0.15355867670700465</v>
      </c>
      <c r="U34" s="9">
        <f t="shared" si="3"/>
        <v>938.27196691834695</v>
      </c>
      <c r="V34" s="9">
        <f t="shared" si="3"/>
        <v>36.478838696704713</v>
      </c>
      <c r="W34" s="9">
        <f t="shared" si="3"/>
        <v>0.82238352325732711</v>
      </c>
      <c r="X34" s="9">
        <f t="shared" si="3"/>
        <v>4.5207478451755767</v>
      </c>
      <c r="Y34" s="9">
        <f t="shared" si="3"/>
        <v>0.77747660723526746</v>
      </c>
      <c r="Z34" s="9">
        <f t="shared" si="3"/>
        <v>3.9452888983314289</v>
      </c>
      <c r="AA34" s="9">
        <f t="shared" si="3"/>
        <v>2.4697527949246538</v>
      </c>
      <c r="AB34" s="9">
        <f t="shared" si="3"/>
        <v>0.18030418463560949</v>
      </c>
      <c r="AC34" s="9">
        <f t="shared" si="3"/>
        <v>4.8979036155202549E-2</v>
      </c>
      <c r="AD34" s="9">
        <f t="shared" si="3"/>
        <v>891.56325159123014</v>
      </c>
      <c r="AE34" s="8">
        <f t="shared" si="3"/>
        <v>33.757638589682841</v>
      </c>
      <c r="AF34" s="8">
        <f t="shared" si="3"/>
        <v>0.81105303696179509</v>
      </c>
      <c r="AG34" s="8">
        <f t="shared" si="3"/>
        <v>408.88982962933414</v>
      </c>
      <c r="AH34" s="8">
        <f t="shared" si="3"/>
        <v>13.754626101533988</v>
      </c>
      <c r="AI34" s="8">
        <f t="shared" si="3"/>
        <v>0.37292676239941386</v>
      </c>
      <c r="AJ34" s="8">
        <f t="shared" si="3"/>
        <v>10.226011358039903</v>
      </c>
      <c r="AK34" s="8">
        <f t="shared" si="3"/>
        <v>0.50406311314632635</v>
      </c>
      <c r="AL34" s="8">
        <f t="shared" si="3"/>
        <v>0.28438337884934944</v>
      </c>
      <c r="AM34" s="8">
        <f t="shared" si="3"/>
        <v>0.4417400364036963</v>
      </c>
      <c r="AN34" s="8">
        <f t="shared" si="3"/>
        <v>6.6753731104856204E-2</v>
      </c>
      <c r="AO34" s="8">
        <f t="shared" si="3"/>
        <v>0.30930448437314922</v>
      </c>
      <c r="AP34" s="8">
        <f t="shared" si="3"/>
        <v>42.338521038624876</v>
      </c>
      <c r="AQ34" s="8">
        <f t="shared" si="3"/>
        <v>0.76256933355450041</v>
      </c>
      <c r="AR34" s="8">
        <f t="shared" si="3"/>
        <v>1.2532809371706449E-2</v>
      </c>
      <c r="AS34" s="9">
        <f t="shared" si="3"/>
        <v>2195.8519197722239</v>
      </c>
      <c r="AT34" s="8">
        <f t="shared" si="3"/>
        <v>65.451194973061192</v>
      </c>
      <c r="AU34" s="8">
        <f t="shared" si="3"/>
        <v>6.1860110031997338E-2</v>
      </c>
      <c r="AV34" s="14">
        <f t="shared" si="3"/>
        <v>-6.7203166666666663</v>
      </c>
      <c r="AW34" s="14">
        <f t="shared" si="3"/>
        <v>0.12238750000000002</v>
      </c>
      <c r="AX34" s="13"/>
      <c r="AY34" s="13"/>
      <c r="AZ34" s="13"/>
      <c r="BA34" s="13"/>
      <c r="BB34" s="13"/>
      <c r="BC34" s="13"/>
      <c r="BD34" s="11">
        <v>1.1340720216754718</v>
      </c>
      <c r="BE34" s="11">
        <v>164.58520777908527</v>
      </c>
      <c r="BF34" s="11">
        <v>121.90376734557584</v>
      </c>
      <c r="BG34" s="11">
        <v>143.24448756233056</v>
      </c>
    </row>
    <row r="35" spans="1:59" ht="15">
      <c r="A35" t="s">
        <v>89</v>
      </c>
      <c r="B35" s="24" t="s">
        <v>90</v>
      </c>
      <c r="C35" s="17">
        <v>333072.308046358</v>
      </c>
      <c r="D35" s="17">
        <v>9066.9156404351706</v>
      </c>
      <c r="E35" s="17">
        <v>415.93329501197002</v>
      </c>
      <c r="F35" s="8">
        <v>71.915409052772404</v>
      </c>
      <c r="G35" s="8">
        <v>2.3248218415028501</v>
      </c>
      <c r="H35" s="8">
        <v>1.56524914606921</v>
      </c>
      <c r="I35" s="17">
        <v>6594.5702433735096</v>
      </c>
      <c r="J35" s="17">
        <v>459.53194377446999</v>
      </c>
      <c r="K35" s="8">
        <v>11.5315656000161</v>
      </c>
      <c r="L35" s="8">
        <v>1.6744162581625699</v>
      </c>
      <c r="M35" s="8">
        <v>0.44186268211454899</v>
      </c>
      <c r="N35" s="8">
        <v>1.65044194657242</v>
      </c>
      <c r="O35" s="17">
        <v>650699.94216779503</v>
      </c>
      <c r="P35" s="17">
        <v>9141.3253056509493</v>
      </c>
      <c r="Q35" s="8">
        <v>3.3463460280803901</v>
      </c>
      <c r="R35" s="9">
        <v>3.15947012064357</v>
      </c>
      <c r="S35" s="9">
        <v>0.25223642984507999</v>
      </c>
      <c r="T35" s="9">
        <v>0.12427232595602</v>
      </c>
      <c r="U35" s="9">
        <v>592.13518222306504</v>
      </c>
      <c r="V35" s="9">
        <v>27.979865297077499</v>
      </c>
      <c r="W35" s="9">
        <v>0.61755909923887797</v>
      </c>
      <c r="X35" s="9" t="s">
        <v>59</v>
      </c>
      <c r="Y35" s="9">
        <v>0.66098672875361097</v>
      </c>
      <c r="Z35" s="9">
        <v>3.7109328171098999</v>
      </c>
      <c r="AA35" s="9">
        <v>8.1736553713392196E-2</v>
      </c>
      <c r="AB35" s="9">
        <v>2.54717046034156E-2</v>
      </c>
      <c r="AC35" s="9">
        <v>6.4897595300796501E-2</v>
      </c>
      <c r="AD35" s="9">
        <v>1172.7447832682401</v>
      </c>
      <c r="AE35" s="8">
        <v>52.178657026832198</v>
      </c>
      <c r="AF35" s="8">
        <v>0.78040616870457602</v>
      </c>
      <c r="AG35" s="8">
        <v>543.399577674385</v>
      </c>
      <c r="AH35" s="8">
        <v>22.544872446842898</v>
      </c>
      <c r="AI35" s="8">
        <v>0.34145219868110799</v>
      </c>
      <c r="AJ35" s="8">
        <v>2.0458965896329402</v>
      </c>
      <c r="AK35" s="8">
        <v>0.159143449090168</v>
      </c>
      <c r="AL35" s="8">
        <v>0.29153221399541601</v>
      </c>
      <c r="AM35" s="8" t="s">
        <v>59</v>
      </c>
      <c r="AN35" s="8">
        <v>4.8069446936254097E-2</v>
      </c>
      <c r="AO35" s="8">
        <v>0.28179336639956298</v>
      </c>
      <c r="AP35" s="8">
        <v>17.286896771223802</v>
      </c>
      <c r="AQ35" s="8">
        <v>0.55774111922936298</v>
      </c>
      <c r="AR35" s="8">
        <v>1.15349838447035E-2</v>
      </c>
      <c r="AS35" s="9">
        <v>1675.3234142019301</v>
      </c>
      <c r="AT35" s="8">
        <v>56.528587154520203</v>
      </c>
      <c r="AU35" s="8">
        <v>3.63699781401952E-2</v>
      </c>
      <c r="AV35" s="15">
        <v>-7.1098999999999997</v>
      </c>
      <c r="AW35" s="7">
        <v>0.12529999999999999</v>
      </c>
      <c r="AX35" s="13">
        <v>38.295929999999998</v>
      </c>
      <c r="AY35" s="13">
        <v>3.3376479999999999E-3</v>
      </c>
      <c r="AZ35" s="13">
        <v>15.726319999999999</v>
      </c>
      <c r="BA35" s="13">
        <v>1.1989220000000001E-3</v>
      </c>
      <c r="BB35" s="13">
        <v>18.345839999999999</v>
      </c>
      <c r="BC35" s="13">
        <v>1.3815500000000001E-3</v>
      </c>
      <c r="BD35" s="11">
        <v>1.457137515670756</v>
      </c>
      <c r="BE35" s="11">
        <v>149.36882301190741</v>
      </c>
      <c r="BF35" s="11">
        <v>100.22607269849227</v>
      </c>
      <c r="BG35" s="11">
        <v>124.79744785519983</v>
      </c>
    </row>
    <row r="36" spans="1:59" ht="15">
      <c r="B36" s="24" t="s">
        <v>91</v>
      </c>
      <c r="C36" s="17">
        <v>331058.500335438</v>
      </c>
      <c r="D36" s="17">
        <v>12390.907597020599</v>
      </c>
      <c r="E36" s="17">
        <v>392.95750452736303</v>
      </c>
      <c r="F36" s="8">
        <v>91.8698774749747</v>
      </c>
      <c r="G36" s="8">
        <v>2.9549633164767899</v>
      </c>
      <c r="H36" s="8">
        <v>1.3985248324283699</v>
      </c>
      <c r="I36" s="17">
        <v>7345.1890719937601</v>
      </c>
      <c r="J36" s="17">
        <v>361.27325460028402</v>
      </c>
      <c r="K36" s="8">
        <v>12.3303065370747</v>
      </c>
      <c r="L36" s="8">
        <v>1.8406367106061401</v>
      </c>
      <c r="M36" s="8">
        <v>0.40444297722398997</v>
      </c>
      <c r="N36" s="8">
        <v>1.5288030229318199</v>
      </c>
      <c r="O36" s="17">
        <v>651475.37275559898</v>
      </c>
      <c r="P36" s="17">
        <v>12477.3910003566</v>
      </c>
      <c r="Q36" s="8">
        <v>3.2608039945517402</v>
      </c>
      <c r="R36" s="9">
        <v>6.7187688313298697</v>
      </c>
      <c r="S36" s="9">
        <v>0.42163370518043602</v>
      </c>
      <c r="T36" s="9">
        <v>0.15298121536002199</v>
      </c>
      <c r="U36" s="9">
        <v>565.99133694687498</v>
      </c>
      <c r="V36" s="9">
        <v>35.108851534487897</v>
      </c>
      <c r="W36" s="9">
        <v>0.70997531566379002</v>
      </c>
      <c r="X36" s="9" t="s">
        <v>59</v>
      </c>
      <c r="Y36" s="9">
        <v>0.67097712974796098</v>
      </c>
      <c r="Z36" s="9">
        <v>3.50721887301449</v>
      </c>
      <c r="AA36" s="9">
        <v>8.3523494875978599E-2</v>
      </c>
      <c r="AB36" s="9">
        <v>2.2365183272680101E-2</v>
      </c>
      <c r="AC36" s="9">
        <v>6.1416530491588503E-2</v>
      </c>
      <c r="AD36" s="9">
        <v>1924.06416951956</v>
      </c>
      <c r="AE36" s="8">
        <v>102.706444154849</v>
      </c>
      <c r="AF36" s="8">
        <v>0.694644396424556</v>
      </c>
      <c r="AG36" s="8">
        <v>890.93455476558302</v>
      </c>
      <c r="AH36" s="8">
        <v>41.864712241923797</v>
      </c>
      <c r="AI36" s="8">
        <v>0.38018669676818201</v>
      </c>
      <c r="AJ36" s="8">
        <v>3.4391676275030298</v>
      </c>
      <c r="AK36" s="8">
        <v>0.21098793814091299</v>
      </c>
      <c r="AL36" s="8">
        <v>0.25152895961028598</v>
      </c>
      <c r="AM36" s="8" t="s">
        <v>59</v>
      </c>
      <c r="AN36" s="8">
        <v>4.96650423850305E-2</v>
      </c>
      <c r="AO36" s="8">
        <v>0.26480218949520101</v>
      </c>
      <c r="AP36" s="8">
        <v>18.155422721351801</v>
      </c>
      <c r="AQ36" s="8">
        <v>0.46951954189777101</v>
      </c>
      <c r="AR36" s="8">
        <v>1.6566272356034702E-2</v>
      </c>
      <c r="AS36" s="9">
        <v>1680.8161874833499</v>
      </c>
      <c r="AT36" s="8">
        <v>75.380967026948497</v>
      </c>
      <c r="AU36" s="8">
        <v>3.9458224138415397E-2</v>
      </c>
      <c r="AV36" s="15">
        <v>-6.4946000000000002</v>
      </c>
      <c r="AW36" s="7">
        <v>0.1321</v>
      </c>
      <c r="AX36" s="13">
        <v>38.305709999999998</v>
      </c>
      <c r="AY36" s="13">
        <v>4.2519580000000001E-3</v>
      </c>
      <c r="AZ36" s="13">
        <v>15.729329999999999</v>
      </c>
      <c r="BA36" s="13">
        <v>1.637484E-3</v>
      </c>
      <c r="BB36" s="13">
        <v>18.348199999999999</v>
      </c>
      <c r="BC36" s="13">
        <v>1.888364E-3</v>
      </c>
      <c r="BD36" s="11">
        <v>1.487151192277735</v>
      </c>
      <c r="BE36" s="11">
        <v>147.95517884371867</v>
      </c>
      <c r="BF36" s="11">
        <v>98.212154998163996</v>
      </c>
      <c r="BG36" s="11">
        <v>123.08366692094134</v>
      </c>
    </row>
    <row r="37" spans="1:59" ht="15">
      <c r="B37" s="24" t="s">
        <v>92</v>
      </c>
      <c r="C37" s="17">
        <v>330553.44340996799</v>
      </c>
      <c r="D37" s="17">
        <v>9630.6172300849994</v>
      </c>
      <c r="E37" s="17">
        <v>419.74578442022198</v>
      </c>
      <c r="F37" s="8">
        <v>82.919363656531203</v>
      </c>
      <c r="G37" s="8">
        <v>2.2803717054072399</v>
      </c>
      <c r="H37" s="8">
        <v>1.4576773819142701</v>
      </c>
      <c r="I37" s="17">
        <v>11232.4769595496</v>
      </c>
      <c r="J37" s="17">
        <v>307.56271095728403</v>
      </c>
      <c r="K37" s="8">
        <v>10.7491761049811</v>
      </c>
      <c r="L37" s="8">
        <v>2.5230748104392502</v>
      </c>
      <c r="M37" s="8">
        <v>0.50270240890537798</v>
      </c>
      <c r="N37" s="8">
        <v>1.7987457161110501</v>
      </c>
      <c r="O37" s="17">
        <v>639954.55621370801</v>
      </c>
      <c r="P37" s="17">
        <v>9601.7955793427009</v>
      </c>
      <c r="Q37" s="8">
        <v>3.4451319913562299</v>
      </c>
      <c r="R37" s="9">
        <v>6.8590410228609304</v>
      </c>
      <c r="S37" s="9">
        <v>0.43554527437393298</v>
      </c>
      <c r="T37" s="9">
        <v>0.117868663123454</v>
      </c>
      <c r="U37" s="9">
        <v>534.96810933604002</v>
      </c>
      <c r="V37" s="9">
        <v>24.202900925980099</v>
      </c>
      <c r="W37" s="9">
        <v>0.75298742269372898</v>
      </c>
      <c r="X37" s="9" t="s">
        <v>59</v>
      </c>
      <c r="Y37" s="9">
        <v>0.64188818117207902</v>
      </c>
      <c r="Z37" s="9">
        <v>3.6138971422453801</v>
      </c>
      <c r="AA37" s="9">
        <v>5.4783177805983199E-2</v>
      </c>
      <c r="AB37" s="9">
        <v>2.1616968175717202E-2</v>
      </c>
      <c r="AC37" s="9">
        <v>7.2276387767719504E-3</v>
      </c>
      <c r="AD37" s="9">
        <v>1950.0635288138801</v>
      </c>
      <c r="AE37" s="8">
        <v>91.192863200608301</v>
      </c>
      <c r="AF37" s="8">
        <v>0.84541474225594504</v>
      </c>
      <c r="AG37" s="8">
        <v>909.07400896580202</v>
      </c>
      <c r="AH37" s="8">
        <v>36.669072762242898</v>
      </c>
      <c r="AI37" s="8">
        <v>0.414583090227641</v>
      </c>
      <c r="AJ37" s="8">
        <v>1.2335852076124301</v>
      </c>
      <c r="AK37" s="8">
        <v>0.15245261184541301</v>
      </c>
      <c r="AL37" s="8">
        <v>0.28490085192171299</v>
      </c>
      <c r="AM37" s="8" t="s">
        <v>59</v>
      </c>
      <c r="AN37" s="8">
        <v>5.1902718622662297E-2</v>
      </c>
      <c r="AO37" s="8">
        <v>0.29203975506143998</v>
      </c>
      <c r="AP37" s="8">
        <v>17.104710497055599</v>
      </c>
      <c r="AQ37" s="8">
        <v>0.49021217976682002</v>
      </c>
      <c r="AR37" s="8">
        <v>1.6022904606241801E-2</v>
      </c>
      <c r="AS37" s="9">
        <v>4345.6661925031704</v>
      </c>
      <c r="AT37" s="8">
        <v>309.01362462886999</v>
      </c>
      <c r="AU37" s="8">
        <v>6.1319003550416501E-2</v>
      </c>
      <c r="AV37" s="15">
        <v>-8.4009</v>
      </c>
      <c r="AW37" s="7">
        <v>0.15</v>
      </c>
      <c r="AX37" s="13">
        <v>38.304380000000002</v>
      </c>
      <c r="AY37" s="13">
        <v>3.3892990000000001E-3</v>
      </c>
      <c r="AZ37" s="13">
        <v>15.72945</v>
      </c>
      <c r="BA37" s="13">
        <v>1.2340470000000001E-3</v>
      </c>
      <c r="BB37" s="13">
        <v>18.347860000000001</v>
      </c>
      <c r="BC37" s="13">
        <v>1.522523E-3</v>
      </c>
      <c r="BD37" s="11">
        <v>1.3228119524319559</v>
      </c>
      <c r="BE37" s="11">
        <v>155.69555704045487</v>
      </c>
      <c r="BF37" s="11">
        <v>109.23931799181577</v>
      </c>
      <c r="BG37" s="11">
        <v>132.46743751613531</v>
      </c>
    </row>
    <row r="38" spans="1:59" ht="15">
      <c r="B38" s="24" t="s">
        <v>93</v>
      </c>
      <c r="C38" s="17">
        <v>331620.68926063902</v>
      </c>
      <c r="D38" s="17">
        <v>10334.2957226297</v>
      </c>
      <c r="E38" s="17">
        <v>415.48853343918302</v>
      </c>
      <c r="F38" s="8">
        <v>90.3012057664141</v>
      </c>
      <c r="G38" s="8">
        <v>2.4410846725172499</v>
      </c>
      <c r="H38" s="8">
        <v>1.5152204833598799</v>
      </c>
      <c r="I38" s="17">
        <v>14069.227930356299</v>
      </c>
      <c r="J38" s="17">
        <v>355.09235538630298</v>
      </c>
      <c r="K38" s="8">
        <v>13.217740957724899</v>
      </c>
      <c r="L38" s="8" t="s">
        <v>59</v>
      </c>
      <c r="M38" s="8">
        <v>0.37018680509108098</v>
      </c>
      <c r="N38" s="8">
        <v>1.78187727500702</v>
      </c>
      <c r="O38" s="17">
        <v>642706.36888743495</v>
      </c>
      <c r="P38" s="17">
        <v>10373.348409496601</v>
      </c>
      <c r="Q38" s="8">
        <v>3.3810888380357702</v>
      </c>
      <c r="R38" s="9">
        <v>6.3570884817340696</v>
      </c>
      <c r="S38" s="9">
        <v>0.39899471812759302</v>
      </c>
      <c r="T38" s="9">
        <v>0.158100221388115</v>
      </c>
      <c r="U38" s="9">
        <v>877.28801994850801</v>
      </c>
      <c r="V38" s="9">
        <v>41.058501466403001</v>
      </c>
      <c r="W38" s="9">
        <v>0.67399923382982396</v>
      </c>
      <c r="X38" s="9" t="s">
        <v>59</v>
      </c>
      <c r="Y38" s="9">
        <v>0.65369466639672502</v>
      </c>
      <c r="Z38" s="9">
        <v>3.6070511059527601</v>
      </c>
      <c r="AA38" s="9">
        <v>0.10503331670331199</v>
      </c>
      <c r="AB38" s="9">
        <v>2.7319061301622899E-2</v>
      </c>
      <c r="AC38" s="9">
        <v>7.2480524926861901E-3</v>
      </c>
      <c r="AD38" s="9">
        <v>554.13024490055602</v>
      </c>
      <c r="AE38" s="8">
        <v>26.532237099549199</v>
      </c>
      <c r="AF38" s="8">
        <v>0.88237771351243699</v>
      </c>
      <c r="AG38" s="8">
        <v>256.26603731959699</v>
      </c>
      <c r="AH38" s="8">
        <v>11.0079676873452</v>
      </c>
      <c r="AI38" s="8">
        <v>0.34434649111555499</v>
      </c>
      <c r="AJ38" s="8">
        <v>3.2120598230584299</v>
      </c>
      <c r="AK38" s="8">
        <v>0.215608668502834</v>
      </c>
      <c r="AL38" s="8">
        <v>0.30010673790144199</v>
      </c>
      <c r="AM38" s="8" t="s">
        <v>59</v>
      </c>
      <c r="AN38" s="8">
        <v>5.8782030932641102E-2</v>
      </c>
      <c r="AO38" s="8">
        <v>0.28068232173391899</v>
      </c>
      <c r="AP38" s="8">
        <v>23.922945447662599</v>
      </c>
      <c r="AQ38" s="8">
        <v>0.41377483802848603</v>
      </c>
      <c r="AR38" s="8">
        <v>8.6794791526755097E-3</v>
      </c>
      <c r="AS38" s="9">
        <v>2681.8233752731999</v>
      </c>
      <c r="AT38" s="8">
        <v>137.05294506425</v>
      </c>
      <c r="AU38" s="8">
        <v>5.9168117060313899E-2</v>
      </c>
      <c r="AV38" s="15">
        <v>-6.7049000000000003</v>
      </c>
      <c r="AW38" s="7">
        <v>0.1396</v>
      </c>
      <c r="AX38" s="13">
        <v>38.311860000000003</v>
      </c>
      <c r="AY38" s="13">
        <v>3.1236850000000002E-3</v>
      </c>
      <c r="AZ38" s="13">
        <v>15.73133</v>
      </c>
      <c r="BA38" s="13">
        <v>1.1539969999999999E-3</v>
      </c>
      <c r="BB38" s="13">
        <v>18.34986</v>
      </c>
      <c r="BC38" s="13">
        <v>1.5292249999999999E-3</v>
      </c>
      <c r="BD38" s="11">
        <v>1.2890636703275689</v>
      </c>
      <c r="BE38" s="11">
        <v>157.28510112757152</v>
      </c>
      <c r="BF38" s="11">
        <v>111.50382772102013</v>
      </c>
      <c r="BG38" s="11">
        <v>134.39446442429582</v>
      </c>
    </row>
    <row r="39" spans="1:59" ht="15">
      <c r="B39" s="24" t="s">
        <v>94</v>
      </c>
      <c r="C39" s="17">
        <v>328596.53122963803</v>
      </c>
      <c r="D39" s="17">
        <v>13230.781510474801</v>
      </c>
      <c r="E39" s="17">
        <v>407.43705505180202</v>
      </c>
      <c r="F39" s="8">
        <v>76.349224503515501</v>
      </c>
      <c r="G39" s="8">
        <v>2.6036007250401698</v>
      </c>
      <c r="H39" s="8">
        <v>1.52221294307334</v>
      </c>
      <c r="I39" s="17">
        <v>14164.011168328299</v>
      </c>
      <c r="J39" s="17">
        <v>305.73310714384002</v>
      </c>
      <c r="K39" s="8">
        <v>12.251882767021099</v>
      </c>
      <c r="L39" s="8" t="s">
        <v>59</v>
      </c>
      <c r="M39" s="8">
        <v>0.37033229604630302</v>
      </c>
      <c r="N39" s="8">
        <v>1.71908332829882</v>
      </c>
      <c r="O39" s="17">
        <v>647753.82402580499</v>
      </c>
      <c r="P39" s="17">
        <v>13350.975426818</v>
      </c>
      <c r="Q39" s="8">
        <v>3.0568584370443501</v>
      </c>
      <c r="R39" s="9">
        <v>19.277292770905401</v>
      </c>
      <c r="S39" s="9">
        <v>1.0739009915429401</v>
      </c>
      <c r="T39" s="9">
        <v>0.188490317425038</v>
      </c>
      <c r="U39" s="9">
        <v>802.36475102783697</v>
      </c>
      <c r="V39" s="9">
        <v>42.596567412364998</v>
      </c>
      <c r="W39" s="9">
        <v>0.74830274922426998</v>
      </c>
      <c r="X39" s="9" t="s">
        <v>59</v>
      </c>
      <c r="Y39" s="9">
        <v>0.75904223894746503</v>
      </c>
      <c r="Z39" s="9">
        <v>3.4719201001509701</v>
      </c>
      <c r="AA39" s="9">
        <v>0.148111673719691</v>
      </c>
      <c r="AB39" s="9">
        <v>3.20613296188633E-2</v>
      </c>
      <c r="AC39" s="9">
        <v>4.8625362805193098E-2</v>
      </c>
      <c r="AD39" s="9">
        <v>462.23977013095498</v>
      </c>
      <c r="AE39" s="8">
        <v>25.426989968209298</v>
      </c>
      <c r="AF39" s="8">
        <v>0.818578562539924</v>
      </c>
      <c r="AG39" s="8">
        <v>214.28858531131101</v>
      </c>
      <c r="AH39" s="8">
        <v>10.420789238016001</v>
      </c>
      <c r="AI39" s="8">
        <v>0.36085460101252997</v>
      </c>
      <c r="AJ39" s="8">
        <v>8.2313213980739004</v>
      </c>
      <c r="AK39" s="8">
        <v>0.44222619351512499</v>
      </c>
      <c r="AL39" s="8">
        <v>0.24000618044522601</v>
      </c>
      <c r="AM39" s="8" t="s">
        <v>59</v>
      </c>
      <c r="AN39" s="8">
        <v>5.1419419233981897E-2</v>
      </c>
      <c r="AO39" s="8">
        <v>0.24311742596046401</v>
      </c>
      <c r="AP39" s="8">
        <v>25.253184006357699</v>
      </c>
      <c r="AQ39" s="8">
        <v>0.45931498647314001</v>
      </c>
      <c r="AR39" s="8">
        <v>8.6472670020423508E-3</v>
      </c>
      <c r="AS39" s="9">
        <v>1687.50717124377</v>
      </c>
      <c r="AT39" s="8">
        <v>72.145042695015505</v>
      </c>
      <c r="AU39" s="8">
        <v>5.39899660445195E-2</v>
      </c>
      <c r="AV39" s="15">
        <v>-6.9165999999999999</v>
      </c>
      <c r="AW39" s="7">
        <v>0.1226</v>
      </c>
      <c r="AX39" s="13">
        <v>38.302619999999997</v>
      </c>
      <c r="AY39" s="13">
        <v>3.4477639999999999E-3</v>
      </c>
      <c r="AZ39" s="13">
        <v>15.72874</v>
      </c>
      <c r="BA39" s="13">
        <v>1.3094770000000001E-3</v>
      </c>
      <c r="BB39" s="13">
        <v>18.346910000000001</v>
      </c>
      <c r="BC39" s="13">
        <v>1.6948849999999999E-3</v>
      </c>
      <c r="BD39" s="11">
        <v>1.4720677474702555</v>
      </c>
      <c r="BE39" s="11">
        <v>148.66560909415097</v>
      </c>
      <c r="BF39" s="11">
        <v>99.224254144745871</v>
      </c>
      <c r="BG39" s="11">
        <v>123.94493161944843</v>
      </c>
    </row>
    <row r="40" spans="1:59" ht="15">
      <c r="B40" s="24" t="s">
        <v>95</v>
      </c>
      <c r="C40" s="17">
        <v>331803.86774259701</v>
      </c>
      <c r="D40" s="17">
        <v>11529.814522193599</v>
      </c>
      <c r="E40" s="17">
        <v>415.46039747349101</v>
      </c>
      <c r="F40" s="8">
        <v>90.973825876131997</v>
      </c>
      <c r="G40" s="8">
        <v>3.1479901860252002</v>
      </c>
      <c r="H40" s="8">
        <v>1.5486116823553</v>
      </c>
      <c r="I40" s="17">
        <v>10159.7672478848</v>
      </c>
      <c r="J40" s="17">
        <v>247.09498946804399</v>
      </c>
      <c r="K40" s="8">
        <v>13.000420887748501</v>
      </c>
      <c r="L40" s="8">
        <v>5.3127075032272097</v>
      </c>
      <c r="M40" s="8">
        <v>0.62407816029341301</v>
      </c>
      <c r="N40" s="8">
        <v>1.5945828948643499</v>
      </c>
      <c r="O40" s="17">
        <v>648852.31040294899</v>
      </c>
      <c r="P40" s="17">
        <v>11604.1796115704</v>
      </c>
      <c r="Q40" s="8">
        <v>3.3232502968711799</v>
      </c>
      <c r="R40" s="9">
        <v>12.876111267147699</v>
      </c>
      <c r="S40" s="9">
        <v>1.1168209347686999</v>
      </c>
      <c r="T40" s="9">
        <v>0.10336227357679401</v>
      </c>
      <c r="U40" s="9">
        <v>895.80949263993796</v>
      </c>
      <c r="V40" s="9">
        <v>60.037683950281497</v>
      </c>
      <c r="W40" s="9">
        <v>0.71635600463028204</v>
      </c>
      <c r="X40" s="9" t="s">
        <v>59</v>
      </c>
      <c r="Y40" s="9">
        <v>0.64823399437693097</v>
      </c>
      <c r="Z40" s="9">
        <v>3.5552998927085802</v>
      </c>
      <c r="AA40" s="9">
        <v>8.7182641135028799E-2</v>
      </c>
      <c r="AB40" s="9">
        <v>2.3325695833199701E-2</v>
      </c>
      <c r="AC40" s="9">
        <v>5.0809728027944999E-2</v>
      </c>
      <c r="AD40" s="9">
        <v>798.73419593020901</v>
      </c>
      <c r="AE40" s="8">
        <v>45.813069147041503</v>
      </c>
      <c r="AF40" s="8">
        <v>0.92973400106136905</v>
      </c>
      <c r="AG40" s="8">
        <v>374.08254405922997</v>
      </c>
      <c r="AH40" s="8">
        <v>20.343764321221698</v>
      </c>
      <c r="AI40" s="8">
        <v>0.29745487585092401</v>
      </c>
      <c r="AJ40" s="8">
        <v>4.3994474672577102</v>
      </c>
      <c r="AK40" s="8">
        <v>0.47471065484096903</v>
      </c>
      <c r="AL40" s="8">
        <v>0.257654628448588</v>
      </c>
      <c r="AM40" s="8" t="s">
        <v>59</v>
      </c>
      <c r="AN40" s="8">
        <v>5.19281795168147E-2</v>
      </c>
      <c r="AO40" s="8">
        <v>0.27085354441820197</v>
      </c>
      <c r="AP40" s="8">
        <v>24.840646156829902</v>
      </c>
      <c r="AQ40" s="8">
        <v>0.95986401021724799</v>
      </c>
      <c r="AR40" s="8">
        <v>1.4679781873823799E-2</v>
      </c>
      <c r="AS40" s="9">
        <v>2370.43986979592</v>
      </c>
      <c r="AT40" s="8">
        <v>117.185409982948</v>
      </c>
      <c r="AU40" s="8">
        <v>5.0729372864164402E-2</v>
      </c>
      <c r="AV40" s="15">
        <v>-8.0657999999999994</v>
      </c>
      <c r="AW40" s="7">
        <v>0.11940000000000001</v>
      </c>
      <c r="AX40" s="13">
        <v>38.311579999999999</v>
      </c>
      <c r="AY40" s="13">
        <v>3.0681910000000001E-3</v>
      </c>
      <c r="AZ40" s="13">
        <v>15.73157</v>
      </c>
      <c r="BA40" s="13">
        <v>1.1146629999999999E-3</v>
      </c>
      <c r="BB40" s="13">
        <v>18.347180000000002</v>
      </c>
      <c r="BC40" s="13">
        <v>1.2193900000000001E-3</v>
      </c>
      <c r="BD40" s="11">
        <v>1.3765175988412779</v>
      </c>
      <c r="BE40" s="11">
        <v>153.1660210945758</v>
      </c>
      <c r="BF40" s="11">
        <v>105.63566911775027</v>
      </c>
      <c r="BG40" s="11">
        <v>129.40084510616305</v>
      </c>
    </row>
    <row r="41" spans="1:59" s="18" customFormat="1" ht="15">
      <c r="B41" s="19" t="s">
        <v>96</v>
      </c>
      <c r="C41" s="20">
        <v>333448.93918834801</v>
      </c>
      <c r="D41" s="20">
        <v>9695.9634451888996</v>
      </c>
      <c r="E41" s="20">
        <v>421.47734245270499</v>
      </c>
      <c r="F41" s="9">
        <v>122.235093839325</v>
      </c>
      <c r="G41" s="9">
        <v>3.01058893874617</v>
      </c>
      <c r="H41" s="9">
        <v>1.57931792213327</v>
      </c>
      <c r="I41" s="20">
        <v>13007.867091787501</v>
      </c>
      <c r="J41" s="20">
        <v>265.14115607631999</v>
      </c>
      <c r="K41" s="9">
        <v>14.042902511788</v>
      </c>
      <c r="L41" s="9">
        <v>1.90649777103301</v>
      </c>
      <c r="M41" s="9">
        <v>0.42617603342173999</v>
      </c>
      <c r="N41" s="9">
        <v>1.7942255846163699</v>
      </c>
      <c r="O41" s="20">
        <v>634630.56010636606</v>
      </c>
      <c r="P41" s="20">
        <v>9523.1106876981503</v>
      </c>
      <c r="Q41" s="9">
        <v>3.4183379601872002</v>
      </c>
      <c r="R41" s="9">
        <v>8.0291626993900902</v>
      </c>
      <c r="S41" s="9">
        <v>0.42295059444521699</v>
      </c>
      <c r="T41" s="9">
        <v>0.16941211767912601</v>
      </c>
      <c r="U41" s="9">
        <v>864.35575281645401</v>
      </c>
      <c r="V41" s="9">
        <v>47.112795287454396</v>
      </c>
      <c r="W41" s="9">
        <v>0.73580745588531404</v>
      </c>
      <c r="X41" s="9" t="s">
        <v>59</v>
      </c>
      <c r="Y41" s="9">
        <v>0.78413929975637697</v>
      </c>
      <c r="Z41" s="9">
        <v>3.4630220281242199</v>
      </c>
      <c r="AA41" s="9">
        <v>9.81830790145026E-2</v>
      </c>
      <c r="AB41" s="9">
        <v>2.7369534579961899E-2</v>
      </c>
      <c r="AC41" s="9">
        <v>5.1428964460588297E-2</v>
      </c>
      <c r="AD41" s="9">
        <v>927.18621971901905</v>
      </c>
      <c r="AE41" s="9">
        <v>48.443631634523001</v>
      </c>
      <c r="AF41" s="9">
        <v>0.77688587317903302</v>
      </c>
      <c r="AG41" s="9">
        <v>436.44159436531902</v>
      </c>
      <c r="AH41" s="9">
        <v>18.942070495221898</v>
      </c>
      <c r="AI41" s="9">
        <v>0.39193640921010098</v>
      </c>
      <c r="AJ41" s="9">
        <v>2.8384489227408198</v>
      </c>
      <c r="AK41" s="9">
        <v>0.18021711640226701</v>
      </c>
      <c r="AL41" s="9">
        <v>0.26616513035782502</v>
      </c>
      <c r="AM41" s="9" t="s">
        <v>59</v>
      </c>
      <c r="AN41" s="9">
        <v>5.6610718349260403E-2</v>
      </c>
      <c r="AO41" s="9">
        <v>0.28651971447246899</v>
      </c>
      <c r="AP41" s="9">
        <v>27.150898379929298</v>
      </c>
      <c r="AQ41" s="9">
        <v>0.53389440054293102</v>
      </c>
      <c r="AR41" s="9">
        <v>1.87907571801967E-2</v>
      </c>
      <c r="AS41" s="9">
        <v>5039.8137569025703</v>
      </c>
      <c r="AT41" s="9">
        <v>313.34959413617401</v>
      </c>
      <c r="AU41" s="9">
        <v>5.71684218929287E-2</v>
      </c>
      <c r="AV41" s="21">
        <v>-8.9353999999999996</v>
      </c>
      <c r="AW41" s="22">
        <v>0.16980000000000001</v>
      </c>
      <c r="AX41" s="22"/>
      <c r="AY41" s="22"/>
      <c r="AZ41" s="22"/>
      <c r="BA41" s="22"/>
      <c r="BB41" s="22"/>
      <c r="BC41" s="22"/>
      <c r="BD41" s="23" t="e">
        <v>#VALUE!</v>
      </c>
      <c r="BE41" s="23" t="e">
        <v>#VALUE!</v>
      </c>
      <c r="BF41" s="23" t="e">
        <v>#VALUE!</v>
      </c>
      <c r="BG41" s="23" t="e">
        <v>#VALUE!</v>
      </c>
    </row>
    <row r="42" spans="1:59" ht="15">
      <c r="B42" s="24" t="s">
        <v>97</v>
      </c>
      <c r="C42" s="17">
        <v>328620.01061198802</v>
      </c>
      <c r="D42" s="17">
        <v>8779.6023358009697</v>
      </c>
      <c r="E42" s="17">
        <v>423.74627031676198</v>
      </c>
      <c r="F42" s="8">
        <v>70.231347823869996</v>
      </c>
      <c r="G42" s="8">
        <v>1.81426874372231</v>
      </c>
      <c r="H42" s="8">
        <v>1.62689236137157</v>
      </c>
      <c r="I42" s="17">
        <v>13059.113651903301</v>
      </c>
      <c r="J42" s="17">
        <v>426.70825528196798</v>
      </c>
      <c r="K42" s="8">
        <v>12.2434558909928</v>
      </c>
      <c r="L42" s="8">
        <v>1.9455117098499599</v>
      </c>
      <c r="M42" s="8">
        <v>0.40039730337447599</v>
      </c>
      <c r="N42" s="8">
        <v>1.6572858790687499</v>
      </c>
      <c r="O42" s="17">
        <v>651245.84141788201</v>
      </c>
      <c r="P42" s="17">
        <v>8854.6400300060395</v>
      </c>
      <c r="Q42" s="8">
        <v>3.4239669337761098</v>
      </c>
      <c r="R42" s="9">
        <v>12.5369145574552</v>
      </c>
      <c r="S42" s="9">
        <v>0.93466177052739796</v>
      </c>
      <c r="T42" s="9">
        <v>0.13837310692518101</v>
      </c>
      <c r="U42" s="9">
        <v>743.93583311191196</v>
      </c>
      <c r="V42" s="9">
        <v>33.730280387876199</v>
      </c>
      <c r="W42" s="9">
        <v>0.67670209136369497</v>
      </c>
      <c r="X42" s="9" t="s">
        <v>59</v>
      </c>
      <c r="Y42" s="9">
        <v>0.79532016754023305</v>
      </c>
      <c r="Z42" s="9">
        <v>3.5922148206693101</v>
      </c>
      <c r="AA42" s="9">
        <v>8.4085616089761395E-2</v>
      </c>
      <c r="AB42" s="9">
        <v>2.6980289699640898E-2</v>
      </c>
      <c r="AC42" s="9">
        <v>5.1936959635609799E-2</v>
      </c>
      <c r="AD42" s="9">
        <v>455.802342020514</v>
      </c>
      <c r="AE42" s="8">
        <v>14.718719985566899</v>
      </c>
      <c r="AF42" s="8">
        <v>0.90366158460007295</v>
      </c>
      <c r="AG42" s="8">
        <v>214.21428998422999</v>
      </c>
      <c r="AH42" s="8">
        <v>6.4418840308120799</v>
      </c>
      <c r="AI42" s="8">
        <v>0.385482406543111</v>
      </c>
      <c r="AJ42" s="8">
        <v>6.2048259815236904</v>
      </c>
      <c r="AK42" s="8">
        <v>0.450012904092153</v>
      </c>
      <c r="AL42" s="8">
        <v>0.28563741203867399</v>
      </c>
      <c r="AM42" s="8" t="s">
        <v>59</v>
      </c>
      <c r="AN42" s="8">
        <v>5.80819605587964E-2</v>
      </c>
      <c r="AO42" s="8">
        <v>0.28294883093375001</v>
      </c>
      <c r="AP42" s="8">
        <v>21.2782112011216</v>
      </c>
      <c r="AQ42" s="8">
        <v>0.51246144011056005</v>
      </c>
      <c r="AR42" s="8">
        <v>9.2466325016724096E-3</v>
      </c>
      <c r="AS42" s="9">
        <v>1379.4097095736799</v>
      </c>
      <c r="AT42" s="8">
        <v>42.206194249402699</v>
      </c>
      <c r="AU42" s="8">
        <v>5.7742302910141798E-2</v>
      </c>
      <c r="AV42" s="15">
        <v>-6.5358000000000001</v>
      </c>
      <c r="AW42" s="7">
        <v>0.15190000000000001</v>
      </c>
      <c r="AX42" s="13">
        <v>38.293900000000001</v>
      </c>
      <c r="AY42" s="13">
        <v>4.3557279999999997E-3</v>
      </c>
      <c r="AZ42" s="13">
        <v>15.72606</v>
      </c>
      <c r="BA42" s="13">
        <v>1.6575800000000001E-3</v>
      </c>
      <c r="BB42" s="13">
        <v>18.347249999999999</v>
      </c>
      <c r="BC42" s="13">
        <v>1.8130150000000001E-3</v>
      </c>
      <c r="BD42" s="11">
        <v>1.4158276765590485</v>
      </c>
      <c r="BE42" s="11">
        <v>151.31451643406882</v>
      </c>
      <c r="BF42" s="11">
        <v>102.99796290288785</v>
      </c>
      <c r="BG42" s="11">
        <v>127.15623966847834</v>
      </c>
    </row>
    <row r="43" spans="1:59" ht="15">
      <c r="B43" s="24" t="s">
        <v>98</v>
      </c>
      <c r="C43" s="17">
        <v>334469.49848894699</v>
      </c>
      <c r="D43" s="17">
        <v>10242.2497880178</v>
      </c>
      <c r="E43" s="17">
        <v>416.29898468286098</v>
      </c>
      <c r="F43" s="8">
        <v>74.256281213077003</v>
      </c>
      <c r="G43" s="8">
        <v>2.6252257859870798</v>
      </c>
      <c r="H43" s="8">
        <v>1.50999083432352</v>
      </c>
      <c r="I43" s="17">
        <v>7215.8605192206296</v>
      </c>
      <c r="J43" s="17">
        <v>235.84378285793201</v>
      </c>
      <c r="K43" s="8">
        <v>11.303142671570299</v>
      </c>
      <c r="L43" s="8" t="s">
        <v>59</v>
      </c>
      <c r="M43" s="8">
        <v>0.38882158617513002</v>
      </c>
      <c r="N43" s="8">
        <v>1.92782255566104</v>
      </c>
      <c r="O43" s="17">
        <v>649494.07848111901</v>
      </c>
      <c r="P43" s="17">
        <v>10292.0194380905</v>
      </c>
      <c r="Q43" s="8">
        <v>3.5745198515854901</v>
      </c>
      <c r="R43" s="9">
        <v>5.1595771979262404</v>
      </c>
      <c r="S43" s="9">
        <v>0.31820948167088298</v>
      </c>
      <c r="T43" s="9">
        <v>0.17466323295018099</v>
      </c>
      <c r="U43" s="9">
        <v>640.00839354940604</v>
      </c>
      <c r="V43" s="9">
        <v>35.056840316271398</v>
      </c>
      <c r="W43" s="9">
        <v>0.71262185745352402</v>
      </c>
      <c r="X43" s="9" t="s">
        <v>59</v>
      </c>
      <c r="Y43" s="9">
        <v>0.77507946649343695</v>
      </c>
      <c r="Z43" s="9">
        <v>3.5621999788813801</v>
      </c>
      <c r="AA43" s="9">
        <v>3.5052587748544202E-2</v>
      </c>
      <c r="AB43" s="9">
        <v>1.7181437884404599E-2</v>
      </c>
      <c r="AC43" s="9">
        <v>7.6523758997749996E-3</v>
      </c>
      <c r="AD43" s="9">
        <v>818.90186085067103</v>
      </c>
      <c r="AE43" s="8">
        <v>35.3515161100336</v>
      </c>
      <c r="AF43" s="8">
        <v>0.65368222104575802</v>
      </c>
      <c r="AG43" s="8">
        <v>383.30269222326501</v>
      </c>
      <c r="AH43" s="8">
        <v>13.9848899447205</v>
      </c>
      <c r="AI43" s="8">
        <v>0.37206304180577399</v>
      </c>
      <c r="AJ43" s="8">
        <v>2.11174134312702</v>
      </c>
      <c r="AK43" s="8">
        <v>0.15833538477710299</v>
      </c>
      <c r="AL43" s="8">
        <v>0.25071718817713201</v>
      </c>
      <c r="AM43" s="8" t="s">
        <v>59</v>
      </c>
      <c r="AN43" s="8">
        <v>4.4197381343795597E-2</v>
      </c>
      <c r="AO43" s="8">
        <v>0.26333180608960099</v>
      </c>
      <c r="AP43" s="8">
        <v>14.0763910615065</v>
      </c>
      <c r="AQ43" s="8">
        <v>0.32492134119376398</v>
      </c>
      <c r="AR43" s="8">
        <v>1.36258719303904E-3</v>
      </c>
      <c r="AS43" s="9">
        <v>1901.9524549827199</v>
      </c>
      <c r="AT43" s="8">
        <v>98.639887480363896</v>
      </c>
      <c r="AU43" s="8">
        <v>5.4474915411603701E-2</v>
      </c>
      <c r="AV43" s="15">
        <v>-3.7658999999999998</v>
      </c>
      <c r="AW43" s="7">
        <v>0.16389999999999999</v>
      </c>
      <c r="AX43" s="13">
        <v>38.296289999999999</v>
      </c>
      <c r="AY43" s="13">
        <v>5.4945280000000003E-3</v>
      </c>
      <c r="AZ43" s="13">
        <v>15.7273</v>
      </c>
      <c r="BA43" s="13">
        <v>1.9885670000000001E-3</v>
      </c>
      <c r="BB43" s="13">
        <v>18.346260000000001</v>
      </c>
      <c r="BC43" s="13">
        <v>1.9223300000000001E-3</v>
      </c>
      <c r="BD43" s="11">
        <v>1.5047095698108246</v>
      </c>
      <c r="BE43" s="11">
        <v>147.12817926191016</v>
      </c>
      <c r="BF43" s="11">
        <v>97.033987865693675</v>
      </c>
      <c r="BG43" s="11">
        <v>122.08108356380191</v>
      </c>
    </row>
    <row r="44" spans="1:59" ht="15">
      <c r="B44" s="24" t="s">
        <v>99</v>
      </c>
      <c r="C44" s="17">
        <v>330196.42717590003</v>
      </c>
      <c r="D44" s="17">
        <v>13858.312184366199</v>
      </c>
      <c r="E44" s="17">
        <v>416.27521683546598</v>
      </c>
      <c r="F44" s="8">
        <v>83.590958910330301</v>
      </c>
      <c r="G44" s="8">
        <v>2.8184390636107999</v>
      </c>
      <c r="H44" s="8">
        <v>1.6069930653426401</v>
      </c>
      <c r="I44" s="17">
        <v>13605.274914738</v>
      </c>
      <c r="J44" s="17">
        <v>350.63604667591699</v>
      </c>
      <c r="K44" s="8">
        <v>11.2010021326642</v>
      </c>
      <c r="L44" s="8">
        <v>2.2891668579548301</v>
      </c>
      <c r="M44" s="8">
        <v>0.43431141237883603</v>
      </c>
      <c r="N44" s="8">
        <v>1.80435858442673</v>
      </c>
      <c r="O44" s="17">
        <v>647345.17040248704</v>
      </c>
      <c r="P44" s="17">
        <v>13969.5344817813</v>
      </c>
      <c r="Q44" s="8">
        <v>3.6529360541980802</v>
      </c>
      <c r="R44" s="9">
        <v>24.563747870598501</v>
      </c>
      <c r="S44" s="9">
        <v>1.4167067076651401</v>
      </c>
      <c r="T44" s="9">
        <v>0.13715628800200999</v>
      </c>
      <c r="U44" s="9">
        <v>931.46232848680995</v>
      </c>
      <c r="V44" s="9">
        <v>48.691879004029602</v>
      </c>
      <c r="W44" s="9">
        <v>0.68467139496532403</v>
      </c>
      <c r="X44" s="9">
        <v>5.6204241649916904</v>
      </c>
      <c r="Y44" s="9">
        <v>0.75374366922832103</v>
      </c>
      <c r="Z44" s="9">
        <v>3.3941922372827098</v>
      </c>
      <c r="AA44" s="9">
        <v>0.13017065510313799</v>
      </c>
      <c r="AB44" s="9">
        <v>3.3379972057092998E-2</v>
      </c>
      <c r="AC44" s="9">
        <v>5.1716085939423298E-2</v>
      </c>
      <c r="AD44" s="9">
        <v>391.68961322675398</v>
      </c>
      <c r="AE44" s="8">
        <v>22.557662363603299</v>
      </c>
      <c r="AF44" s="8">
        <v>0.67864535973097995</v>
      </c>
      <c r="AG44" s="8">
        <v>183.126870891582</v>
      </c>
      <c r="AH44" s="8">
        <v>9.6315907999707697</v>
      </c>
      <c r="AI44" s="8">
        <v>0.39947411706358099</v>
      </c>
      <c r="AJ44" s="8">
        <v>11.357061854120801</v>
      </c>
      <c r="AK44" s="8">
        <v>0.57748962821454597</v>
      </c>
      <c r="AL44" s="8">
        <v>0.257385319903632</v>
      </c>
      <c r="AM44" s="8" t="s">
        <v>59</v>
      </c>
      <c r="AN44" s="8">
        <v>5.3662096369989698E-2</v>
      </c>
      <c r="AO44" s="8">
        <v>0.27830513409190899</v>
      </c>
      <c r="AP44" s="8">
        <v>31.088504797359398</v>
      </c>
      <c r="AQ44" s="8">
        <v>0.66530300179458701</v>
      </c>
      <c r="AR44" s="8">
        <v>1.7052233434672302E-2</v>
      </c>
      <c r="AS44" s="9">
        <v>1764.38816611166</v>
      </c>
      <c r="AT44" s="8">
        <v>65.140045647101701</v>
      </c>
      <c r="AU44" s="8">
        <v>4.84733847397378E-2</v>
      </c>
      <c r="AV44" s="15">
        <v>-7.4340999999999999</v>
      </c>
      <c r="AW44" s="7">
        <v>0.13109999999999999</v>
      </c>
      <c r="AX44" s="13">
        <v>38.289879999999997</v>
      </c>
      <c r="AY44" s="13">
        <v>4.4336890000000002E-3</v>
      </c>
      <c r="AZ44" s="13">
        <v>15.723990000000001</v>
      </c>
      <c r="BA44" s="13">
        <v>1.691169E-3</v>
      </c>
      <c r="BB44" s="13">
        <v>18.344850000000001</v>
      </c>
      <c r="BC44" s="13">
        <v>1.9357529999999999E-3</v>
      </c>
      <c r="BD44" s="11">
        <v>1.4483535486824555</v>
      </c>
      <c r="BE44" s="11">
        <v>149.78254785705633</v>
      </c>
      <c r="BF44" s="11">
        <v>100.81547688340724</v>
      </c>
      <c r="BG44" s="11">
        <v>125.29901237023179</v>
      </c>
    </row>
    <row r="45" spans="1:59" ht="15">
      <c r="B45" s="24" t="s">
        <v>100</v>
      </c>
      <c r="C45" s="17">
        <v>329068.100688843</v>
      </c>
      <c r="D45" s="17">
        <v>12732.2967721675</v>
      </c>
      <c r="E45" s="17">
        <v>420.70030219130803</v>
      </c>
      <c r="F45" s="8">
        <v>74.170231624551803</v>
      </c>
      <c r="G45" s="8">
        <v>2.4514686494245699</v>
      </c>
      <c r="H45" s="8">
        <v>1.5362217196369901</v>
      </c>
      <c r="I45" s="17">
        <v>12024.5856522172</v>
      </c>
      <c r="J45" s="17">
        <v>341.89614208502098</v>
      </c>
      <c r="K45" s="8">
        <v>12.687344368772401</v>
      </c>
      <c r="L45" s="8">
        <v>3.0315551376144199</v>
      </c>
      <c r="M45" s="8">
        <v>0.53912434365869899</v>
      </c>
      <c r="N45" s="8">
        <v>1.81993646400271</v>
      </c>
      <c r="O45" s="17">
        <v>651279.41149276902</v>
      </c>
      <c r="P45" s="17">
        <v>12826.627036150499</v>
      </c>
      <c r="Q45" s="8">
        <v>3.7206686577205099</v>
      </c>
      <c r="R45" s="9">
        <v>14.258573208105201</v>
      </c>
      <c r="S45" s="9">
        <v>0.75822245699481605</v>
      </c>
      <c r="T45" s="9">
        <v>0.15819820469054399</v>
      </c>
      <c r="U45" s="9">
        <v>752.56725413768504</v>
      </c>
      <c r="V45" s="9">
        <v>45.910365149432003</v>
      </c>
      <c r="W45" s="9">
        <v>0.76456192482791696</v>
      </c>
      <c r="X45" s="9">
        <v>3.8596440402449699</v>
      </c>
      <c r="Y45" s="9">
        <v>0.73124589307548504</v>
      </c>
      <c r="Z45" s="9">
        <v>3.50933410094432</v>
      </c>
      <c r="AA45" s="9">
        <v>7.1251205953682201E-2</v>
      </c>
      <c r="AB45" s="9">
        <v>2.2466452814131802E-2</v>
      </c>
      <c r="AC45" s="9">
        <v>7.74532343964391E-3</v>
      </c>
      <c r="AD45" s="9">
        <v>636.12827794502698</v>
      </c>
      <c r="AE45" s="8">
        <v>31.3861863380248</v>
      </c>
      <c r="AF45" s="8">
        <v>0.79651294916488402</v>
      </c>
      <c r="AG45" s="8">
        <v>300.72850901759699</v>
      </c>
      <c r="AH45" s="8">
        <v>13.4167907321917</v>
      </c>
      <c r="AI45" s="8">
        <v>0.43544009417731899</v>
      </c>
      <c r="AJ45" s="8">
        <v>7.0215726424545197</v>
      </c>
      <c r="AK45" s="8">
        <v>0.358280889440102</v>
      </c>
      <c r="AL45" s="8">
        <v>0.26825566169033699</v>
      </c>
      <c r="AM45" s="8" t="s">
        <v>59</v>
      </c>
      <c r="AN45" s="8">
        <v>5.7160828415721697E-2</v>
      </c>
      <c r="AO45" s="8">
        <v>0.290041981845718</v>
      </c>
      <c r="AP45" s="8">
        <v>20.055095806526399</v>
      </c>
      <c r="AQ45" s="8">
        <v>0.46466508859571098</v>
      </c>
      <c r="AR45" s="8">
        <v>1.5081809669987E-2</v>
      </c>
      <c r="AS45" s="9">
        <v>1467.6700145151401</v>
      </c>
      <c r="AT45" s="8">
        <v>59.084893634401801</v>
      </c>
      <c r="AU45" s="8">
        <v>6.4611601787943701E-2</v>
      </c>
      <c r="AV45" s="15">
        <v>-9.8916000000000004</v>
      </c>
      <c r="AW45" s="7">
        <v>0.14410000000000001</v>
      </c>
      <c r="AX45" s="13">
        <v>38.294969999999999</v>
      </c>
      <c r="AY45" s="13">
        <v>4.3844690000000002E-3</v>
      </c>
      <c r="AZ45" s="13">
        <v>15.72668</v>
      </c>
      <c r="BA45" s="13">
        <v>1.5838409999999999E-3</v>
      </c>
      <c r="BB45" s="13">
        <v>18.349450000000001</v>
      </c>
      <c r="BC45" s="13">
        <v>1.812838E-3</v>
      </c>
      <c r="BD45" s="11">
        <v>1.3734754903814967</v>
      </c>
      <c r="BE45" s="11">
        <v>153.30930440303149</v>
      </c>
      <c r="BF45" s="11">
        <v>105.83979459540157</v>
      </c>
      <c r="BG45" s="11">
        <v>129.57454949921652</v>
      </c>
    </row>
    <row r="46" spans="1:59" ht="15">
      <c r="B46" s="24" t="s">
        <v>101</v>
      </c>
      <c r="C46" s="17">
        <v>337203.97739072499</v>
      </c>
      <c r="D46" s="17">
        <v>11306.670148278299</v>
      </c>
      <c r="E46" s="17">
        <v>429.49585502059699</v>
      </c>
      <c r="F46" s="8">
        <v>74.868985063133593</v>
      </c>
      <c r="G46" s="8">
        <v>2.1387286227935398</v>
      </c>
      <c r="H46" s="8">
        <v>1.6153149022128801</v>
      </c>
      <c r="I46" s="17">
        <v>11499.766122509</v>
      </c>
      <c r="J46" s="17">
        <v>251.34037496051599</v>
      </c>
      <c r="K46" s="8">
        <v>14.0733423303839</v>
      </c>
      <c r="L46" s="8">
        <v>2.6802483907106902</v>
      </c>
      <c r="M46" s="8">
        <v>0.50379905206251996</v>
      </c>
      <c r="N46" s="8">
        <v>2.0124749869279199</v>
      </c>
      <c r="O46" s="17">
        <v>644028.52376741695</v>
      </c>
      <c r="P46" s="17">
        <v>11358.6440721213</v>
      </c>
      <c r="Q46" s="8">
        <v>3.8239487947577802</v>
      </c>
      <c r="R46" s="9">
        <v>18.374115064427301</v>
      </c>
      <c r="S46" s="9">
        <v>0.78241565082829001</v>
      </c>
      <c r="T46" s="9">
        <v>0.15526531582924999</v>
      </c>
      <c r="U46" s="9">
        <v>869.70945060789995</v>
      </c>
      <c r="V46" s="9">
        <v>48.046232821064898</v>
      </c>
      <c r="W46" s="9">
        <v>0.69648038124466805</v>
      </c>
      <c r="X46" s="9">
        <v>3.9378488901706601</v>
      </c>
      <c r="Y46" s="9">
        <v>0.79799943282255104</v>
      </c>
      <c r="Z46" s="9">
        <v>3.6982439476538498</v>
      </c>
      <c r="AA46" s="9">
        <v>0.103866332311812</v>
      </c>
      <c r="AB46" s="9">
        <v>2.8555154208862E-2</v>
      </c>
      <c r="AC46" s="9">
        <v>5.34798711038139E-2</v>
      </c>
      <c r="AD46" s="9">
        <v>553.15299364949897</v>
      </c>
      <c r="AE46" s="8">
        <v>32.3920208098356</v>
      </c>
      <c r="AF46" s="8">
        <v>0.74518554272371096</v>
      </c>
      <c r="AG46" s="8">
        <v>259.53745647805499</v>
      </c>
      <c r="AH46" s="8">
        <v>12.552439954323599</v>
      </c>
      <c r="AI46" s="8">
        <v>0.401514458394577</v>
      </c>
      <c r="AJ46" s="8">
        <v>9.0285536986626909</v>
      </c>
      <c r="AK46" s="8">
        <v>0.39901867010471898</v>
      </c>
      <c r="AL46" s="8">
        <v>0.27459720558645301</v>
      </c>
      <c r="AM46" s="8" t="s">
        <v>59</v>
      </c>
      <c r="AN46" s="8">
        <v>5.04503843194231E-2</v>
      </c>
      <c r="AO46" s="8">
        <v>0.28197427218530702</v>
      </c>
      <c r="AP46" s="8">
        <v>25.406307947014199</v>
      </c>
      <c r="AQ46" s="8">
        <v>0.445902755026027</v>
      </c>
      <c r="AR46" s="8">
        <v>9.5267015175168508E-3</v>
      </c>
      <c r="AS46" s="9">
        <v>1392.54917644694</v>
      </c>
      <c r="AT46" s="8">
        <v>49.394219885317398</v>
      </c>
      <c r="AU46" s="8">
        <v>5.8046491459984299E-2</v>
      </c>
      <c r="AV46" s="15">
        <v>-9.7185000000000006</v>
      </c>
      <c r="AW46" s="7">
        <v>0.1608</v>
      </c>
      <c r="BD46" s="11">
        <v>1.4653754563864829</v>
      </c>
      <c r="BE46" s="11">
        <v>148.98081600419664</v>
      </c>
      <c r="BF46" s="11">
        <v>99.673306876467009</v>
      </c>
      <c r="BG46" s="11">
        <v>124.32706144033182</v>
      </c>
    </row>
    <row r="47" spans="1:59" ht="15">
      <c r="B47" s="24" t="s">
        <v>102</v>
      </c>
      <c r="C47" s="17">
        <v>335647.14311083802</v>
      </c>
      <c r="D47" s="17">
        <v>10543.9830813927</v>
      </c>
      <c r="E47" s="17">
        <v>428.24902174213503</v>
      </c>
      <c r="F47" s="8">
        <v>71.807909672702195</v>
      </c>
      <c r="G47" s="8">
        <v>2.2755956114799401</v>
      </c>
      <c r="H47" s="8">
        <v>1.6366788478517</v>
      </c>
      <c r="I47" s="17">
        <v>16798.464990855999</v>
      </c>
      <c r="J47" s="17">
        <v>386.767985024994</v>
      </c>
      <c r="K47" s="8">
        <v>13.909807160233999</v>
      </c>
      <c r="L47" s="8">
        <v>2.6186604195730001</v>
      </c>
      <c r="M47" s="8">
        <v>0.43635053056231199</v>
      </c>
      <c r="N47" s="8">
        <v>1.77038112834796</v>
      </c>
      <c r="O47" s="17">
        <v>638420.36150674801</v>
      </c>
      <c r="P47" s="17">
        <v>10577.664470175099</v>
      </c>
      <c r="Q47" s="8">
        <v>3.45566945812888</v>
      </c>
      <c r="R47" s="9">
        <v>13.534448295056899</v>
      </c>
      <c r="S47" s="9">
        <v>0.913305214787416</v>
      </c>
      <c r="T47" s="9">
        <v>8.5266530262513296E-2</v>
      </c>
      <c r="U47" s="9">
        <v>701.79556846559103</v>
      </c>
      <c r="V47" s="9">
        <v>39.910286017136002</v>
      </c>
      <c r="W47" s="9">
        <v>0.76294629456964902</v>
      </c>
      <c r="X47" s="9" t="s">
        <v>59</v>
      </c>
      <c r="Y47" s="9">
        <v>0.72311133937085004</v>
      </c>
      <c r="Z47" s="9">
        <v>3.4133197391430201</v>
      </c>
      <c r="AA47" s="9" t="s">
        <v>59</v>
      </c>
      <c r="AB47" s="9">
        <v>2.025692475354E-2</v>
      </c>
      <c r="AC47" s="9">
        <v>7.2976798440600496E-2</v>
      </c>
      <c r="AD47" s="9">
        <v>615.47294790612295</v>
      </c>
      <c r="AE47" s="8">
        <v>35.7138577004662</v>
      </c>
      <c r="AF47" s="8">
        <v>0.615598576805786</v>
      </c>
      <c r="AG47" s="8">
        <v>292.64616385890298</v>
      </c>
      <c r="AH47" s="8">
        <v>14.033203991382999</v>
      </c>
      <c r="AI47" s="8">
        <v>0.37383734672930202</v>
      </c>
      <c r="AJ47" s="8">
        <v>3.57248891181096</v>
      </c>
      <c r="AK47" s="8">
        <v>0.23264532045728101</v>
      </c>
      <c r="AL47" s="8">
        <v>0.232498733933372</v>
      </c>
      <c r="AM47" s="8" t="s">
        <v>59</v>
      </c>
      <c r="AN47" s="8">
        <v>5.3506374127231998E-2</v>
      </c>
      <c r="AO47" s="8">
        <v>0.25352322552302098</v>
      </c>
      <c r="AP47" s="8">
        <v>17.705142569792201</v>
      </c>
      <c r="AQ47" s="8">
        <v>0.31619317629316901</v>
      </c>
      <c r="AR47" s="8">
        <v>1.4797998665681E-3</v>
      </c>
      <c r="AS47" s="9">
        <v>1582.3534287816401</v>
      </c>
      <c r="AT47" s="8">
        <v>83.355208414814697</v>
      </c>
      <c r="AU47" s="8">
        <v>4.0916551177760198E-2</v>
      </c>
      <c r="AV47" s="15">
        <v>-10.354100000000001</v>
      </c>
      <c r="AW47" s="7">
        <v>0.1729</v>
      </c>
      <c r="AX47" s="13">
        <v>38.290120000000002</v>
      </c>
      <c r="AY47" s="13">
        <v>5.2733830000000004E-3</v>
      </c>
      <c r="AZ47" s="13">
        <v>15.726749999999999</v>
      </c>
      <c r="BA47" s="13">
        <v>2.0166479999999998E-3</v>
      </c>
      <c r="BB47" s="13">
        <v>18.353739999999998</v>
      </c>
      <c r="BC47" s="13">
        <v>2.2821180000000001E-3</v>
      </c>
      <c r="BD47" s="11">
        <v>0.95961169774699417</v>
      </c>
      <c r="BE47" s="11">
        <v>172.80228903611658</v>
      </c>
      <c r="BF47" s="11">
        <v>133.61005508117671</v>
      </c>
      <c r="BG47" s="11">
        <v>153.20617205864664</v>
      </c>
    </row>
    <row r="48" spans="1:59">
      <c r="B48" s="24" t="s">
        <v>63</v>
      </c>
      <c r="C48" s="8">
        <f t="shared" ref="C48:E48" si="4">AVERAGE(C35:C47)</f>
        <v>331950.72589847905</v>
      </c>
      <c r="D48" s="8">
        <f t="shared" si="4"/>
        <v>11026.339229080864</v>
      </c>
      <c r="E48" s="8">
        <f t="shared" si="4"/>
        <v>417.17427408968183</v>
      </c>
      <c r="F48" s="8">
        <f>AVERAGE(F35:F47)</f>
        <v>82.729978036717682</v>
      </c>
      <c r="G48" s="8">
        <f t="shared" ref="G48:AV48" si="5">AVERAGE(G35:G47)</f>
        <v>2.5297806048256857</v>
      </c>
      <c r="H48" s="8">
        <f t="shared" si="5"/>
        <v>1.5476081632363805</v>
      </c>
      <c r="I48" s="17">
        <f t="shared" si="5"/>
        <v>11598.167351132146</v>
      </c>
      <c r="J48" s="17">
        <f t="shared" si="5"/>
        <v>330.35554648406867</v>
      </c>
      <c r="K48" s="8">
        <f t="shared" si="5"/>
        <v>12.503237686228617</v>
      </c>
      <c r="L48" s="8">
        <f t="shared" si="5"/>
        <v>2.5822475569171077</v>
      </c>
      <c r="M48" s="8">
        <f t="shared" si="5"/>
        <v>0.44942966086987901</v>
      </c>
      <c r="N48" s="8">
        <f t="shared" si="5"/>
        <v>1.7584630282182279</v>
      </c>
      <c r="O48" s="17">
        <f t="shared" si="5"/>
        <v>645991.2555098522</v>
      </c>
      <c r="P48" s="17">
        <f t="shared" si="5"/>
        <v>11073.173503789088</v>
      </c>
      <c r="Q48" s="8">
        <f t="shared" si="5"/>
        <v>3.452579022791824</v>
      </c>
      <c r="R48" s="9">
        <f t="shared" si="5"/>
        <v>11.669562414429306</v>
      </c>
      <c r="S48" s="9">
        <f t="shared" si="5"/>
        <v>0.71120030236598786</v>
      </c>
      <c r="T48" s="9">
        <f t="shared" si="5"/>
        <v>0.14333921639755756</v>
      </c>
      <c r="U48" s="9">
        <f t="shared" si="5"/>
        <v>751.72242102292466</v>
      </c>
      <c r="V48" s="9">
        <f t="shared" si="5"/>
        <v>40.726388428450726</v>
      </c>
      <c r="W48" s="9">
        <f t="shared" si="5"/>
        <v>0.71176701735314318</v>
      </c>
      <c r="X48" s="9">
        <f t="shared" si="5"/>
        <v>4.4726390318024398</v>
      </c>
      <c r="Y48" s="9">
        <f t="shared" si="5"/>
        <v>0.72272786212938667</v>
      </c>
      <c r="Z48" s="9">
        <f t="shared" si="5"/>
        <v>3.5460651372216065</v>
      </c>
      <c r="AA48" s="9">
        <f t="shared" si="5"/>
        <v>9.0248361181235526E-2</v>
      </c>
      <c r="AB48" s="9">
        <f t="shared" si="5"/>
        <v>2.5257669907933308E-2</v>
      </c>
      <c r="AC48" s="9">
        <f t="shared" si="5"/>
        <v>4.1320098985725848E-2</v>
      </c>
      <c r="AD48" s="9">
        <f t="shared" si="5"/>
        <v>866.1777652216158</v>
      </c>
      <c r="AE48" s="8">
        <f t="shared" si="5"/>
        <v>43.416450426087913</v>
      </c>
      <c r="AF48" s="8">
        <f t="shared" si="5"/>
        <v>0.77856366859607928</v>
      </c>
      <c r="AG48" s="8">
        <f t="shared" si="5"/>
        <v>404.46483730114301</v>
      </c>
      <c r="AH48" s="8">
        <f t="shared" si="5"/>
        <v>17.834926818939696</v>
      </c>
      <c r="AI48" s="8">
        <f t="shared" si="5"/>
        <v>0.37681737135228494</v>
      </c>
      <c r="AJ48" s="8">
        <f t="shared" si="5"/>
        <v>4.9766285744291503</v>
      </c>
      <c r="AK48" s="8">
        <f t="shared" si="5"/>
        <v>0.30854841764796875</v>
      </c>
      <c r="AL48" s="8">
        <f t="shared" si="5"/>
        <v>0.26622970953923819</v>
      </c>
      <c r="AM48" s="8" t="e">
        <f t="shared" si="5"/>
        <v>#DIV/0!</v>
      </c>
      <c r="AN48" s="8">
        <f t="shared" si="5"/>
        <v>5.2725890854738729E-2</v>
      </c>
      <c r="AO48" s="8">
        <f t="shared" si="5"/>
        <v>0.27461027447773573</v>
      </c>
      <c r="AP48" s="8">
        <f t="shared" si="5"/>
        <v>21.794181335671617</v>
      </c>
      <c r="AQ48" s="8">
        <f t="shared" si="5"/>
        <v>0.50875137532073667</v>
      </c>
      <c r="AR48" s="8">
        <f t="shared" si="5"/>
        <v>1.1436246938398006E-2</v>
      </c>
      <c r="AS48" s="9">
        <f t="shared" si="5"/>
        <v>2228.4394552165913</v>
      </c>
      <c r="AT48" s="8">
        <f t="shared" si="5"/>
        <v>113.72897076924066</v>
      </c>
      <c r="AU48" s="8">
        <f t="shared" si="5"/>
        <v>5.2497563936778853E-2</v>
      </c>
      <c r="AV48" s="14">
        <f t="shared" si="5"/>
        <v>-7.7175461538461541</v>
      </c>
      <c r="AW48" s="14">
        <f>AVERAGE(AW35:AW47)</f>
        <v>0.14488461538461539</v>
      </c>
    </row>
  </sheetData>
  <mergeCells count="2">
    <mergeCell ref="B1:AA1"/>
    <mergeCell ref="B2:AB2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D1C02F-8347-46DE-BE69-14F32B74E7CC}"/>
</file>

<file path=customXml/itemProps2.xml><?xml version="1.0" encoding="utf-8"?>
<ds:datastoreItem xmlns:ds="http://schemas.openxmlformats.org/officeDocument/2006/customXml" ds:itemID="{19A7CEA8-DB89-42DE-90F6-B51DE3970870}"/>
</file>

<file path=customXml/itemProps3.xml><?xml version="1.0" encoding="utf-8"?>
<ds:datastoreItem xmlns:ds="http://schemas.openxmlformats.org/officeDocument/2006/customXml" ds:itemID="{06476063-09EA-4C9D-94F6-986BD1255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sunguotao</dc:creator>
  <cp:keywords/>
  <dc:description/>
  <cp:lastModifiedBy>sunguotao</cp:lastModifiedBy>
  <cp:revision/>
  <dcterms:created xsi:type="dcterms:W3CDTF">2024-01-21T09:22:03Z</dcterms:created>
  <dcterms:modified xsi:type="dcterms:W3CDTF">2025-12-30T15:05:32Z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