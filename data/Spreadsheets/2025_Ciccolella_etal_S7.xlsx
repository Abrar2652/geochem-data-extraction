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cconorsk/Desktop/DOCUMENTI E PAPERS/Papers in preparazione/Paragenetic Evolution and Primary Genetic Evidence of Zn-Pb-(Cu-Fe) Mineralization in Northern Sila Massif (Calabria, Italy) Constrained by Sphalerite Trace Elements/tavole supplementary/"/>
    </mc:Choice>
  </mc:AlternateContent>
  <xr:revisionPtr revIDLastSave="0" documentId="13_ncr:1_{226FF162-1CDA-604D-8E3E-D06A2A821D7D}" xr6:coauthVersionLast="47" xr6:coauthVersionMax="47" xr10:uidLastSave="{00000000-0000-0000-0000-000000000000}"/>
  <bookViews>
    <workbookView xWindow="0" yWindow="500" windowWidth="33600" windowHeight="19240" xr2:uid="{4182DEA2-C514-B84A-A4D1-DA64E2690150}"/>
  </bookViews>
  <sheets>
    <sheet name="Table 4 EPM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D17" i="3"/>
  <c r="B17" i="3"/>
  <c r="I27" i="3"/>
  <c r="J27" i="3"/>
  <c r="H27" i="3"/>
  <c r="I24" i="3" l="1"/>
  <c r="I25" i="3"/>
  <c r="I26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5" i="3"/>
  <c r="E6" i="3"/>
  <c r="E7" i="3"/>
  <c r="E8" i="3"/>
  <c r="E9" i="3"/>
  <c r="E10" i="3"/>
  <c r="E11" i="3"/>
  <c r="E12" i="3"/>
  <c r="E5" i="3"/>
  <c r="J24" i="3"/>
  <c r="J25" i="3"/>
  <c r="J26" i="3"/>
  <c r="I28" i="3"/>
  <c r="J28" i="3"/>
  <c r="H26" i="3"/>
  <c r="H25" i="3"/>
  <c r="H24" i="3"/>
  <c r="H28" i="3"/>
  <c r="C14" i="3"/>
  <c r="D14" i="3"/>
  <c r="C15" i="3"/>
  <c r="D15" i="3"/>
  <c r="C16" i="3"/>
  <c r="D16" i="3"/>
  <c r="C18" i="3"/>
  <c r="D18" i="3"/>
  <c r="B14" i="3"/>
  <c r="B15" i="3"/>
  <c r="B16" i="3"/>
  <c r="B18" i="3"/>
  <c r="K27" i="3" l="1"/>
  <c r="E17" i="3"/>
  <c r="E15" i="3"/>
  <c r="E18" i="3"/>
  <c r="K28" i="3"/>
  <c r="K25" i="3"/>
  <c r="E16" i="3"/>
  <c r="K26" i="3"/>
  <c r="K24" i="3"/>
  <c r="E14" i="3"/>
</calcChain>
</file>

<file path=xl/sharedStrings.xml><?xml version="1.0" encoding="utf-8"?>
<sst xmlns="http://schemas.openxmlformats.org/spreadsheetml/2006/main" count="74" uniqueCount="45">
  <si>
    <t>b.d.l.</t>
  </si>
  <si>
    <t>min</t>
  </si>
  <si>
    <t>max</t>
  </si>
  <si>
    <t>average</t>
  </si>
  <si>
    <t>S</t>
  </si>
  <si>
    <t>S wt%</t>
  </si>
  <si>
    <t>Total</t>
  </si>
  <si>
    <t>analysis spots</t>
  </si>
  <si>
    <t>D.L.</t>
  </si>
  <si>
    <t>below detection limit</t>
  </si>
  <si>
    <t>Sb wt%</t>
  </si>
  <si>
    <t>Pb wt%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</si>
  <si>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</si>
  <si>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</si>
  <si>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</si>
  <si>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</si>
  <si>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</si>
  <si>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</si>
  <si>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</si>
  <si>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</si>
  <si>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FA04_gn1 Line 001</t>
  </si>
  <si>
    <t>FA04_gn1 Line 002</t>
  </si>
  <si>
    <t>FA04_gn1 Line 003</t>
  </si>
  <si>
    <t>FA04_gn1 Line 004</t>
  </si>
  <si>
    <t>FA04_gn1 Line 005</t>
  </si>
  <si>
    <t>FA04_gn1 Line 006</t>
  </si>
  <si>
    <t>FA04_gn2 Line 001</t>
  </si>
  <si>
    <t>FA04_gn2 Line 002</t>
  </si>
  <si>
    <t>FA04_gn2 Line 003</t>
  </si>
  <si>
    <t>FA04_gn2 Line 004</t>
  </si>
  <si>
    <t>FA04_gn2 Line 005</t>
  </si>
  <si>
    <t>FA04_gn2 Line 006</t>
  </si>
  <si>
    <t>FA11c_L1 001</t>
  </si>
  <si>
    <t>FA11c_L1 002</t>
  </si>
  <si>
    <t>FA11c_L1 003</t>
  </si>
  <si>
    <t>FA11c_L1 004</t>
  </si>
  <si>
    <t>FA11c_L1 005</t>
  </si>
  <si>
    <t>FA11c_L1 006</t>
  </si>
  <si>
    <t>LGB</t>
  </si>
  <si>
    <t>FAR</t>
  </si>
  <si>
    <t>Sb</t>
  </si>
  <si>
    <t>Pb</t>
  </si>
  <si>
    <t>median</t>
  </si>
  <si>
    <t>st.dev.</t>
  </si>
  <si>
    <r>
      <rPr>
        <b/>
        <sz val="11"/>
        <rFont val="Helvetica"/>
        <family val="2"/>
      </rPr>
      <t>Table S4</t>
    </r>
    <r>
      <rPr>
        <sz val="11"/>
        <rFont val="Helvetica"/>
        <family val="2"/>
      </rPr>
      <t>. EPMA analysis of galena from the Longobucco (LGB) and the Fonte Argentila area (FAR)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</si>
</sst>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sz val="11"/>
      <name val="Helvetica"/>
      <family val="2"/>
    </font>
    <font>
      <sz val="11"/>
      <color theme="1"/>
      <name val="Helvetica"/>
      <family val="2"/>
    </font>
    <font>
      <sz val="11"/>
      <color theme="1"/>
      <name val="Calibri"/>
      <family val="2"/>
      <scheme val="minor"/>
    </font>
    <font>
      <b/>
      <sz val="11"/>
      <name val="Helvetic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10" xfId="0" applyFont="1" applyBorder="1" applyAlignment="1">
      <alignment horizontal="left"/>
    </xf>
    <xf numFmtId="0" fontId="1" fillId="0" borderId="3" xfId="0" applyFont="1" applyBorder="1"/>
    <xf numFmtId="164" fontId="1" fillId="0" borderId="0" xfId="0" applyNumberFormat="1" applyFont="1" applyAlignment="1">
      <alignment horizontal="center"/>
    </xf>
    <xf numFmtId="0" fontId="1" fillId="0" borderId="7" xfId="0" applyFont="1" applyBorder="1"/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left"/>
    </xf>
    <xf numFmtId="2" fontId="2" fillId="0" borderId="10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left"/>
    </xf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13" xfId="0" applyNumberFormat="1" applyFont="1" applyBorder="1" applyAlignment="1">
      <alignment horizontal="left"/>
    </xf>
    <xf numFmtId="2" fontId="2" fillId="0" borderId="3" xfId="0" applyNumberFormat="1" applyFont="1" applyBorder="1"/>
    <xf numFmtId="164" fontId="2" fillId="0" borderId="12" xfId="0" applyNumberFormat="1" applyFont="1" applyBorder="1" applyAlignment="1">
      <alignment horizontal="center"/>
    </xf>
    <xf numFmtId="2" fontId="2" fillId="0" borderId="6" xfId="0" applyNumberFormat="1" applyFont="1" applyBorder="1"/>
    <xf numFmtId="2" fontId="2" fillId="0" borderId="14" xfId="0" applyNumberFormat="1" applyFont="1" applyBorder="1" applyAlignment="1">
      <alignment horizontal="left"/>
    </xf>
    <xf numFmtId="2" fontId="2" fillId="0" borderId="0" xfId="0" applyNumberFormat="1" applyFont="1" applyAlignment="1">
      <alignment horizontal="left"/>
    </xf>
    <xf numFmtId="2" fontId="2" fillId="0" borderId="7" xfId="0" applyNumberFormat="1" applyFont="1" applyBorder="1"/>
    <xf numFmtId="2" fontId="2" fillId="0" borderId="0" xfId="0" applyNumberFormat="1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91D3-678B-A94F-B619-FA0097B6AA00}">
  <dimension ref="A1:K34"/>
  <sheetViews>
    <sheetView tabSelected="1" workbookViewId="0">
      <selection activeCell="B9" sqref="B9"/>
    </sheetView>
  </sheetViews>
  <sheetFormatPr baseColWidth="10" defaultRowHeight="15" x14ac:dyDescent="0.2"/>
  <cols>
    <col min="1" max="1" width="21.6640625" style="25" bestFit="1" customWidth="1"/>
    <col min="2" max="5" width="9.1640625" style="24" customWidth="1"/>
    <col min="6" max="6" width="5.5" style="24" customWidth="1"/>
    <col min="7" max="7" width="17" style="24" bestFit="1" customWidth="1"/>
    <col min="8" max="11" width="9.1640625" style="24" customWidth="1"/>
    <col min="12" max="16384" width="10.83203125" style="24"/>
  </cols>
  <sheetData>
    <row r="1" spans="1:11" x14ac:dyDescent="0.2">
      <c r="A1" s="48" t="s">
        <v>44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x14ac:dyDescent="0.2">
      <c r="A2" s="12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">
      <c r="A3" s="47" t="s">
        <v>38</v>
      </c>
      <c r="B3" s="47"/>
      <c r="C3" s="47"/>
      <c r="D3" s="47"/>
      <c r="E3" s="47"/>
      <c r="F3" s="23"/>
      <c r="G3" s="47" t="s">
        <v>39</v>
      </c>
      <c r="H3" s="47"/>
      <c r="I3" s="47"/>
      <c r="J3" s="47"/>
      <c r="K3" s="47"/>
    </row>
    <row r="4" spans="1:11" x14ac:dyDescent="0.2">
      <c r="A4" s="27" t="s">
        <v>7</v>
      </c>
      <c r="B4" s="28" t="s">
        <v>5</v>
      </c>
      <c r="C4" s="28" t="s">
        <v>10</v>
      </c>
      <c r="D4" s="28" t="s">
        <v>11</v>
      </c>
      <c r="E4" s="29" t="s">
        <v>6</v>
      </c>
      <c r="F4" s="23"/>
      <c r="G4" s="30" t="s">
        <v>7</v>
      </c>
      <c r="H4" s="31" t="s">
        <v>5</v>
      </c>
      <c r="I4" s="32" t="s">
        <v>10</v>
      </c>
      <c r="J4" s="32" t="s">
        <v>11</v>
      </c>
      <c r="K4" s="33" t="s">
        <v>6</v>
      </c>
    </row>
    <row r="5" spans="1:11" x14ac:dyDescent="0.2">
      <c r="A5" s="34" t="s">
        <v>12</v>
      </c>
      <c r="B5" s="18">
        <v>13.18</v>
      </c>
      <c r="C5" s="18">
        <v>8.72E-2</v>
      </c>
      <c r="D5" s="18">
        <v>86.14</v>
      </c>
      <c r="E5" s="16">
        <f>SUM(B5:D5)</f>
        <v>99.407200000000003</v>
      </c>
      <c r="F5" s="23"/>
      <c r="G5" s="35" t="s">
        <v>32</v>
      </c>
      <c r="H5" s="14">
        <v>12.96</v>
      </c>
      <c r="I5" s="15">
        <v>5.8500000000000003E-2</v>
      </c>
      <c r="J5" s="15">
        <v>87.75</v>
      </c>
      <c r="K5" s="36">
        <f>SUM(H5:J5)</f>
        <v>100.7685</v>
      </c>
    </row>
    <row r="6" spans="1:11" x14ac:dyDescent="0.2">
      <c r="A6" s="34" t="s">
        <v>13</v>
      </c>
      <c r="B6" s="18">
        <v>11.51</v>
      </c>
      <c r="C6" s="18" t="s">
        <v>0</v>
      </c>
      <c r="D6" s="18">
        <v>76.63</v>
      </c>
      <c r="E6" s="16">
        <f t="shared" ref="E6:E12" si="0">SUM(B6:D6)</f>
        <v>88.14</v>
      </c>
      <c r="F6" s="23"/>
      <c r="G6" s="37" t="s">
        <v>33</v>
      </c>
      <c r="H6" s="17">
        <v>13.04</v>
      </c>
      <c r="I6" s="18">
        <v>2.1499999999999998E-2</v>
      </c>
      <c r="J6" s="18">
        <v>87.81</v>
      </c>
      <c r="K6" s="16">
        <f t="shared" ref="K6:K22" si="1">SUM(H6:J6)</f>
        <v>100.8715</v>
      </c>
    </row>
    <row r="7" spans="1:11" x14ac:dyDescent="0.2">
      <c r="A7" s="34" t="s">
        <v>14</v>
      </c>
      <c r="B7" s="18">
        <v>13.43</v>
      </c>
      <c r="C7" s="18">
        <v>3.0300000000000001E-2</v>
      </c>
      <c r="D7" s="18">
        <v>85.81</v>
      </c>
      <c r="E7" s="16">
        <f t="shared" si="0"/>
        <v>99.270300000000006</v>
      </c>
      <c r="F7" s="23"/>
      <c r="G7" s="37" t="s">
        <v>34</v>
      </c>
      <c r="H7" s="17">
        <v>13.05</v>
      </c>
      <c r="I7" s="18" t="s">
        <v>0</v>
      </c>
      <c r="J7" s="18">
        <v>86.14</v>
      </c>
      <c r="K7" s="16">
        <f t="shared" si="1"/>
        <v>99.19</v>
      </c>
    </row>
    <row r="8" spans="1:11" x14ac:dyDescent="0.2">
      <c r="A8" s="34" t="s">
        <v>15</v>
      </c>
      <c r="B8" s="18">
        <v>12.96</v>
      </c>
      <c r="C8" s="18" t="s">
        <v>0</v>
      </c>
      <c r="D8" s="18">
        <v>84.41</v>
      </c>
      <c r="E8" s="16">
        <f t="shared" si="0"/>
        <v>97.37</v>
      </c>
      <c r="F8" s="23"/>
      <c r="G8" s="37" t="s">
        <v>35</v>
      </c>
      <c r="H8" s="17">
        <v>13.11</v>
      </c>
      <c r="I8" s="18">
        <v>4.24E-2</v>
      </c>
      <c r="J8" s="18">
        <v>87.65</v>
      </c>
      <c r="K8" s="16">
        <f t="shared" si="1"/>
        <v>100.80240000000001</v>
      </c>
    </row>
    <row r="9" spans="1:11" x14ac:dyDescent="0.2">
      <c r="A9" s="34" t="s">
        <v>16</v>
      </c>
      <c r="B9" s="18">
        <v>12.83</v>
      </c>
      <c r="C9" s="18">
        <v>6.0100000000000001E-2</v>
      </c>
      <c r="D9" s="18">
        <v>84.01</v>
      </c>
      <c r="E9" s="16">
        <f t="shared" si="0"/>
        <v>96.900100000000009</v>
      </c>
      <c r="F9" s="23"/>
      <c r="G9" s="37" t="s">
        <v>36</v>
      </c>
      <c r="H9" s="17">
        <v>13.16</v>
      </c>
      <c r="I9" s="18">
        <v>6.2199999999999998E-2</v>
      </c>
      <c r="J9" s="18">
        <v>86.63</v>
      </c>
      <c r="K9" s="16">
        <f t="shared" si="1"/>
        <v>99.852199999999996</v>
      </c>
    </row>
    <row r="10" spans="1:11" x14ac:dyDescent="0.2">
      <c r="A10" s="34" t="s">
        <v>17</v>
      </c>
      <c r="B10" s="18">
        <v>12.84</v>
      </c>
      <c r="C10" s="18">
        <v>4.8300000000000003E-2</v>
      </c>
      <c r="D10" s="18">
        <v>85.85</v>
      </c>
      <c r="E10" s="16">
        <f t="shared" si="0"/>
        <v>98.738299999999995</v>
      </c>
      <c r="F10" s="23"/>
      <c r="G10" s="37" t="s">
        <v>37</v>
      </c>
      <c r="H10" s="17">
        <v>13.26</v>
      </c>
      <c r="I10" s="18" t="s">
        <v>0</v>
      </c>
      <c r="J10" s="18">
        <v>88.22</v>
      </c>
      <c r="K10" s="16">
        <f t="shared" si="1"/>
        <v>101.48</v>
      </c>
    </row>
    <row r="11" spans="1:11" x14ac:dyDescent="0.2">
      <c r="A11" s="34" t="s">
        <v>18</v>
      </c>
      <c r="B11" s="18">
        <v>13.47</v>
      </c>
      <c r="C11" s="18" t="s">
        <v>0</v>
      </c>
      <c r="D11" s="18">
        <v>87.09</v>
      </c>
      <c r="E11" s="16">
        <f t="shared" si="0"/>
        <v>100.56</v>
      </c>
      <c r="F11" s="23"/>
      <c r="G11" s="37" t="s">
        <v>20</v>
      </c>
      <c r="H11" s="17">
        <v>12.31</v>
      </c>
      <c r="I11" s="18" t="s">
        <v>0</v>
      </c>
      <c r="J11" s="18">
        <v>81.83</v>
      </c>
      <c r="K11" s="16">
        <f t="shared" si="1"/>
        <v>94.14</v>
      </c>
    </row>
    <row r="12" spans="1:11" x14ac:dyDescent="0.2">
      <c r="A12" s="38" t="s">
        <v>19</v>
      </c>
      <c r="B12" s="11">
        <v>13.07</v>
      </c>
      <c r="C12" s="11" t="s">
        <v>0</v>
      </c>
      <c r="D12" s="11">
        <v>86.08</v>
      </c>
      <c r="E12" s="20">
        <f t="shared" si="0"/>
        <v>99.15</v>
      </c>
      <c r="F12" s="23"/>
      <c r="G12" s="37" t="s">
        <v>21</v>
      </c>
      <c r="H12" s="17">
        <v>13.36</v>
      </c>
      <c r="I12" s="18" t="s">
        <v>0</v>
      </c>
      <c r="J12" s="18">
        <v>87.53</v>
      </c>
      <c r="K12" s="16">
        <f t="shared" si="1"/>
        <v>100.89</v>
      </c>
    </row>
    <row r="13" spans="1:11" x14ac:dyDescent="0.2">
      <c r="A13" s="39"/>
      <c r="B13" s="5"/>
      <c r="C13" s="5"/>
      <c r="D13" s="5"/>
      <c r="E13" s="5"/>
      <c r="F13" s="23"/>
      <c r="G13" s="37" t="s">
        <v>22</v>
      </c>
      <c r="H13" s="17">
        <v>13.51</v>
      </c>
      <c r="I13" s="18" t="s">
        <v>0</v>
      </c>
      <c r="J13" s="18">
        <v>87.44</v>
      </c>
      <c r="K13" s="16">
        <f t="shared" si="1"/>
        <v>100.95</v>
      </c>
    </row>
    <row r="14" spans="1:11" x14ac:dyDescent="0.2">
      <c r="A14" s="1" t="s">
        <v>1</v>
      </c>
      <c r="B14" s="6">
        <f>MIN(B5:B12)</f>
        <v>11.51</v>
      </c>
      <c r="C14" s="9">
        <f t="shared" ref="C14:E14" si="2">MIN(C5:C12)</f>
        <v>3.0300000000000001E-2</v>
      </c>
      <c r="D14" s="6">
        <f t="shared" si="2"/>
        <v>76.63</v>
      </c>
      <c r="E14" s="6">
        <f t="shared" si="2"/>
        <v>88.14</v>
      </c>
      <c r="F14" s="23"/>
      <c r="G14" s="37" t="s">
        <v>23</v>
      </c>
      <c r="H14" s="17">
        <v>13.09</v>
      </c>
      <c r="I14" s="18" t="s">
        <v>0</v>
      </c>
      <c r="J14" s="18">
        <v>86.16</v>
      </c>
      <c r="K14" s="16">
        <f t="shared" si="1"/>
        <v>99.25</v>
      </c>
    </row>
    <row r="15" spans="1:11" x14ac:dyDescent="0.2">
      <c r="A15" s="1" t="s">
        <v>2</v>
      </c>
      <c r="B15" s="6">
        <f>MAX(B5:B12)</f>
        <v>13.47</v>
      </c>
      <c r="C15" s="9">
        <f t="shared" ref="C15:E15" si="3">MAX(C5:C12)</f>
        <v>8.72E-2</v>
      </c>
      <c r="D15" s="6">
        <f t="shared" si="3"/>
        <v>87.09</v>
      </c>
      <c r="E15" s="6">
        <f t="shared" si="3"/>
        <v>100.56</v>
      </c>
      <c r="F15" s="23"/>
      <c r="G15" s="37" t="s">
        <v>24</v>
      </c>
      <c r="H15" s="17">
        <v>13.32</v>
      </c>
      <c r="I15" s="18" t="s">
        <v>0</v>
      </c>
      <c r="J15" s="18">
        <v>86.59</v>
      </c>
      <c r="K15" s="16">
        <f t="shared" si="1"/>
        <v>99.91</v>
      </c>
    </row>
    <row r="16" spans="1:11" x14ac:dyDescent="0.2">
      <c r="A16" s="1" t="s">
        <v>3</v>
      </c>
      <c r="B16" s="6">
        <f>AVERAGE(B5:B12)</f>
        <v>12.911249999999999</v>
      </c>
      <c r="C16" s="9">
        <f t="shared" ref="C16:E16" si="4">AVERAGE(C5:C12)</f>
        <v>5.6474999999999997E-2</v>
      </c>
      <c r="D16" s="6">
        <f t="shared" si="4"/>
        <v>84.502500000000012</v>
      </c>
      <c r="E16" s="6">
        <f t="shared" si="4"/>
        <v>97.441987499999996</v>
      </c>
      <c r="F16" s="23"/>
      <c r="G16" s="37" t="s">
        <v>25</v>
      </c>
      <c r="H16" s="17">
        <v>13.2</v>
      </c>
      <c r="I16" s="18" t="s">
        <v>0</v>
      </c>
      <c r="J16" s="18">
        <v>87.43</v>
      </c>
      <c r="K16" s="16">
        <f t="shared" si="1"/>
        <v>100.63000000000001</v>
      </c>
    </row>
    <row r="17" spans="1:11" x14ac:dyDescent="0.2">
      <c r="A17" s="1" t="s">
        <v>42</v>
      </c>
      <c r="B17" s="3">
        <f>MEDIAN(B5:B12)</f>
        <v>13.015000000000001</v>
      </c>
      <c r="C17" s="3">
        <f t="shared" ref="C17:E17" si="5">MEDIAN(C5:C12)</f>
        <v>5.4199999999999998E-2</v>
      </c>
      <c r="D17" s="3">
        <f t="shared" si="5"/>
        <v>85.83</v>
      </c>
      <c r="E17" s="3">
        <f t="shared" si="5"/>
        <v>98.944150000000008</v>
      </c>
      <c r="F17" s="23"/>
      <c r="G17" s="37" t="s">
        <v>26</v>
      </c>
      <c r="H17" s="17">
        <v>13.51</v>
      </c>
      <c r="I17" s="18" t="s">
        <v>0</v>
      </c>
      <c r="J17" s="18">
        <v>86.96</v>
      </c>
      <c r="K17" s="16">
        <f t="shared" si="1"/>
        <v>100.47</v>
      </c>
    </row>
    <row r="18" spans="1:11" x14ac:dyDescent="0.2">
      <c r="A18" s="1" t="s">
        <v>43</v>
      </c>
      <c r="B18" s="6">
        <f>STDEV(B5:B12)</f>
        <v>0.61601107364814711</v>
      </c>
      <c r="C18" s="6">
        <f t="shared" ref="C18:E18" si="6">STDEV(C5:C12)</f>
        <v>2.3868581161574469E-2</v>
      </c>
      <c r="D18" s="6">
        <f t="shared" si="6"/>
        <v>3.3299024009721383</v>
      </c>
      <c r="E18" s="6">
        <f t="shared" si="6"/>
        <v>3.9342873238954335</v>
      </c>
      <c r="F18" s="23"/>
      <c r="G18" s="37" t="s">
        <v>27</v>
      </c>
      <c r="H18" s="17">
        <v>13.51</v>
      </c>
      <c r="I18" s="18" t="s">
        <v>0</v>
      </c>
      <c r="J18" s="18">
        <v>87.49</v>
      </c>
      <c r="K18" s="16">
        <f t="shared" si="1"/>
        <v>101</v>
      </c>
    </row>
    <row r="19" spans="1:11" x14ac:dyDescent="0.2">
      <c r="A19" s="12"/>
      <c r="B19" s="23"/>
      <c r="C19" s="23"/>
      <c r="D19" s="23"/>
      <c r="E19" s="23"/>
      <c r="F19" s="23"/>
      <c r="G19" s="37" t="s">
        <v>28</v>
      </c>
      <c r="H19" s="17">
        <v>13.24</v>
      </c>
      <c r="I19" s="18" t="s">
        <v>0</v>
      </c>
      <c r="J19" s="18">
        <v>86.76</v>
      </c>
      <c r="K19" s="16">
        <f t="shared" si="1"/>
        <v>100</v>
      </c>
    </row>
    <row r="20" spans="1:11" x14ac:dyDescent="0.2">
      <c r="A20" s="12"/>
      <c r="B20" s="23"/>
      <c r="C20" s="23"/>
      <c r="D20" s="23"/>
      <c r="E20" s="23"/>
      <c r="F20" s="23"/>
      <c r="G20" s="37" t="s">
        <v>29</v>
      </c>
      <c r="H20" s="17">
        <v>13.09</v>
      </c>
      <c r="I20" s="18" t="s">
        <v>0</v>
      </c>
      <c r="J20" s="18">
        <v>85.42</v>
      </c>
      <c r="K20" s="16">
        <f t="shared" si="1"/>
        <v>98.51</v>
      </c>
    </row>
    <row r="21" spans="1:11" x14ac:dyDescent="0.2">
      <c r="A21" s="12"/>
      <c r="B21" s="23"/>
      <c r="C21" s="23"/>
      <c r="D21" s="23"/>
      <c r="E21" s="23"/>
      <c r="F21" s="23"/>
      <c r="G21" s="37" t="s">
        <v>30</v>
      </c>
      <c r="H21" s="17">
        <v>13.19</v>
      </c>
      <c r="I21" s="18" t="s">
        <v>0</v>
      </c>
      <c r="J21" s="18">
        <v>85.26</v>
      </c>
      <c r="K21" s="16">
        <f t="shared" si="1"/>
        <v>98.45</v>
      </c>
    </row>
    <row r="22" spans="1:11" x14ac:dyDescent="0.2">
      <c r="A22" s="12"/>
      <c r="B22" s="23"/>
      <c r="C22" s="23"/>
      <c r="D22" s="23"/>
      <c r="E22" s="23"/>
      <c r="F22" s="23"/>
      <c r="G22" s="40" t="s">
        <v>31</v>
      </c>
      <c r="H22" s="19">
        <v>13.41</v>
      </c>
      <c r="I22" s="11" t="s">
        <v>0</v>
      </c>
      <c r="J22" s="11">
        <v>85.84</v>
      </c>
      <c r="K22" s="20">
        <f t="shared" si="1"/>
        <v>99.25</v>
      </c>
    </row>
    <row r="23" spans="1:11" x14ac:dyDescent="0.2">
      <c r="A23" s="12"/>
      <c r="B23" s="23"/>
      <c r="C23" s="23"/>
      <c r="D23" s="23"/>
      <c r="E23" s="23"/>
      <c r="F23" s="23"/>
      <c r="G23" s="41"/>
      <c r="H23" s="5"/>
      <c r="I23" s="5"/>
      <c r="J23" s="5"/>
      <c r="K23" s="5"/>
    </row>
    <row r="24" spans="1:11" x14ac:dyDescent="0.2">
      <c r="A24" s="12"/>
      <c r="B24" s="23"/>
      <c r="C24" s="23"/>
      <c r="D24" s="23"/>
      <c r="E24" s="23"/>
      <c r="F24" s="23"/>
      <c r="G24" s="1" t="s">
        <v>1</v>
      </c>
      <c r="H24" s="6">
        <f>MIN(H5:H22)</f>
        <v>12.31</v>
      </c>
      <c r="I24" s="9">
        <f t="shared" ref="I24:K24" si="7">MIN(I5:I22)</f>
        <v>2.1499999999999998E-2</v>
      </c>
      <c r="J24" s="6">
        <f t="shared" si="7"/>
        <v>81.83</v>
      </c>
      <c r="K24" s="6">
        <f t="shared" si="7"/>
        <v>94.14</v>
      </c>
    </row>
    <row r="25" spans="1:11" x14ac:dyDescent="0.2">
      <c r="A25" s="12"/>
      <c r="B25" s="23"/>
      <c r="C25" s="23"/>
      <c r="D25" s="23"/>
      <c r="E25" s="23"/>
      <c r="F25" s="23"/>
      <c r="G25" s="1" t="s">
        <v>2</v>
      </c>
      <c r="H25" s="6">
        <f>MAX(H5:H22)</f>
        <v>13.51</v>
      </c>
      <c r="I25" s="9">
        <f t="shared" ref="I25:K25" si="8">MAX(I5:I22)</f>
        <v>6.2199999999999998E-2</v>
      </c>
      <c r="J25" s="6">
        <f t="shared" si="8"/>
        <v>88.22</v>
      </c>
      <c r="K25" s="6">
        <f t="shared" si="8"/>
        <v>101.48</v>
      </c>
    </row>
    <row r="26" spans="1:11" x14ac:dyDescent="0.2">
      <c r="A26" s="12"/>
      <c r="B26" s="23"/>
      <c r="C26" s="23"/>
      <c r="D26" s="23"/>
      <c r="E26" s="23"/>
      <c r="F26" s="23"/>
      <c r="G26" s="1" t="s">
        <v>3</v>
      </c>
      <c r="H26" s="6">
        <f>AVERAGE(H5:H22)</f>
        <v>13.184444444444443</v>
      </c>
      <c r="I26" s="9">
        <f t="shared" ref="I26:K26" si="9">AVERAGE(I5:I22)</f>
        <v>4.6150000000000004E-2</v>
      </c>
      <c r="J26" s="6">
        <f t="shared" si="9"/>
        <v>86.606111111111119</v>
      </c>
      <c r="K26" s="6">
        <f t="shared" si="9"/>
        <v>99.800811111111116</v>
      </c>
    </row>
    <row r="27" spans="1:11" x14ac:dyDescent="0.2">
      <c r="A27" s="12"/>
      <c r="B27" s="23"/>
      <c r="C27" s="23"/>
      <c r="D27" s="23"/>
      <c r="E27" s="23"/>
      <c r="F27" s="23"/>
      <c r="G27" s="1" t="s">
        <v>42</v>
      </c>
      <c r="H27" s="3">
        <f>MEDIAN(H5:H22)</f>
        <v>13.195</v>
      </c>
      <c r="I27" s="3">
        <f t="shared" ref="I27:K27" si="10">MEDIAN(I5:I22)</f>
        <v>5.0450000000000002E-2</v>
      </c>
      <c r="J27" s="3">
        <f t="shared" si="10"/>
        <v>86.86</v>
      </c>
      <c r="K27" s="3">
        <f t="shared" si="10"/>
        <v>100.235</v>
      </c>
    </row>
    <row r="28" spans="1:11" x14ac:dyDescent="0.2">
      <c r="A28" s="12"/>
      <c r="B28" s="23"/>
      <c r="C28" s="23"/>
      <c r="D28" s="23"/>
      <c r="E28" s="23"/>
      <c r="F28" s="23"/>
      <c r="G28" s="1" t="s">
        <v>43</v>
      </c>
      <c r="H28" s="6">
        <f>STDEV(H5:H22)</f>
        <v>0.27706916151285732</v>
      </c>
      <c r="I28" s="6">
        <f t="shared" ref="I28:K28" si="11">STDEV(I5:I22)</f>
        <v>1.8545529560157252E-2</v>
      </c>
      <c r="J28" s="6">
        <f t="shared" si="11"/>
        <v>1.4681766959250906</v>
      </c>
      <c r="K28" s="6">
        <f t="shared" si="11"/>
        <v>1.6725433830261554</v>
      </c>
    </row>
    <row r="29" spans="1:11" x14ac:dyDescent="0.2">
      <c r="A29" s="12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x14ac:dyDescent="0.2">
      <c r="A30" s="8" t="s">
        <v>8</v>
      </c>
      <c r="B30" s="22" t="s">
        <v>4</v>
      </c>
      <c r="C30" s="2" t="s">
        <v>40</v>
      </c>
      <c r="D30" s="22" t="s">
        <v>41</v>
      </c>
      <c r="E30" s="42"/>
      <c r="F30" s="42"/>
      <c r="G30" s="42"/>
      <c r="H30" s="42"/>
      <c r="I30" s="42"/>
      <c r="J30" s="42"/>
      <c r="K30" s="43"/>
    </row>
    <row r="31" spans="1:11" x14ac:dyDescent="0.2">
      <c r="A31" s="10" t="s">
        <v>3</v>
      </c>
      <c r="B31" s="21">
        <v>1.7999999999999999E-2</v>
      </c>
      <c r="C31" s="4">
        <v>2.1999999999999999E-2</v>
      </c>
      <c r="D31" s="21">
        <v>8.4000000000000005E-2</v>
      </c>
      <c r="E31" s="26"/>
      <c r="F31" s="26"/>
      <c r="G31" s="26"/>
      <c r="H31" s="26"/>
      <c r="I31" s="26"/>
      <c r="J31" s="26"/>
      <c r="K31" s="44"/>
    </row>
    <row r="32" spans="1:11" x14ac:dyDescent="0.2">
      <c r="A32" s="12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x14ac:dyDescent="0.2">
      <c r="A33" s="13" t="s">
        <v>0</v>
      </c>
      <c r="B33" s="7" t="s">
        <v>9</v>
      </c>
      <c r="C33" s="45"/>
      <c r="D33" s="45"/>
      <c r="E33" s="45"/>
      <c r="F33" s="45"/>
      <c r="G33" s="45"/>
      <c r="H33" s="45"/>
      <c r="I33" s="45"/>
      <c r="J33" s="45"/>
      <c r="K33" s="46"/>
    </row>
    <row r="34" spans="1:11" x14ac:dyDescent="0.2">
      <c r="A34" s="24"/>
    </row>
  </sheetData>
  <mergeCells count="3">
    <mergeCell ref="A3:E3"/>
    <mergeCell ref="G3:K3"/>
    <mergeCell ref="A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C14D37-1181-4B73-8DB3-E8913D529C45}"/>
</file>

<file path=customXml/itemProps2.xml><?xml version="1.0" encoding="utf-8"?>
<ds:datastoreItem xmlns:ds="http://schemas.openxmlformats.org/officeDocument/2006/customXml" ds:itemID="{3E39D63F-B2E0-4D49-9490-837E939E6845}"/>
</file>

<file path=customXml/itemProps3.xml><?xml version="1.0" encoding="utf-8"?>
<ds:datastoreItem xmlns:ds="http://schemas.openxmlformats.org/officeDocument/2006/customXml" ds:itemID="{9639327B-009B-4164-817C-79478ED89F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 4 EPMA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Ciccolella</dc:creator>
  <cp:lastModifiedBy>Antonio Ciccolella</cp:lastModifiedBy>
  <dcterms:created xsi:type="dcterms:W3CDTF">2023-12-13T18:52:29Z</dcterms:created>
  <dcterms:modified xsi:type="dcterms:W3CDTF">2024-07-25T16:34:15Z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