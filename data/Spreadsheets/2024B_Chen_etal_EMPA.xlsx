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29" documentId="8_{CD5FD0C8-A3AC-4C10-95DE-5321AD91334A}" xr6:coauthVersionLast="47" xr6:coauthVersionMax="47" xr10:uidLastSave="{93D09295-B6BD-450C-8613-2E1BE3CBFFA6}"/>
  <bookViews>
    <workbookView xWindow="57480" yWindow="8580" windowWidth="29040" windowHeight="17520" xr2:uid="{9FE6ABB7-667B-430F-ACED-17AA82CCA0A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H84" i="1"/>
  <c r="G84" i="1"/>
  <c r="F84" i="1"/>
  <c r="E84" i="1"/>
  <c r="D84" i="1"/>
  <c r="C84" i="1"/>
  <c r="B84" i="1"/>
  <c r="I56" i="1"/>
  <c r="H56" i="1"/>
  <c r="G56" i="1"/>
  <c r="F56" i="1"/>
  <c r="E56" i="1"/>
  <c r="D56" i="1"/>
  <c r="C56" i="1"/>
  <c r="B56" i="1"/>
  <c r="I44" i="1"/>
  <c r="H44" i="1"/>
  <c r="G44" i="1"/>
  <c r="F44" i="1"/>
  <c r="E44" i="1"/>
  <c r="D44" i="1"/>
  <c r="C44" i="1"/>
  <c r="B44" i="1"/>
  <c r="I38" i="1"/>
  <c r="H38" i="1"/>
  <c r="G38" i="1"/>
  <c r="F38" i="1"/>
  <c r="D38" i="1"/>
  <c r="E38" i="1"/>
  <c r="C38" i="1"/>
</calcChain>
</file>

<file path=xl/sharedStrings.xml><?xml version="1.0" encoding="utf-8"?>
<sst xmlns="http://schemas.openxmlformats.org/spreadsheetml/2006/main" count="92" uniqueCount="86">
  <si>
    <t>Table S1.In situ electron probe microanalysis (EPMA) minor/trace elements results (wt.%) of sphalerite in the Dafang deposit</t>
    <phoneticPr fontId="2" type="noConversion"/>
  </si>
  <si>
    <t>Samples No.</t>
    <phoneticPr fontId="3" type="noConversion"/>
  </si>
  <si>
    <t>S</t>
    <phoneticPr fontId="3" type="noConversion"/>
  </si>
  <si>
    <t>Zn</t>
    <phoneticPr fontId="3" type="noConversion"/>
  </si>
  <si>
    <t>Fe</t>
    <phoneticPr fontId="3" type="noConversion"/>
  </si>
  <si>
    <t>Cd</t>
    <phoneticPr fontId="3" type="noConversion"/>
  </si>
  <si>
    <t>Mn</t>
    <phoneticPr fontId="3" type="noConversion"/>
  </si>
  <si>
    <t>Cu</t>
    <phoneticPr fontId="3" type="noConversion"/>
  </si>
  <si>
    <t>Ga</t>
    <phoneticPr fontId="3" type="noConversion"/>
  </si>
  <si>
    <t>Total</t>
    <phoneticPr fontId="3" type="noConversion"/>
  </si>
  <si>
    <t>SpA  n=34</t>
    <phoneticPr fontId="3" type="noConversion"/>
  </si>
  <si>
    <t>DK-23-2-d-1</t>
    <phoneticPr fontId="1" type="noConversion"/>
  </si>
  <si>
    <t>DK-23-2-d-2</t>
    <phoneticPr fontId="1" type="noConversion"/>
  </si>
  <si>
    <t>DK-23-2-e-1</t>
    <phoneticPr fontId="1" type="noConversion"/>
  </si>
  <si>
    <t>DK-23-2-e-2</t>
    <phoneticPr fontId="1" type="noConversion"/>
  </si>
  <si>
    <t>DK-23-2-a-1</t>
    <phoneticPr fontId="1" type="noConversion"/>
  </si>
  <si>
    <t>DK-23-2-a-2</t>
    <phoneticPr fontId="1" type="noConversion"/>
  </si>
  <si>
    <t>DK-23-2-a-3</t>
    <phoneticPr fontId="1" type="noConversion"/>
  </si>
  <si>
    <t xml:space="preserve">DK-23-3-a-1 </t>
  </si>
  <si>
    <t>DK-23-3-a-2</t>
  </si>
  <si>
    <t>DK-23-3-a-3</t>
  </si>
  <si>
    <t>DK-23-3-a-4</t>
  </si>
  <si>
    <t>DK-23-3-a-5</t>
  </si>
  <si>
    <t>DK-23-3-b-1</t>
  </si>
  <si>
    <t>DK-23-3-b-2</t>
  </si>
  <si>
    <t>DK-23-3-b-3</t>
  </si>
  <si>
    <t>DK-24-1-a-1</t>
  </si>
  <si>
    <t>DK-24-1-b-1</t>
  </si>
  <si>
    <t>DK-24-1-b-2</t>
  </si>
  <si>
    <t>DK-24-1-c-1</t>
  </si>
  <si>
    <t>DK-24-1-c-2</t>
  </si>
  <si>
    <t>DK-24-1-c-3</t>
  </si>
  <si>
    <t>DK-24-1-d-1</t>
  </si>
  <si>
    <t>DK-24-1-d-2</t>
  </si>
  <si>
    <t>DK-24-1-d-3</t>
  </si>
  <si>
    <t>DK-24-1-d-4</t>
  </si>
  <si>
    <t>DK-24-1-d-5</t>
  </si>
  <si>
    <t xml:space="preserve">DK-24-2-a-1 </t>
  </si>
  <si>
    <t xml:space="preserve">DK-24-2-a-2 </t>
  </si>
  <si>
    <t xml:space="preserve">DK-24-2-a-3 </t>
  </si>
  <si>
    <t xml:space="preserve">DK-24-2-a-4 </t>
  </si>
  <si>
    <t xml:space="preserve">DK-24-2-a-5 </t>
  </si>
  <si>
    <t xml:space="preserve">DK-24-2-b-1 </t>
  </si>
  <si>
    <t xml:space="preserve">DK-24-2-b-2 </t>
  </si>
  <si>
    <t>Average</t>
    <phoneticPr fontId="1" type="noConversion"/>
  </si>
  <si>
    <t>SpB  n=4</t>
    <phoneticPr fontId="3" type="noConversion"/>
  </si>
  <si>
    <t xml:space="preserve">DK-27-1-a-2 </t>
  </si>
  <si>
    <t>DK-27-1-b-1</t>
  </si>
  <si>
    <t>DK-27-1-b-2</t>
  </si>
  <si>
    <t>DK-27-2-c-1</t>
  </si>
  <si>
    <t>SpC  n=10</t>
    <phoneticPr fontId="3" type="noConversion"/>
  </si>
  <si>
    <t>DK-19-a-1</t>
  </si>
  <si>
    <t>DK-19-a-2</t>
  </si>
  <si>
    <t>DK-19-a-3</t>
  </si>
  <si>
    <t>DK-19-b-1</t>
  </si>
  <si>
    <t>DK-19-b-2</t>
  </si>
  <si>
    <t>DK-19-b-3</t>
  </si>
  <si>
    <t>DK-19-c-1</t>
  </si>
  <si>
    <t>DK-19-d-2</t>
  </si>
  <si>
    <t>DK-22-b-2</t>
  </si>
  <si>
    <t>DK-22-b-5</t>
  </si>
  <si>
    <t>SpD  n=26</t>
    <phoneticPr fontId="3" type="noConversion"/>
  </si>
  <si>
    <t xml:space="preserve">DK-44-3-a-1 </t>
  </si>
  <si>
    <t>DK-44-3-a-2</t>
  </si>
  <si>
    <t>DK-44-3-a-3</t>
  </si>
  <si>
    <t xml:space="preserve">DK-44-3-a-3 </t>
  </si>
  <si>
    <t>DK-44-3-a-4</t>
  </si>
  <si>
    <t>DK-44-3-b-3</t>
  </si>
  <si>
    <t>DK-44-3-b-4</t>
  </si>
  <si>
    <t>DK-44-3-b-5</t>
  </si>
  <si>
    <t>DK-44-4-a-2</t>
  </si>
  <si>
    <t>DK-44-4-a-4</t>
  </si>
  <si>
    <t>DK-44-4-b-2</t>
  </si>
  <si>
    <t>DK-44-6-a-1</t>
  </si>
  <si>
    <t>DK-44-6-a-2</t>
  </si>
  <si>
    <t>DK-44-6-a-3</t>
  </si>
  <si>
    <t>DK-44-6-a-4</t>
  </si>
  <si>
    <t>DK-44-6-a-5</t>
  </si>
  <si>
    <t>DK-44-6-a-1</t>
    <phoneticPr fontId="1" type="noConversion"/>
  </si>
  <si>
    <t>DK-44-6-a-4</t>
    <phoneticPr fontId="1" type="noConversion"/>
  </si>
  <si>
    <t>DK-44-6-b-1</t>
    <phoneticPr fontId="1" type="noConversion"/>
  </si>
  <si>
    <t>DK-44-6-b-2</t>
    <phoneticPr fontId="1" type="noConversion"/>
  </si>
  <si>
    <t>DK-44-6-c-1</t>
    <phoneticPr fontId="1" type="noConversion"/>
  </si>
  <si>
    <t>DK-44-6-c-2</t>
    <phoneticPr fontId="1" type="noConversion"/>
  </si>
  <si>
    <t>DK-44-6-c-3</t>
    <phoneticPr fontId="1" type="noConversion"/>
  </si>
  <si>
    <t>DK-44-6-a-2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</si>
</sst>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);[Red]\(0\)"/>
  </numFmts>
  <fonts count="7"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0" fillId="0" borderId="0" xfId="0" applyAlignment="1"/>
    <xf numFmtId="164" fontId="4" fillId="0" borderId="0" xfId="0" applyNumberFormat="1" applyFont="1" applyBorder="1" applyAlignment="1">
      <alignment horizontal="distributed" vertical="center"/>
    </xf>
    <xf numFmtId="164" fontId="4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distributed" vertical="center"/>
    </xf>
    <xf numFmtId="0" fontId="4" fillId="0" borderId="0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distributed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distributed" vertical="center"/>
    </xf>
    <xf numFmtId="164" fontId="6" fillId="0" borderId="1" xfId="0" applyNumberFormat="1" applyFont="1" applyBorder="1" applyAlignment="1">
      <alignment horizontal="distributed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DF83-79BB-4743-BEC7-BDC83F0A6F54}">
  <dimension ref="A1:K84"/>
  <sheetViews>
    <sheetView tabSelected="1" topLeftCell="A2" zoomScaleNormal="100" zoomScaleSheetLayoutView="100" workbookViewId="0">
      <selection activeCell="J2" sqref="J2"/>
    </sheetView>
  </sheetViews>
  <sheetFormatPr defaultRowHeight="15"/>
  <cols>
    <col min="1" max="1" width="12.640625" customWidth="1"/>
  </cols>
  <sheetData>
    <row r="1" spans="1:9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4.1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</row>
    <row r="3" spans="1:9" ht="14.15" customHeight="1">
      <c r="A3" s="17" t="s">
        <v>10</v>
      </c>
      <c r="B3" s="17"/>
      <c r="C3" s="17"/>
      <c r="D3" s="17"/>
      <c r="E3" s="17"/>
      <c r="F3" s="17"/>
      <c r="G3" s="17"/>
      <c r="H3" s="17"/>
      <c r="I3" s="17"/>
    </row>
    <row r="4" spans="1:9" ht="14.15" customHeight="1">
      <c r="A4" s="7" t="s">
        <v>11</v>
      </c>
      <c r="B4" s="4">
        <v>33.488999999999997</v>
      </c>
      <c r="C4" s="4">
        <v>51.302999999999997</v>
      </c>
      <c r="D4" s="4">
        <v>11.726000000000001</v>
      </c>
      <c r="E4" s="4">
        <v>1.5009999999999999</v>
      </c>
      <c r="F4" s="4">
        <v>0.75600000000000001</v>
      </c>
      <c r="G4" s="4">
        <v>0</v>
      </c>
      <c r="H4" s="4">
        <v>3.0000000000000001E-3</v>
      </c>
      <c r="I4" s="4">
        <v>98.793000000000006</v>
      </c>
    </row>
    <row r="5" spans="1:9" ht="14.15" customHeight="1">
      <c r="A5" s="7" t="s">
        <v>12</v>
      </c>
      <c r="B5" s="4">
        <v>33.591999999999999</v>
      </c>
      <c r="C5" s="4">
        <v>51.287999999999997</v>
      </c>
      <c r="D5" s="4">
        <v>11.429</v>
      </c>
      <c r="E5" s="4">
        <v>1.4419999999999999</v>
      </c>
      <c r="F5" s="4">
        <v>0.74199999999999999</v>
      </c>
      <c r="G5" s="4">
        <v>2.5000000000000001E-2</v>
      </c>
      <c r="H5" s="4">
        <v>3.1E-2</v>
      </c>
      <c r="I5" s="4">
        <v>98.581999999999994</v>
      </c>
    </row>
    <row r="6" spans="1:9" ht="14.15" customHeight="1">
      <c r="A6" s="7" t="s">
        <v>13</v>
      </c>
      <c r="B6" s="4">
        <v>33.527999999999999</v>
      </c>
      <c r="C6" s="4">
        <v>51.728999999999999</v>
      </c>
      <c r="D6" s="4">
        <v>11.135</v>
      </c>
      <c r="E6" s="4">
        <v>1.4279999999999999</v>
      </c>
      <c r="F6" s="4">
        <v>0.73599999999999999</v>
      </c>
      <c r="G6" s="4">
        <v>0</v>
      </c>
      <c r="H6" s="4">
        <v>2.3E-2</v>
      </c>
      <c r="I6" s="4">
        <v>98.593000000000004</v>
      </c>
    </row>
    <row r="7" spans="1:9" ht="14.15" customHeight="1">
      <c r="A7" s="7" t="s">
        <v>14</v>
      </c>
      <c r="B7" s="4">
        <v>33.456000000000003</v>
      </c>
      <c r="C7" s="4">
        <v>51.348999999999997</v>
      </c>
      <c r="D7" s="4">
        <v>11.391</v>
      </c>
      <c r="E7" s="4">
        <v>1.425</v>
      </c>
      <c r="F7" s="4">
        <v>0.71599999999999997</v>
      </c>
      <c r="G7" s="4">
        <v>0</v>
      </c>
      <c r="H7" s="4">
        <v>1.2999999999999999E-2</v>
      </c>
      <c r="I7" s="4">
        <v>98.366</v>
      </c>
    </row>
    <row r="8" spans="1:9" ht="14.15" customHeight="1">
      <c r="A8" s="7" t="s">
        <v>15</v>
      </c>
      <c r="B8" s="4">
        <v>33.445999999999998</v>
      </c>
      <c r="C8" s="4">
        <v>50.344999999999999</v>
      </c>
      <c r="D8" s="4">
        <v>12.037000000000001</v>
      </c>
      <c r="E8" s="4">
        <v>1.4019999999999999</v>
      </c>
      <c r="F8" s="4">
        <v>1.248</v>
      </c>
      <c r="G8" s="4">
        <v>7.2999999999999995E-2</v>
      </c>
      <c r="H8" s="4">
        <v>2.7E-2</v>
      </c>
      <c r="I8" s="4">
        <v>98.594999999999999</v>
      </c>
    </row>
    <row r="9" spans="1:9" ht="14.15" customHeight="1">
      <c r="A9" s="7" t="s">
        <v>16</v>
      </c>
      <c r="B9" s="4">
        <v>33.509</v>
      </c>
      <c r="C9" s="4">
        <v>50.484000000000002</v>
      </c>
      <c r="D9" s="4">
        <v>11.77</v>
      </c>
      <c r="E9" s="4">
        <v>1.494</v>
      </c>
      <c r="F9" s="4">
        <v>1.1419999999999999</v>
      </c>
      <c r="G9" s="4">
        <v>0</v>
      </c>
      <c r="H9" s="4">
        <v>2.9000000000000001E-2</v>
      </c>
      <c r="I9" s="4">
        <v>98.453000000000003</v>
      </c>
    </row>
    <row r="10" spans="1:9" ht="14.15" customHeight="1">
      <c r="A10" s="7" t="s">
        <v>17</v>
      </c>
      <c r="B10" s="4">
        <v>33.192999999999998</v>
      </c>
      <c r="C10" s="4">
        <v>51.506</v>
      </c>
      <c r="D10" s="4">
        <v>11.557</v>
      </c>
      <c r="E10" s="4">
        <v>1.383</v>
      </c>
      <c r="F10" s="4">
        <v>1.232</v>
      </c>
      <c r="G10" s="4">
        <v>1.7000000000000001E-2</v>
      </c>
      <c r="H10" s="4">
        <v>2.7E-2</v>
      </c>
      <c r="I10" s="4">
        <v>98.938999999999993</v>
      </c>
    </row>
    <row r="11" spans="1:9" ht="14.15" customHeight="1">
      <c r="A11" s="7" t="s">
        <v>18</v>
      </c>
      <c r="B11" s="4">
        <v>33.218000000000004</v>
      </c>
      <c r="C11" s="4">
        <v>57.194000000000003</v>
      </c>
      <c r="D11" s="4">
        <v>6.4619999999999997</v>
      </c>
      <c r="E11" s="4">
        <v>1.599</v>
      </c>
      <c r="F11" s="4">
        <v>0.22</v>
      </c>
      <c r="G11" s="4">
        <v>0</v>
      </c>
      <c r="H11" s="4">
        <v>0.152</v>
      </c>
      <c r="I11" s="4">
        <v>98.972999999999999</v>
      </c>
    </row>
    <row r="12" spans="1:9" ht="14.15" customHeight="1">
      <c r="A12" s="7" t="s">
        <v>19</v>
      </c>
      <c r="B12" s="4">
        <v>33.103000000000002</v>
      </c>
      <c r="C12" s="4">
        <v>57.055999999999997</v>
      </c>
      <c r="D12" s="4">
        <v>6.4470000000000001</v>
      </c>
      <c r="E12" s="4">
        <v>1.5980000000000001</v>
      </c>
      <c r="F12" s="4">
        <v>0.246</v>
      </c>
      <c r="G12" s="4">
        <v>0</v>
      </c>
      <c r="H12" s="4">
        <v>0.13200000000000001</v>
      </c>
      <c r="I12" s="4">
        <v>98.727999999999994</v>
      </c>
    </row>
    <row r="13" spans="1:9" ht="14.15" customHeight="1">
      <c r="A13" s="7" t="s">
        <v>20</v>
      </c>
      <c r="B13" s="4">
        <v>32.51</v>
      </c>
      <c r="C13" s="4">
        <v>56.222999999999999</v>
      </c>
      <c r="D13" s="4">
        <v>8.0239999999999991</v>
      </c>
      <c r="E13" s="4">
        <v>1.5509999999999999</v>
      </c>
      <c r="F13" s="4">
        <v>0.215</v>
      </c>
      <c r="G13" s="4">
        <v>0</v>
      </c>
      <c r="H13" s="4">
        <v>0.12</v>
      </c>
      <c r="I13" s="4">
        <v>98.831999999999994</v>
      </c>
    </row>
    <row r="14" spans="1:9" ht="14.15" customHeight="1">
      <c r="A14" s="7" t="s">
        <v>21</v>
      </c>
      <c r="B14" s="4">
        <v>32.741</v>
      </c>
      <c r="C14" s="4">
        <v>55.427</v>
      </c>
      <c r="D14" s="4">
        <v>8.4390000000000001</v>
      </c>
      <c r="E14" s="4">
        <v>1.5009999999999999</v>
      </c>
      <c r="F14" s="4">
        <v>0.23100000000000001</v>
      </c>
      <c r="G14" s="4">
        <v>6.0000000000000001E-3</v>
      </c>
      <c r="H14" s="4">
        <v>0.126</v>
      </c>
      <c r="I14" s="4">
        <v>98.635000000000005</v>
      </c>
    </row>
    <row r="15" spans="1:9" ht="14.15" customHeight="1">
      <c r="A15" s="7" t="s">
        <v>22</v>
      </c>
      <c r="B15" s="4">
        <v>33.005000000000003</v>
      </c>
      <c r="C15" s="4">
        <v>55.948999999999998</v>
      </c>
      <c r="D15" s="4">
        <v>8.26</v>
      </c>
      <c r="E15" s="4">
        <v>1.486</v>
      </c>
      <c r="F15" s="4">
        <v>0.23699999999999999</v>
      </c>
      <c r="G15" s="4">
        <v>0</v>
      </c>
      <c r="H15" s="4">
        <v>0.14599999999999999</v>
      </c>
      <c r="I15" s="4">
        <v>99.274000000000001</v>
      </c>
    </row>
    <row r="16" spans="1:9" ht="14.15" customHeight="1">
      <c r="A16" s="7" t="s">
        <v>23</v>
      </c>
      <c r="B16" s="4">
        <v>33.481000000000002</v>
      </c>
      <c r="C16" s="4">
        <v>57.863</v>
      </c>
      <c r="D16" s="4">
        <v>6.8520000000000003</v>
      </c>
      <c r="E16" s="4">
        <v>1.6639999999999999</v>
      </c>
      <c r="F16" s="4">
        <v>0.20100000000000001</v>
      </c>
      <c r="G16" s="4">
        <v>7.0000000000000001E-3</v>
      </c>
      <c r="H16" s="4">
        <v>0.11700000000000001</v>
      </c>
      <c r="I16" s="4">
        <v>100.346</v>
      </c>
    </row>
    <row r="17" spans="1:9" ht="14.15" customHeight="1">
      <c r="A17" s="7" t="s">
        <v>24</v>
      </c>
      <c r="B17" s="4">
        <v>33.335999999999999</v>
      </c>
      <c r="C17" s="4">
        <v>58.046999999999997</v>
      </c>
      <c r="D17" s="4">
        <v>6.8239999999999998</v>
      </c>
      <c r="E17" s="4">
        <v>1.66</v>
      </c>
      <c r="F17" s="4">
        <v>0.19400000000000001</v>
      </c>
      <c r="G17" s="4">
        <v>1E-3</v>
      </c>
      <c r="H17" s="4">
        <v>0.10199999999999999</v>
      </c>
      <c r="I17" s="4">
        <v>100.30800000000001</v>
      </c>
    </row>
    <row r="18" spans="1:9" ht="14.15" customHeight="1">
      <c r="A18" s="7" t="s">
        <v>25</v>
      </c>
      <c r="B18" s="4">
        <v>33.131</v>
      </c>
      <c r="C18" s="4">
        <v>57.966999999999999</v>
      </c>
      <c r="D18" s="4">
        <v>6.6059999999999999</v>
      </c>
      <c r="E18" s="4">
        <v>1.6679999999999999</v>
      </c>
      <c r="F18" s="4">
        <v>0.21299999999999999</v>
      </c>
      <c r="G18" s="4">
        <v>2E-3</v>
      </c>
      <c r="H18" s="4">
        <v>0.11899999999999999</v>
      </c>
      <c r="I18" s="4">
        <v>99.876999999999995</v>
      </c>
    </row>
    <row r="19" spans="1:9" ht="14.15" customHeight="1">
      <c r="A19" s="7" t="s">
        <v>26</v>
      </c>
      <c r="B19" s="4">
        <v>32.956000000000003</v>
      </c>
      <c r="C19" s="4">
        <v>50.854999999999997</v>
      </c>
      <c r="D19" s="4">
        <v>11.768000000000001</v>
      </c>
      <c r="E19" s="4">
        <v>1.522</v>
      </c>
      <c r="F19" s="4">
        <v>1.1659999999999999</v>
      </c>
      <c r="G19" s="4">
        <v>7.0000000000000001E-3</v>
      </c>
      <c r="H19" s="4">
        <v>3.2000000000000001E-2</v>
      </c>
      <c r="I19" s="4">
        <v>98.341999999999999</v>
      </c>
    </row>
    <row r="20" spans="1:9" ht="14.15" customHeight="1">
      <c r="A20" s="7" t="s">
        <v>27</v>
      </c>
      <c r="B20" s="4">
        <v>32.863</v>
      </c>
      <c r="C20" s="4">
        <v>51.448</v>
      </c>
      <c r="D20" s="4">
        <v>11.486000000000001</v>
      </c>
      <c r="E20" s="4">
        <v>1.458</v>
      </c>
      <c r="F20" s="4">
        <v>1.071</v>
      </c>
      <c r="G20" s="4">
        <v>3.2000000000000001E-2</v>
      </c>
      <c r="H20" s="4">
        <v>1.2E-2</v>
      </c>
      <c r="I20" s="4">
        <v>98.4</v>
      </c>
    </row>
    <row r="21" spans="1:9" ht="14.15" customHeight="1">
      <c r="A21" s="7" t="s">
        <v>28</v>
      </c>
      <c r="B21" s="4">
        <v>33.058999999999997</v>
      </c>
      <c r="C21" s="4">
        <v>51.119</v>
      </c>
      <c r="D21" s="4">
        <v>11.756</v>
      </c>
      <c r="E21" s="4">
        <v>1.468</v>
      </c>
      <c r="F21" s="4">
        <v>1.129</v>
      </c>
      <c r="G21" s="4">
        <v>2.7E-2</v>
      </c>
      <c r="H21" s="4">
        <v>1.9E-2</v>
      </c>
      <c r="I21" s="4">
        <v>98.593999999999994</v>
      </c>
    </row>
    <row r="22" spans="1:9" ht="14.15" customHeight="1">
      <c r="A22" s="7" t="s">
        <v>29</v>
      </c>
      <c r="B22" s="4">
        <v>33.027999999999999</v>
      </c>
      <c r="C22" s="4">
        <v>50.901000000000003</v>
      </c>
      <c r="D22" s="4">
        <v>12.084</v>
      </c>
      <c r="E22" s="4">
        <v>1.369</v>
      </c>
      <c r="F22" s="4">
        <v>1.3260000000000001</v>
      </c>
      <c r="G22" s="4">
        <v>1.7000000000000001E-2</v>
      </c>
      <c r="H22" s="4">
        <v>2.9000000000000001E-2</v>
      </c>
      <c r="I22" s="4">
        <v>98.79</v>
      </c>
    </row>
    <row r="23" spans="1:9" ht="14.15" customHeight="1">
      <c r="A23" s="7" t="s">
        <v>30</v>
      </c>
      <c r="B23" s="4">
        <v>32.997999999999998</v>
      </c>
      <c r="C23" s="4">
        <v>50.363999999999997</v>
      </c>
      <c r="D23" s="4">
        <v>12.138</v>
      </c>
      <c r="E23" s="4">
        <v>1.3759999999999999</v>
      </c>
      <c r="F23" s="4">
        <v>1.331</v>
      </c>
      <c r="G23" s="4">
        <v>0</v>
      </c>
      <c r="H23" s="4">
        <v>1.7000000000000001E-2</v>
      </c>
      <c r="I23" s="4">
        <v>98.233000000000004</v>
      </c>
    </row>
    <row r="24" spans="1:9" ht="14.15" customHeight="1">
      <c r="A24" s="7" t="s">
        <v>31</v>
      </c>
      <c r="B24" s="4">
        <v>33.308999999999997</v>
      </c>
      <c r="C24" s="4">
        <v>50.161000000000001</v>
      </c>
      <c r="D24" s="4">
        <v>12.486000000000001</v>
      </c>
      <c r="E24" s="4">
        <v>1.494</v>
      </c>
      <c r="F24" s="4">
        <v>1.3120000000000001</v>
      </c>
      <c r="G24" s="4">
        <v>0</v>
      </c>
      <c r="H24" s="4">
        <v>1.4E-2</v>
      </c>
      <c r="I24" s="4">
        <v>98.805000000000007</v>
      </c>
    </row>
    <row r="25" spans="1:9" ht="14.15" customHeight="1">
      <c r="A25" s="7" t="s">
        <v>32</v>
      </c>
      <c r="B25" s="4">
        <v>33.076000000000001</v>
      </c>
      <c r="C25" s="4">
        <v>51.356999999999999</v>
      </c>
      <c r="D25" s="4">
        <v>11.651999999999999</v>
      </c>
      <c r="E25" s="4">
        <v>1.4790000000000001</v>
      </c>
      <c r="F25" s="4">
        <v>1.151</v>
      </c>
      <c r="G25" s="4">
        <v>0</v>
      </c>
      <c r="H25" s="4">
        <v>0.04</v>
      </c>
      <c r="I25" s="4">
        <v>98.775000000000006</v>
      </c>
    </row>
    <row r="26" spans="1:9" ht="14.15" customHeight="1">
      <c r="A26" s="7" t="s">
        <v>33</v>
      </c>
      <c r="B26" s="4">
        <v>32.957000000000001</v>
      </c>
      <c r="C26" s="4">
        <v>50.518000000000001</v>
      </c>
      <c r="D26" s="4">
        <v>11.414</v>
      </c>
      <c r="E26" s="4">
        <v>1.5329999999999999</v>
      </c>
      <c r="F26" s="4">
        <v>1.1559999999999999</v>
      </c>
      <c r="G26" s="4">
        <v>7.5999999999999998E-2</v>
      </c>
      <c r="H26" s="4">
        <v>8.0000000000000002E-3</v>
      </c>
      <c r="I26" s="4">
        <v>97.691999999999993</v>
      </c>
    </row>
    <row r="27" spans="1:9" ht="14.15" customHeight="1">
      <c r="A27" s="7" t="s">
        <v>34</v>
      </c>
      <c r="B27" s="4">
        <v>33.197000000000003</v>
      </c>
      <c r="C27" s="4">
        <v>50.249000000000002</v>
      </c>
      <c r="D27" s="4">
        <v>12.019</v>
      </c>
      <c r="E27" s="4">
        <v>1.36</v>
      </c>
      <c r="F27" s="4">
        <v>1.2170000000000001</v>
      </c>
      <c r="G27" s="4">
        <v>6.3E-2</v>
      </c>
      <c r="H27" s="4">
        <v>1.9E-2</v>
      </c>
      <c r="I27" s="4">
        <v>98.144999999999996</v>
      </c>
    </row>
    <row r="28" spans="1:9" ht="14.15" customHeight="1">
      <c r="A28" s="7" t="s">
        <v>35</v>
      </c>
      <c r="B28" s="4">
        <v>33.113999999999997</v>
      </c>
      <c r="C28" s="4">
        <v>51.188000000000002</v>
      </c>
      <c r="D28" s="4">
        <v>11.632999999999999</v>
      </c>
      <c r="E28" s="4">
        <v>1.48</v>
      </c>
      <c r="F28" s="4">
        <v>1.1339999999999999</v>
      </c>
      <c r="G28" s="4">
        <v>1.7999999999999999E-2</v>
      </c>
      <c r="H28" s="4">
        <v>4.0000000000000001E-3</v>
      </c>
      <c r="I28" s="4">
        <v>98.593999999999994</v>
      </c>
    </row>
    <row r="29" spans="1:9" ht="14.15" customHeight="1">
      <c r="A29" s="7" t="s">
        <v>36</v>
      </c>
      <c r="B29" s="4">
        <v>32.801000000000002</v>
      </c>
      <c r="C29" s="4">
        <v>50.604999999999997</v>
      </c>
      <c r="D29" s="4">
        <v>11.919</v>
      </c>
      <c r="E29" s="4">
        <v>1.4650000000000001</v>
      </c>
      <c r="F29" s="4">
        <v>1.1499999999999999</v>
      </c>
      <c r="G29" s="4">
        <v>0</v>
      </c>
      <c r="H29" s="4">
        <v>3.1E-2</v>
      </c>
      <c r="I29" s="4">
        <v>98.01</v>
      </c>
    </row>
    <row r="30" spans="1:9" ht="14.15" customHeight="1">
      <c r="A30" s="5" t="s">
        <v>37</v>
      </c>
      <c r="B30" s="4">
        <v>33.244999999999997</v>
      </c>
      <c r="C30" s="4">
        <v>50.854999999999997</v>
      </c>
      <c r="D30" s="4">
        <v>12.151999999999999</v>
      </c>
      <c r="E30" s="4">
        <v>1.3919999999999999</v>
      </c>
      <c r="F30" s="4">
        <v>1.0469999999999999</v>
      </c>
      <c r="G30" s="4">
        <v>0</v>
      </c>
      <c r="H30" s="4">
        <v>0.13900000000000001</v>
      </c>
      <c r="I30" s="4">
        <v>99.012</v>
      </c>
    </row>
    <row r="31" spans="1:9" ht="14.15" customHeight="1">
      <c r="A31" s="5" t="s">
        <v>38</v>
      </c>
      <c r="B31" s="4">
        <v>33.417000000000002</v>
      </c>
      <c r="C31" s="4">
        <v>51.548999999999999</v>
      </c>
      <c r="D31" s="4">
        <v>12.041</v>
      </c>
      <c r="E31" s="4">
        <v>1.335</v>
      </c>
      <c r="F31" s="4">
        <v>1.0960000000000001</v>
      </c>
      <c r="G31" s="4">
        <v>0.21</v>
      </c>
      <c r="H31" s="4">
        <v>8.3000000000000004E-2</v>
      </c>
      <c r="I31" s="4">
        <v>99.888999999999996</v>
      </c>
    </row>
    <row r="32" spans="1:9" ht="14.15" customHeight="1">
      <c r="A32" s="5" t="s">
        <v>39</v>
      </c>
      <c r="B32" s="4">
        <v>33.295000000000002</v>
      </c>
      <c r="C32" s="4">
        <v>51.604999999999997</v>
      </c>
      <c r="D32" s="4">
        <v>11.906000000000001</v>
      </c>
      <c r="E32" s="4">
        <v>1.415</v>
      </c>
      <c r="F32" s="4">
        <v>1.1259999999999999</v>
      </c>
      <c r="G32" s="4">
        <v>3.0000000000000001E-3</v>
      </c>
      <c r="H32" s="4">
        <v>0.11899999999999999</v>
      </c>
      <c r="I32" s="4">
        <v>99.628</v>
      </c>
    </row>
    <row r="33" spans="1:11" ht="14.15" customHeight="1">
      <c r="A33" s="5" t="s">
        <v>40</v>
      </c>
      <c r="B33" s="4">
        <v>33.116999999999997</v>
      </c>
      <c r="C33" s="4">
        <v>49.673000000000002</v>
      </c>
      <c r="D33" s="4">
        <v>12.897</v>
      </c>
      <c r="E33" s="4">
        <v>1.3280000000000001</v>
      </c>
      <c r="F33" s="4">
        <v>1.2450000000000001</v>
      </c>
      <c r="G33" s="4">
        <v>2.5999999999999999E-2</v>
      </c>
      <c r="H33" s="4">
        <v>6.4000000000000001E-2</v>
      </c>
      <c r="I33" s="4">
        <v>98.513999999999996</v>
      </c>
    </row>
    <row r="34" spans="1:11" ht="14.15" customHeight="1">
      <c r="A34" s="5" t="s">
        <v>41</v>
      </c>
      <c r="B34" s="4">
        <v>33.454999999999998</v>
      </c>
      <c r="C34" s="4">
        <v>49.475999999999999</v>
      </c>
      <c r="D34" s="4">
        <v>12.794</v>
      </c>
      <c r="E34" s="4">
        <v>1.4039999999999999</v>
      </c>
      <c r="F34" s="4">
        <v>1.2170000000000001</v>
      </c>
      <c r="G34" s="4">
        <v>0</v>
      </c>
      <c r="H34" s="4">
        <v>0.158</v>
      </c>
      <c r="I34" s="4">
        <v>98.643000000000001</v>
      </c>
    </row>
    <row r="35" spans="1:11" ht="14.15" customHeight="1">
      <c r="A35" s="5" t="s">
        <v>42</v>
      </c>
      <c r="B35" s="4">
        <v>33.412999999999997</v>
      </c>
      <c r="C35" s="4">
        <v>49.158000000000001</v>
      </c>
      <c r="D35" s="4">
        <v>13.24</v>
      </c>
      <c r="E35" s="4">
        <v>1.3919999999999999</v>
      </c>
      <c r="F35" s="4">
        <v>1.1830000000000001</v>
      </c>
      <c r="G35" s="4">
        <v>0.42</v>
      </c>
      <c r="H35" s="4">
        <v>9.5000000000000001E-2</v>
      </c>
      <c r="I35" s="4">
        <v>99.046999999999997</v>
      </c>
    </row>
    <row r="36" spans="1:11" ht="14.15" customHeight="1">
      <c r="A36" s="5" t="s">
        <v>42</v>
      </c>
      <c r="B36" s="4">
        <v>33.819000000000003</v>
      </c>
      <c r="C36" s="4">
        <v>49.274999999999999</v>
      </c>
      <c r="D36" s="4">
        <v>12.311</v>
      </c>
      <c r="E36" s="4">
        <v>1.278</v>
      </c>
      <c r="F36" s="4">
        <v>1.756</v>
      </c>
      <c r="G36" s="4">
        <v>0.50800000000000001</v>
      </c>
      <c r="H36" s="4">
        <v>0.108</v>
      </c>
      <c r="I36" s="4">
        <v>99.234999999999999</v>
      </c>
    </row>
    <row r="37" spans="1:11" ht="14.15" customHeight="1">
      <c r="A37" s="5" t="s">
        <v>43</v>
      </c>
      <c r="B37" s="4">
        <v>33.762</v>
      </c>
      <c r="C37" s="4">
        <v>49.356000000000002</v>
      </c>
      <c r="D37" s="4">
        <v>8.9710000000000001</v>
      </c>
      <c r="E37" s="4">
        <v>1.3440000000000001</v>
      </c>
      <c r="F37" s="4">
        <v>1.6619999999999999</v>
      </c>
      <c r="G37" s="4">
        <v>3.371</v>
      </c>
      <c r="H37" s="4">
        <v>0.14199999999999999</v>
      </c>
      <c r="I37" s="4">
        <v>98.760999999999996</v>
      </c>
    </row>
    <row r="38" spans="1:11" ht="14.15" customHeight="1">
      <c r="A38" s="8" t="s">
        <v>44</v>
      </c>
      <c r="B38" s="9">
        <v>33.340000000000003</v>
      </c>
      <c r="C38" s="9">
        <f t="shared" ref="C38:I38" si="0">AVERAGE(C4:C37)</f>
        <v>52.160058823529418</v>
      </c>
      <c r="D38" s="9">
        <f t="shared" si="0"/>
        <v>10.753705882352939</v>
      </c>
      <c r="E38" s="9">
        <f t="shared" si="0"/>
        <v>1.4615882352941179</v>
      </c>
      <c r="F38" s="9">
        <f t="shared" si="0"/>
        <v>0.93541176470588216</v>
      </c>
      <c r="G38" s="9">
        <f t="shared" si="0"/>
        <v>0.14438235294117646</v>
      </c>
      <c r="H38" s="9">
        <f t="shared" si="0"/>
        <v>6.7647058823529407E-2</v>
      </c>
      <c r="I38" s="9">
        <f t="shared" si="0"/>
        <v>98.83538235294121</v>
      </c>
    </row>
    <row r="39" spans="1:11" ht="14.15" customHeight="1">
      <c r="A39" s="17" t="s">
        <v>45</v>
      </c>
      <c r="B39" s="17"/>
      <c r="C39" s="17"/>
      <c r="D39" s="17"/>
      <c r="E39" s="17"/>
      <c r="F39" s="17"/>
      <c r="G39" s="17"/>
      <c r="H39" s="17"/>
      <c r="I39" s="17"/>
    </row>
    <row r="40" spans="1:11" ht="14.15" customHeight="1">
      <c r="A40" s="10" t="s">
        <v>46</v>
      </c>
      <c r="B40" s="11">
        <v>33.515999999999998</v>
      </c>
      <c r="C40" s="11">
        <v>48.731000000000002</v>
      </c>
      <c r="D40" s="11">
        <v>11.743</v>
      </c>
      <c r="E40" s="11">
        <v>1.304</v>
      </c>
      <c r="F40" s="11">
        <v>1.708</v>
      </c>
      <c r="G40" s="11">
        <v>0.872</v>
      </c>
      <c r="H40" s="11">
        <v>0.10100000000000001</v>
      </c>
      <c r="I40" s="11">
        <v>98.137</v>
      </c>
    </row>
    <row r="41" spans="1:11" ht="14.15" customHeight="1">
      <c r="A41" s="7" t="s">
        <v>47</v>
      </c>
      <c r="B41" s="5">
        <v>33.817999999999998</v>
      </c>
      <c r="C41" s="5">
        <v>47.98</v>
      </c>
      <c r="D41" s="5">
        <v>13.667</v>
      </c>
      <c r="E41" s="5">
        <v>1.3340000000000001</v>
      </c>
      <c r="F41" s="5">
        <v>1.794</v>
      </c>
      <c r="G41" s="5">
        <v>0.627</v>
      </c>
      <c r="H41" s="5">
        <v>0.112</v>
      </c>
      <c r="I41" s="5">
        <v>99.48</v>
      </c>
    </row>
    <row r="42" spans="1:11" ht="14.15" customHeight="1">
      <c r="A42" s="7" t="s">
        <v>48</v>
      </c>
      <c r="B42" s="5">
        <v>33.573999999999998</v>
      </c>
      <c r="C42" s="5">
        <v>50.682000000000002</v>
      </c>
      <c r="D42" s="5">
        <v>11.939</v>
      </c>
      <c r="E42" s="5">
        <v>1.3420000000000001</v>
      </c>
      <c r="F42" s="5">
        <v>1.351</v>
      </c>
      <c r="G42" s="5">
        <v>0.20899999999999999</v>
      </c>
      <c r="H42" s="5">
        <v>9.9000000000000005E-2</v>
      </c>
      <c r="I42" s="5">
        <v>99.361000000000004</v>
      </c>
    </row>
    <row r="43" spans="1:11" ht="14.15" customHeight="1">
      <c r="A43" s="7" t="s">
        <v>49</v>
      </c>
      <c r="B43" s="5">
        <v>33.317</v>
      </c>
      <c r="C43" s="5">
        <v>47.926000000000002</v>
      </c>
      <c r="D43" s="5">
        <v>13.361000000000001</v>
      </c>
      <c r="E43" s="5">
        <v>1.3009999999999999</v>
      </c>
      <c r="F43" s="5">
        <v>1.399</v>
      </c>
      <c r="G43" s="5">
        <v>5.5E-2</v>
      </c>
      <c r="H43" s="5">
        <v>0.122</v>
      </c>
      <c r="I43" s="5">
        <v>97.5</v>
      </c>
    </row>
    <row r="44" spans="1:11" ht="14.15" customHeight="1">
      <c r="A44" s="12" t="s">
        <v>44</v>
      </c>
      <c r="B44" s="8">
        <f t="shared" ref="B44:I44" si="1">AVERAGE(B40:B43)</f>
        <v>33.556249999999999</v>
      </c>
      <c r="C44" s="8">
        <f t="shared" si="1"/>
        <v>48.829750000000004</v>
      </c>
      <c r="D44" s="8">
        <f t="shared" si="1"/>
        <v>12.677500000000002</v>
      </c>
      <c r="E44" s="8">
        <f t="shared" si="1"/>
        <v>1.3202499999999999</v>
      </c>
      <c r="F44" s="8">
        <f t="shared" si="1"/>
        <v>1.5629999999999999</v>
      </c>
      <c r="G44" s="8">
        <f t="shared" si="1"/>
        <v>0.44075000000000003</v>
      </c>
      <c r="H44" s="8">
        <f t="shared" si="1"/>
        <v>0.10850000000000001</v>
      </c>
      <c r="I44" s="8">
        <f t="shared" si="1"/>
        <v>98.619500000000002</v>
      </c>
    </row>
    <row r="45" spans="1:11" s="3" customFormat="1" ht="14.15" customHeight="1">
      <c r="A45" s="17" t="s">
        <v>50</v>
      </c>
      <c r="B45" s="17"/>
      <c r="C45" s="17"/>
      <c r="D45" s="17"/>
      <c r="E45" s="17"/>
      <c r="F45" s="17"/>
      <c r="G45" s="17"/>
      <c r="H45" s="17"/>
      <c r="I45" s="17"/>
      <c r="J45" s="1"/>
      <c r="K45" s="2"/>
    </row>
    <row r="46" spans="1:11" ht="14.15" customHeight="1">
      <c r="A46" s="10" t="s">
        <v>51</v>
      </c>
      <c r="B46" s="13">
        <v>33.901000000000003</v>
      </c>
      <c r="C46" s="13">
        <v>48.326999999999998</v>
      </c>
      <c r="D46" s="13">
        <v>11.651999999999999</v>
      </c>
      <c r="E46" s="13">
        <v>1.161</v>
      </c>
      <c r="F46" s="13">
        <v>3.2440000000000002</v>
      </c>
      <c r="G46" s="13">
        <v>2E-3</v>
      </c>
      <c r="H46" s="13">
        <v>9.1999999999999998E-2</v>
      </c>
      <c r="I46" s="13">
        <v>98.533000000000001</v>
      </c>
    </row>
    <row r="47" spans="1:11" ht="14.15" customHeight="1">
      <c r="A47" s="7" t="s">
        <v>52</v>
      </c>
      <c r="B47" s="4">
        <v>33.555</v>
      </c>
      <c r="C47" s="4">
        <v>46.646999999999998</v>
      </c>
      <c r="D47" s="4">
        <v>12.651</v>
      </c>
      <c r="E47" s="4">
        <v>1.1619999999999999</v>
      </c>
      <c r="F47" s="4">
        <v>3.81</v>
      </c>
      <c r="G47" s="4">
        <v>0</v>
      </c>
      <c r="H47" s="4">
        <v>9.9000000000000005E-2</v>
      </c>
      <c r="I47" s="4">
        <v>98.072999999999993</v>
      </c>
    </row>
    <row r="48" spans="1:11" ht="14.15" customHeight="1">
      <c r="A48" s="7" t="s">
        <v>53</v>
      </c>
      <c r="B48" s="4">
        <v>34.048000000000002</v>
      </c>
      <c r="C48" s="4">
        <v>47.076000000000001</v>
      </c>
      <c r="D48" s="4">
        <v>12.260999999999999</v>
      </c>
      <c r="E48" s="4">
        <v>1.202</v>
      </c>
      <c r="F48" s="4">
        <v>3.5710000000000002</v>
      </c>
      <c r="G48" s="4">
        <v>0</v>
      </c>
      <c r="H48" s="4">
        <v>9.9000000000000005E-2</v>
      </c>
      <c r="I48" s="4">
        <v>98.400999999999996</v>
      </c>
    </row>
    <row r="49" spans="1:9" ht="14.15" customHeight="1">
      <c r="A49" s="7" t="s">
        <v>54</v>
      </c>
      <c r="B49" s="4">
        <v>33.927</v>
      </c>
      <c r="C49" s="4">
        <v>47.51</v>
      </c>
      <c r="D49" s="4">
        <v>12.807</v>
      </c>
      <c r="E49" s="4">
        <v>1.109</v>
      </c>
      <c r="F49" s="4">
        <v>3.4119999999999999</v>
      </c>
      <c r="G49" s="4">
        <v>0</v>
      </c>
      <c r="H49" s="4">
        <v>7.3999999999999996E-2</v>
      </c>
      <c r="I49" s="4">
        <v>98.995000000000005</v>
      </c>
    </row>
    <row r="50" spans="1:9" ht="14.15" customHeight="1">
      <c r="A50" s="7" t="s">
        <v>55</v>
      </c>
      <c r="B50" s="4">
        <v>33.420999999999999</v>
      </c>
      <c r="C50" s="4">
        <v>47.743000000000002</v>
      </c>
      <c r="D50" s="4">
        <v>12.407999999999999</v>
      </c>
      <c r="E50" s="4">
        <v>1.0940000000000001</v>
      </c>
      <c r="F50" s="4">
        <v>3.1360000000000001</v>
      </c>
      <c r="G50" s="4">
        <v>1.4E-2</v>
      </c>
      <c r="H50" s="4">
        <v>0.14699999999999999</v>
      </c>
      <c r="I50" s="4">
        <v>98.117000000000004</v>
      </c>
    </row>
    <row r="51" spans="1:9" ht="14.15" customHeight="1">
      <c r="A51" s="7" t="s">
        <v>56</v>
      </c>
      <c r="B51" s="4">
        <v>33.53</v>
      </c>
      <c r="C51" s="4">
        <v>47.039000000000001</v>
      </c>
      <c r="D51" s="4">
        <v>12.846</v>
      </c>
      <c r="E51" s="4">
        <v>1.137</v>
      </c>
      <c r="F51" s="4">
        <v>3.2650000000000001</v>
      </c>
      <c r="G51" s="4">
        <v>4.2000000000000003E-2</v>
      </c>
      <c r="H51" s="4">
        <v>8.7999999999999995E-2</v>
      </c>
      <c r="I51" s="4">
        <v>98.096000000000004</v>
      </c>
    </row>
    <row r="52" spans="1:9" ht="14.15" customHeight="1">
      <c r="A52" s="7" t="s">
        <v>57</v>
      </c>
      <c r="B52" s="4">
        <v>33.500999999999998</v>
      </c>
      <c r="C52" s="4">
        <v>47.557000000000002</v>
      </c>
      <c r="D52" s="4">
        <v>12.148999999999999</v>
      </c>
      <c r="E52" s="4">
        <v>1.1599999999999999</v>
      </c>
      <c r="F52" s="4">
        <v>3.6629999999999998</v>
      </c>
      <c r="G52" s="4">
        <v>0</v>
      </c>
      <c r="H52" s="4">
        <v>9.5000000000000001E-2</v>
      </c>
      <c r="I52" s="4">
        <v>98.265000000000001</v>
      </c>
    </row>
    <row r="53" spans="1:9" ht="14.15" customHeight="1">
      <c r="A53" s="7" t="s">
        <v>58</v>
      </c>
      <c r="B53" s="4">
        <v>33.226999999999997</v>
      </c>
      <c r="C53" s="4">
        <v>48.991</v>
      </c>
      <c r="D53" s="4">
        <v>12.231999999999999</v>
      </c>
      <c r="E53" s="4">
        <v>1.1950000000000001</v>
      </c>
      <c r="F53" s="4">
        <v>2.7269999999999999</v>
      </c>
      <c r="G53" s="4">
        <v>0.154</v>
      </c>
      <c r="H53" s="4">
        <v>0.10299999999999999</v>
      </c>
      <c r="I53" s="4">
        <v>98.820999999999998</v>
      </c>
    </row>
    <row r="54" spans="1:9" ht="14.15" customHeight="1">
      <c r="A54" s="7" t="s">
        <v>59</v>
      </c>
      <c r="B54" s="6">
        <v>32.969000000000001</v>
      </c>
      <c r="C54" s="6">
        <v>47.548000000000002</v>
      </c>
      <c r="D54" s="6">
        <v>11.414999999999999</v>
      </c>
      <c r="E54" s="6">
        <v>1.1639999999999999</v>
      </c>
      <c r="F54" s="6">
        <v>2.54</v>
      </c>
      <c r="G54" s="6">
        <v>1.877</v>
      </c>
      <c r="H54" s="6">
        <v>0.11700000000000001</v>
      </c>
      <c r="I54" s="6">
        <v>97.643000000000001</v>
      </c>
    </row>
    <row r="55" spans="1:9" ht="14.15" customHeight="1">
      <c r="A55" s="7" t="s">
        <v>60</v>
      </c>
      <c r="B55" s="6">
        <v>33.26</v>
      </c>
      <c r="C55" s="6">
        <v>47.587000000000003</v>
      </c>
      <c r="D55" s="6">
        <v>12.505000000000001</v>
      </c>
      <c r="E55" s="6">
        <v>1.1859999999999999</v>
      </c>
      <c r="F55" s="6">
        <v>2.4489999999999998</v>
      </c>
      <c r="G55" s="6">
        <v>0.378</v>
      </c>
      <c r="H55" s="6">
        <v>0.13</v>
      </c>
      <c r="I55" s="6">
        <v>97.510999999999996</v>
      </c>
    </row>
    <row r="56" spans="1:9" ht="14.15" customHeight="1">
      <c r="A56" s="12" t="s">
        <v>44</v>
      </c>
      <c r="B56" s="14">
        <f t="shared" ref="B56:I56" si="2">AVERAGE(B46:B55)</f>
        <v>33.533900000000003</v>
      </c>
      <c r="C56" s="14">
        <f t="shared" si="2"/>
        <v>47.602499999999999</v>
      </c>
      <c r="D56" s="14">
        <f t="shared" si="2"/>
        <v>12.292599999999998</v>
      </c>
      <c r="E56" s="14">
        <f t="shared" si="2"/>
        <v>1.157</v>
      </c>
      <c r="F56" s="14">
        <f t="shared" si="2"/>
        <v>3.1817000000000002</v>
      </c>
      <c r="G56" s="14">
        <f t="shared" si="2"/>
        <v>0.2467</v>
      </c>
      <c r="H56" s="14">
        <f t="shared" si="2"/>
        <v>0.10440000000000001</v>
      </c>
      <c r="I56" s="14">
        <f t="shared" si="2"/>
        <v>98.245500000000007</v>
      </c>
    </row>
    <row r="57" spans="1:9" ht="14.15" customHeight="1">
      <c r="A57" s="17" t="s">
        <v>61</v>
      </c>
      <c r="B57" s="17"/>
      <c r="C57" s="17"/>
      <c r="D57" s="17"/>
      <c r="E57" s="17"/>
      <c r="F57" s="17"/>
      <c r="G57" s="17"/>
      <c r="H57" s="17"/>
      <c r="I57" s="17"/>
    </row>
    <row r="58" spans="1:9" ht="14.15" customHeight="1">
      <c r="A58" s="10" t="s">
        <v>62</v>
      </c>
      <c r="B58" s="13">
        <v>34.082000000000001</v>
      </c>
      <c r="C58" s="13">
        <v>50.448</v>
      </c>
      <c r="D58" s="13">
        <v>11.612</v>
      </c>
      <c r="E58" s="13">
        <v>1.1859999999999999</v>
      </c>
      <c r="F58" s="13">
        <v>0.54400000000000004</v>
      </c>
      <c r="G58" s="13">
        <v>6.7000000000000004E-2</v>
      </c>
      <c r="H58" s="13">
        <v>9.2999999999999999E-2</v>
      </c>
      <c r="I58" s="13">
        <v>98.209000000000003</v>
      </c>
    </row>
    <row r="59" spans="1:9" ht="14.15" customHeight="1">
      <c r="A59" s="7" t="s">
        <v>63</v>
      </c>
      <c r="B59" s="4">
        <v>33.387</v>
      </c>
      <c r="C59" s="4">
        <v>50.820999999999998</v>
      </c>
      <c r="D59" s="4">
        <v>8.3970000000000002</v>
      </c>
      <c r="E59" s="4">
        <v>1.0580000000000001</v>
      </c>
      <c r="F59" s="4">
        <v>1.8120000000000001</v>
      </c>
      <c r="G59" s="4">
        <v>3.2839999999999998</v>
      </c>
      <c r="H59" s="4">
        <v>0.13</v>
      </c>
      <c r="I59" s="4">
        <v>99.033000000000001</v>
      </c>
    </row>
    <row r="60" spans="1:9" ht="14.15" customHeight="1">
      <c r="A60" s="7" t="s">
        <v>64</v>
      </c>
      <c r="B60" s="4">
        <v>33.408999999999999</v>
      </c>
      <c r="C60" s="4">
        <v>50.67</v>
      </c>
      <c r="D60" s="4">
        <v>8.65</v>
      </c>
      <c r="E60" s="4">
        <v>1.167</v>
      </c>
      <c r="F60" s="4">
        <v>2.3239999999999998</v>
      </c>
      <c r="G60" s="4">
        <v>2.573</v>
      </c>
      <c r="H60" s="4">
        <v>0.11799999999999999</v>
      </c>
      <c r="I60" s="4">
        <v>99.07</v>
      </c>
    </row>
    <row r="61" spans="1:9" ht="14.15" customHeight="1">
      <c r="A61" s="7" t="s">
        <v>65</v>
      </c>
      <c r="B61" s="4">
        <v>33.481000000000002</v>
      </c>
      <c r="C61" s="4">
        <v>50.8</v>
      </c>
      <c r="D61" s="4">
        <v>12.086</v>
      </c>
      <c r="E61" s="4">
        <v>1.212</v>
      </c>
      <c r="F61" s="4">
        <v>0.75900000000000001</v>
      </c>
      <c r="G61" s="4">
        <v>0.114</v>
      </c>
      <c r="H61" s="4">
        <v>7.1999999999999995E-2</v>
      </c>
      <c r="I61" s="4">
        <v>98.72</v>
      </c>
    </row>
    <row r="62" spans="1:9" ht="14.15" customHeight="1">
      <c r="A62" s="7" t="s">
        <v>66</v>
      </c>
      <c r="B62" s="4">
        <v>33.588999999999999</v>
      </c>
      <c r="C62" s="4">
        <v>52.139000000000003</v>
      </c>
      <c r="D62" s="4">
        <v>11.707000000000001</v>
      </c>
      <c r="E62" s="4">
        <v>1.153</v>
      </c>
      <c r="F62" s="4">
        <v>0.54700000000000004</v>
      </c>
      <c r="G62" s="4">
        <v>6.0000000000000001E-3</v>
      </c>
      <c r="H62" s="4">
        <v>0.17</v>
      </c>
      <c r="I62" s="4">
        <v>99.477000000000004</v>
      </c>
    </row>
    <row r="63" spans="1:9" ht="14.15" customHeight="1">
      <c r="A63" s="7" t="s">
        <v>67</v>
      </c>
      <c r="B63" s="4">
        <v>33.390999999999998</v>
      </c>
      <c r="C63" s="4">
        <v>52.07</v>
      </c>
      <c r="D63" s="4">
        <v>12.148999999999999</v>
      </c>
      <c r="E63" s="4">
        <v>1.159</v>
      </c>
      <c r="F63" s="4">
        <v>0.65500000000000003</v>
      </c>
      <c r="G63" s="4">
        <v>0</v>
      </c>
      <c r="H63" s="4">
        <v>0.14399999999999999</v>
      </c>
      <c r="I63" s="4">
        <v>99.745000000000005</v>
      </c>
    </row>
    <row r="64" spans="1:9" ht="14.15" customHeight="1">
      <c r="A64" s="7" t="s">
        <v>68</v>
      </c>
      <c r="B64" s="4">
        <v>33.435000000000002</v>
      </c>
      <c r="C64" s="4">
        <v>51.072000000000003</v>
      </c>
      <c r="D64" s="4">
        <v>12.56</v>
      </c>
      <c r="E64" s="4">
        <v>1.206</v>
      </c>
      <c r="F64" s="4">
        <v>0.93</v>
      </c>
      <c r="G64" s="4">
        <v>0</v>
      </c>
      <c r="H64" s="4">
        <v>0.123</v>
      </c>
      <c r="I64" s="4">
        <v>99.495000000000005</v>
      </c>
    </row>
    <row r="65" spans="1:9" ht="14.15" customHeight="1">
      <c r="A65" s="7" t="s">
        <v>69</v>
      </c>
      <c r="B65" s="4">
        <v>33.552999999999997</v>
      </c>
      <c r="C65" s="4">
        <v>50.384999999999998</v>
      </c>
      <c r="D65" s="4">
        <v>13.028</v>
      </c>
      <c r="E65" s="4">
        <v>1.1870000000000001</v>
      </c>
      <c r="F65" s="4">
        <v>0.96899999999999997</v>
      </c>
      <c r="G65" s="4">
        <v>0.24199999999999999</v>
      </c>
      <c r="H65" s="4">
        <v>0.11700000000000001</v>
      </c>
      <c r="I65" s="4">
        <v>99.659000000000006</v>
      </c>
    </row>
    <row r="66" spans="1:9" ht="14.15" customHeight="1">
      <c r="A66" s="7" t="s">
        <v>70</v>
      </c>
      <c r="B66" s="4">
        <v>32.862000000000002</v>
      </c>
      <c r="C66" s="4">
        <v>55.168999999999997</v>
      </c>
      <c r="D66" s="4">
        <v>8.1910000000000007</v>
      </c>
      <c r="E66" s="4">
        <v>0.86099999999999999</v>
      </c>
      <c r="F66" s="4">
        <v>0.94699999999999995</v>
      </c>
      <c r="G66" s="4">
        <v>8.6999999999999994E-2</v>
      </c>
      <c r="H66" s="4">
        <v>0.14599999999999999</v>
      </c>
      <c r="I66" s="4">
        <v>98.266000000000005</v>
      </c>
    </row>
    <row r="67" spans="1:9" ht="14.15" customHeight="1">
      <c r="A67" s="7" t="s">
        <v>71</v>
      </c>
      <c r="B67" s="4">
        <v>32.923999999999999</v>
      </c>
      <c r="C67" s="4">
        <v>52.113</v>
      </c>
      <c r="D67" s="4">
        <v>10.366</v>
      </c>
      <c r="E67" s="4">
        <v>0.91600000000000004</v>
      </c>
      <c r="F67" s="4">
        <v>0.91500000000000004</v>
      </c>
      <c r="G67" s="4">
        <v>0.45500000000000002</v>
      </c>
      <c r="H67" s="4">
        <v>0.159</v>
      </c>
      <c r="I67" s="4">
        <v>97.855999999999995</v>
      </c>
    </row>
    <row r="68" spans="1:9" ht="14.15" customHeight="1">
      <c r="A68" s="7" t="s">
        <v>72</v>
      </c>
      <c r="B68" s="4">
        <v>33.277000000000001</v>
      </c>
      <c r="C68" s="4">
        <v>50.298000000000002</v>
      </c>
      <c r="D68" s="4">
        <v>11.789</v>
      </c>
      <c r="E68" s="4">
        <v>1.0049999999999999</v>
      </c>
      <c r="F68" s="4">
        <v>1.123</v>
      </c>
      <c r="G68" s="4">
        <v>0.38600000000000001</v>
      </c>
      <c r="H68" s="4">
        <v>0.1</v>
      </c>
      <c r="I68" s="4">
        <v>97.991</v>
      </c>
    </row>
    <row r="69" spans="1:9" ht="14.15" customHeight="1">
      <c r="A69" s="7" t="s">
        <v>73</v>
      </c>
      <c r="B69" s="4">
        <v>32.996000000000002</v>
      </c>
      <c r="C69" s="4">
        <v>55.212000000000003</v>
      </c>
      <c r="D69" s="4">
        <v>8.4309999999999992</v>
      </c>
      <c r="E69" s="4">
        <v>1.0229999999999999</v>
      </c>
      <c r="F69" s="4">
        <v>1.101</v>
      </c>
      <c r="G69" s="4">
        <v>0</v>
      </c>
      <c r="H69" s="4">
        <v>0.104</v>
      </c>
      <c r="I69" s="4">
        <v>98.885999999999996</v>
      </c>
    </row>
    <row r="70" spans="1:9" ht="14.15" customHeight="1">
      <c r="A70" s="7" t="s">
        <v>74</v>
      </c>
      <c r="B70" s="4">
        <v>33.078000000000003</v>
      </c>
      <c r="C70" s="4">
        <v>53.293999999999997</v>
      </c>
      <c r="D70" s="4">
        <v>10.398</v>
      </c>
      <c r="E70" s="4">
        <v>1.0389999999999999</v>
      </c>
      <c r="F70" s="4">
        <v>1.085</v>
      </c>
      <c r="G70" s="4">
        <v>0</v>
      </c>
      <c r="H70" s="4">
        <v>0.17100000000000001</v>
      </c>
      <c r="I70" s="4">
        <v>99.064999999999998</v>
      </c>
    </row>
    <row r="71" spans="1:9" ht="14.15" customHeight="1">
      <c r="A71" s="7" t="s">
        <v>75</v>
      </c>
      <c r="B71" s="4">
        <v>33</v>
      </c>
      <c r="C71" s="4">
        <v>53.585999999999999</v>
      </c>
      <c r="D71" s="4">
        <v>9.7240000000000002</v>
      </c>
      <c r="E71" s="4">
        <v>1.0129999999999999</v>
      </c>
      <c r="F71" s="4">
        <v>1.1140000000000001</v>
      </c>
      <c r="G71" s="4">
        <v>0</v>
      </c>
      <c r="H71" s="4">
        <v>0.14899999999999999</v>
      </c>
      <c r="I71" s="4">
        <v>98.596999999999994</v>
      </c>
    </row>
    <row r="72" spans="1:9" ht="14.15" customHeight="1">
      <c r="A72" s="7" t="s">
        <v>76</v>
      </c>
      <c r="B72" s="4">
        <v>33.008000000000003</v>
      </c>
      <c r="C72" s="4">
        <v>54.63</v>
      </c>
      <c r="D72" s="4">
        <v>8.532</v>
      </c>
      <c r="E72" s="4">
        <v>1.0740000000000001</v>
      </c>
      <c r="F72" s="4">
        <v>1.2250000000000001</v>
      </c>
      <c r="G72" s="4">
        <v>1E-3</v>
      </c>
      <c r="H72" s="4">
        <v>0.14299999999999999</v>
      </c>
      <c r="I72" s="4">
        <v>98.644999999999996</v>
      </c>
    </row>
    <row r="73" spans="1:9" ht="14.15" customHeight="1">
      <c r="A73" s="7" t="s">
        <v>77</v>
      </c>
      <c r="B73" s="4">
        <v>33.145000000000003</v>
      </c>
      <c r="C73" s="4">
        <v>53.125999999999998</v>
      </c>
      <c r="D73" s="4">
        <v>9.57</v>
      </c>
      <c r="E73" s="4">
        <v>1.0349999999999999</v>
      </c>
      <c r="F73" s="4">
        <v>1.119</v>
      </c>
      <c r="G73" s="4">
        <v>3.0000000000000001E-3</v>
      </c>
      <c r="H73" s="4">
        <v>0.127</v>
      </c>
      <c r="I73" s="4">
        <v>98.13</v>
      </c>
    </row>
    <row r="74" spans="1:9" ht="14.15" customHeight="1">
      <c r="A74" s="7" t="s">
        <v>78</v>
      </c>
      <c r="B74" s="4">
        <v>33.097999999999999</v>
      </c>
      <c r="C74" s="4">
        <v>51.886000000000003</v>
      </c>
      <c r="D74" s="4">
        <v>11.464</v>
      </c>
      <c r="E74" s="4">
        <v>1.091</v>
      </c>
      <c r="F74" s="4">
        <v>1.069</v>
      </c>
      <c r="G74" s="4">
        <v>0</v>
      </c>
      <c r="H74" s="4">
        <v>0.13</v>
      </c>
      <c r="I74" s="4">
        <v>98.745000000000005</v>
      </c>
    </row>
    <row r="75" spans="1:9" ht="14.15" customHeight="1">
      <c r="A75" s="7" t="s">
        <v>79</v>
      </c>
      <c r="B75" s="4">
        <v>33.195</v>
      </c>
      <c r="C75" s="4">
        <v>50.411999999999999</v>
      </c>
      <c r="D75" s="4">
        <v>12.335000000000001</v>
      </c>
      <c r="E75" s="4">
        <v>1.2370000000000001</v>
      </c>
      <c r="F75" s="4">
        <v>1.161</v>
      </c>
      <c r="G75" s="4">
        <v>0</v>
      </c>
      <c r="H75" s="4">
        <v>9.0999999999999998E-2</v>
      </c>
      <c r="I75" s="4">
        <v>98.444000000000003</v>
      </c>
    </row>
    <row r="76" spans="1:9" ht="14.15" customHeight="1">
      <c r="A76" s="7" t="s">
        <v>80</v>
      </c>
      <c r="B76" s="4">
        <v>33.143999999999998</v>
      </c>
      <c r="C76" s="4">
        <v>51.392000000000003</v>
      </c>
      <c r="D76" s="4">
        <v>10.965999999999999</v>
      </c>
      <c r="E76" s="4">
        <v>1.052</v>
      </c>
      <c r="F76" s="4">
        <v>1.3520000000000001</v>
      </c>
      <c r="G76" s="4">
        <v>8.0000000000000002E-3</v>
      </c>
      <c r="H76" s="4">
        <v>0.16400000000000001</v>
      </c>
      <c r="I76" s="4">
        <v>98.105000000000004</v>
      </c>
    </row>
    <row r="77" spans="1:9" ht="14.15" customHeight="1">
      <c r="A77" s="7" t="s">
        <v>81</v>
      </c>
      <c r="B77" s="4">
        <v>33.130000000000003</v>
      </c>
      <c r="C77" s="4">
        <v>51.444000000000003</v>
      </c>
      <c r="D77" s="4">
        <v>11.119</v>
      </c>
      <c r="E77" s="4">
        <v>1.1439999999999999</v>
      </c>
      <c r="F77" s="4">
        <v>1.2709999999999999</v>
      </c>
      <c r="G77" s="4">
        <v>2.8000000000000001E-2</v>
      </c>
      <c r="H77" s="4">
        <v>0.14699999999999999</v>
      </c>
      <c r="I77" s="4">
        <v>98.292000000000002</v>
      </c>
    </row>
    <row r="78" spans="1:9" ht="14.15" customHeight="1">
      <c r="A78" s="7" t="s">
        <v>82</v>
      </c>
      <c r="B78" s="4">
        <v>33.201999999999998</v>
      </c>
      <c r="C78" s="4">
        <v>51.616999999999997</v>
      </c>
      <c r="D78" s="4">
        <v>12.173</v>
      </c>
      <c r="E78" s="4">
        <v>1.171</v>
      </c>
      <c r="F78" s="4">
        <v>0.54100000000000004</v>
      </c>
      <c r="G78" s="4">
        <v>5.5E-2</v>
      </c>
      <c r="H78" s="4">
        <v>0.17199999999999999</v>
      </c>
      <c r="I78" s="4">
        <v>98.950999999999993</v>
      </c>
    </row>
    <row r="79" spans="1:9" ht="14.15" customHeight="1">
      <c r="A79" s="7" t="s">
        <v>83</v>
      </c>
      <c r="B79" s="4">
        <v>33.404000000000003</v>
      </c>
      <c r="C79" s="4">
        <v>51.154000000000003</v>
      </c>
      <c r="D79" s="4">
        <v>12.384</v>
      </c>
      <c r="E79" s="4">
        <v>1.1659999999999999</v>
      </c>
      <c r="F79" s="4">
        <v>0.73899999999999999</v>
      </c>
      <c r="G79" s="4">
        <v>8.3000000000000004E-2</v>
      </c>
      <c r="H79" s="4">
        <v>0.107</v>
      </c>
      <c r="I79" s="4">
        <v>99.063999999999993</v>
      </c>
    </row>
    <row r="80" spans="1:9" ht="14.15" customHeight="1">
      <c r="A80" s="7" t="s">
        <v>84</v>
      </c>
      <c r="B80" s="4">
        <v>33.256999999999998</v>
      </c>
      <c r="C80" s="4">
        <v>51.283999999999999</v>
      </c>
      <c r="D80" s="4">
        <v>12.422000000000001</v>
      </c>
      <c r="E80" s="4">
        <v>1.196</v>
      </c>
      <c r="F80" s="4">
        <v>0.66700000000000004</v>
      </c>
      <c r="G80" s="4">
        <v>0.13900000000000001</v>
      </c>
      <c r="H80" s="4">
        <v>0.14699999999999999</v>
      </c>
      <c r="I80" s="4">
        <v>99.137</v>
      </c>
    </row>
    <row r="81" spans="1:9" ht="14.15" customHeight="1">
      <c r="A81" s="7" t="s">
        <v>78</v>
      </c>
      <c r="B81" s="4">
        <v>33.067999999999998</v>
      </c>
      <c r="C81" s="4">
        <v>50.817</v>
      </c>
      <c r="D81" s="4">
        <v>12.404999999999999</v>
      </c>
      <c r="E81" s="4">
        <v>1.143</v>
      </c>
      <c r="F81" s="4">
        <v>0.47299999999999998</v>
      </c>
      <c r="G81" s="4">
        <v>8.5999999999999993E-2</v>
      </c>
      <c r="H81" s="4">
        <v>0.13200000000000001</v>
      </c>
      <c r="I81" s="4">
        <v>98.143000000000001</v>
      </c>
    </row>
    <row r="82" spans="1:9" ht="14.15" customHeight="1">
      <c r="A82" s="7" t="s">
        <v>85</v>
      </c>
      <c r="B82" s="4">
        <v>33.283000000000001</v>
      </c>
      <c r="C82" s="4">
        <v>51.851999999999997</v>
      </c>
      <c r="D82" s="4">
        <v>12.275</v>
      </c>
      <c r="E82" s="4">
        <v>1.1200000000000001</v>
      </c>
      <c r="F82" s="4">
        <v>0.38400000000000001</v>
      </c>
      <c r="G82" s="4">
        <v>5.0000000000000001E-3</v>
      </c>
      <c r="H82" s="4">
        <v>0.155</v>
      </c>
      <c r="I82" s="4">
        <v>99.081999999999994</v>
      </c>
    </row>
    <row r="83" spans="1:9" ht="14.15" customHeight="1">
      <c r="A83" s="7" t="s">
        <v>80</v>
      </c>
      <c r="B83" s="4">
        <v>33.335999999999999</v>
      </c>
      <c r="C83" s="4">
        <v>51.322000000000003</v>
      </c>
      <c r="D83" s="4">
        <v>12.04</v>
      </c>
      <c r="E83" s="4">
        <v>1.2230000000000001</v>
      </c>
      <c r="F83" s="4">
        <v>0.755</v>
      </c>
      <c r="G83" s="4">
        <v>2.3E-2</v>
      </c>
      <c r="H83" s="4">
        <v>0.13700000000000001</v>
      </c>
      <c r="I83" s="4">
        <v>98.846999999999994</v>
      </c>
    </row>
    <row r="84" spans="1:9" ht="14.15" customHeight="1">
      <c r="A84" s="12" t="s">
        <v>44</v>
      </c>
      <c r="B84" s="9">
        <f t="shared" ref="B84:I84" si="3">AVERAGE(B58:B83)</f>
        <v>33.259</v>
      </c>
      <c r="C84" s="9">
        <f t="shared" si="3"/>
        <v>51.885115384615396</v>
      </c>
      <c r="D84" s="9">
        <f t="shared" si="3"/>
        <v>11.02973076923077</v>
      </c>
      <c r="E84" s="9">
        <f t="shared" si="3"/>
        <v>1.1091153846153845</v>
      </c>
      <c r="F84" s="9">
        <f t="shared" si="3"/>
        <v>0.98388461538461547</v>
      </c>
      <c r="G84" s="9">
        <f t="shared" si="3"/>
        <v>0.29403846153846153</v>
      </c>
      <c r="H84" s="9">
        <f t="shared" si="3"/>
        <v>0.13261538461538463</v>
      </c>
      <c r="I84" s="9">
        <f t="shared" si="3"/>
        <v>98.755923076923082</v>
      </c>
    </row>
  </sheetData>
  <mergeCells count="5">
    <mergeCell ref="A1:I1"/>
    <mergeCell ref="A3:I3"/>
    <mergeCell ref="A39:I39"/>
    <mergeCell ref="A45:I45"/>
    <mergeCell ref="A57:I57"/>
  </mergeCells>
  <phoneticPr fontId="1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A1C9-BE5C-4628-879B-18DEE45B0F68}">
  <dimension ref="A1"/>
  <sheetViews>
    <sheetView zoomScaleSheetLayoutView="100" workbookViewId="0"/>
  </sheetViews>
  <sheetFormatPr defaultRowHeight="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BEE6-006C-453C-AEA8-20E3B1950704}">
  <dimension ref="A1"/>
  <sheetViews>
    <sheetView zoomScaleSheetLayoutView="100" workbookViewId="0"/>
  </sheetViews>
  <sheetFormatPr defaultRowHeight="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0D8423-4ED6-4A76-8C74-E67FD39D5F9B}"/>
</file>

<file path=customXml/itemProps2.xml><?xml version="1.0" encoding="utf-8"?>
<ds:datastoreItem xmlns:ds="http://schemas.openxmlformats.org/officeDocument/2006/customXml" ds:itemID="{8AF5B3D1-0463-4892-B436-C1589C89AB53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A4DF4333-94CC-4EEE-8FA0-566BCD9DD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王振凯</dc:creator>
  <cp:keywords/>
  <dc:description/>
  <cp:lastModifiedBy>Tharalson, Erik R</cp:lastModifiedBy>
  <cp:revision/>
  <dcterms:created xsi:type="dcterms:W3CDTF">2016-12-02T08:54:00Z</dcterms:created>
  <dcterms:modified xsi:type="dcterms:W3CDTF">2025-05-01T16:04:11Z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ACEDDE89D0134DE496C04D6B39FA85A3_12</vt:lpwstr>
  </property>
  <property fmtid="{D5CDD505-2E9C-101B-9397-08002B2CF9AE}" pid="4" name="ContentTypeId">
    <vt:lpwstr>0x010100E89770C754368F49BB2A63D8816AD496</vt:lpwstr>
  </property>
  <property fmtid="{D5CDD505-2E9C-101B-9397-08002B2CF9AE}" pid="5" name="MediaServiceImageTags">
    <vt:lpwstr/>
  </property>
</Properties>
</file>