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imspp.sharepoint.com/sites/CMMIproject/Shared Documents/Sphalerite_chemistry/Papers/Spreadsheets/"/>
    </mc:Choice>
  </mc:AlternateContent>
  <xr:revisionPtr revIDLastSave="5" documentId="13_ncr:1_{FC70C79B-2F15-DC40-B110-D056127293D3}" xr6:coauthVersionLast="47" xr6:coauthVersionMax="47" xr10:uidLastSave="{02A11918-BE25-499D-A28E-5F7F3768C01E}"/>
  <bookViews>
    <workbookView xWindow="86280" yWindow="8580" windowWidth="29040" windowHeight="17520" xr2:uid="{4182DEA2-C514-B84A-A4D1-DA64E2690150}"/>
  </bookViews>
  <sheets>
    <sheet name="Table 5 LAICPMS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2" i="5" l="1"/>
  <c r="F72" i="5"/>
  <c r="G72" i="5"/>
  <c r="H72" i="5"/>
  <c r="I72" i="5"/>
  <c r="J72" i="5"/>
  <c r="K72" i="5"/>
  <c r="L72" i="5"/>
  <c r="M72" i="5"/>
  <c r="N72" i="5"/>
  <c r="O72" i="5"/>
  <c r="P72" i="5"/>
  <c r="Q72" i="5"/>
  <c r="R72" i="5"/>
  <c r="S72" i="5"/>
  <c r="T72" i="5"/>
  <c r="D72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R71" i="5"/>
  <c r="S71" i="5"/>
  <c r="T71" i="5"/>
  <c r="D71" i="5"/>
  <c r="D68" i="5" l="1"/>
  <c r="D69" i="5"/>
  <c r="D70" i="5"/>
  <c r="I68" i="5"/>
  <c r="I69" i="5"/>
  <c r="I70" i="5"/>
  <c r="T70" i="5"/>
  <c r="S70" i="5"/>
  <c r="R70" i="5"/>
  <c r="Q70" i="5"/>
  <c r="P70" i="5"/>
  <c r="O70" i="5"/>
  <c r="N70" i="5"/>
  <c r="L70" i="5"/>
  <c r="G70" i="5"/>
  <c r="E70" i="5"/>
  <c r="K70" i="5"/>
  <c r="J70" i="5"/>
  <c r="H70" i="5"/>
  <c r="M70" i="5"/>
  <c r="F70" i="5"/>
  <c r="T69" i="5"/>
  <c r="S69" i="5"/>
  <c r="R69" i="5"/>
  <c r="Q69" i="5"/>
  <c r="P69" i="5"/>
  <c r="O69" i="5"/>
  <c r="N69" i="5"/>
  <c r="L69" i="5"/>
  <c r="G69" i="5"/>
  <c r="E69" i="5"/>
  <c r="K69" i="5"/>
  <c r="J69" i="5"/>
  <c r="H69" i="5"/>
  <c r="M69" i="5"/>
  <c r="F69" i="5"/>
  <c r="T68" i="5"/>
  <c r="S68" i="5"/>
  <c r="R68" i="5"/>
  <c r="Q68" i="5"/>
  <c r="P68" i="5"/>
  <c r="O68" i="5"/>
  <c r="N68" i="5"/>
  <c r="L68" i="5"/>
  <c r="G68" i="5"/>
  <c r="E68" i="5"/>
  <c r="K68" i="5"/>
  <c r="J68" i="5"/>
  <c r="H68" i="5"/>
  <c r="M68" i="5"/>
  <c r="F68" i="5"/>
</calcChain>
</file>

<file path=xl/sharedStrings.xml><?xml version="1.0" encoding="utf-8"?>
<sst xmlns="http://schemas.openxmlformats.org/spreadsheetml/2006/main" count="312" uniqueCount="100">
  <si>
    <t>b.d.l.</t>
  </si>
  <si>
    <t>min</t>
  </si>
  <si>
    <t>max</t>
  </si>
  <si>
    <t>average</t>
  </si>
  <si>
    <t>colour</t>
  </si>
  <si>
    <t>type</t>
  </si>
  <si>
    <t>below detection limit</t>
  </si>
  <si>
    <t>Zn66</t>
  </si>
  <si>
    <t>Fe57</t>
  </si>
  <si>
    <t>Cd111</t>
  </si>
  <si>
    <t>Cu65</t>
  </si>
  <si>
    <t>Ga71</t>
  </si>
  <si>
    <t>Ge74</t>
  </si>
  <si>
    <t>Mn55</t>
  </si>
  <si>
    <t>Co59</t>
  </si>
  <si>
    <t>Ag107</t>
  </si>
  <si>
    <t>In115</t>
  </si>
  <si>
    <t>Sn118</t>
  </si>
  <si>
    <t>Sb121</t>
  </si>
  <si>
    <t>Hg202</t>
  </si>
  <si>
    <t>Tl205</t>
  </si>
  <si>
    <t>Pb208</t>
  </si>
  <si>
    <t>Bi209</t>
  </si>
  <si>
    <t>S34</t>
  </si>
  <si>
    <t>LGB06c, sph, p.15</t>
  </si>
  <si>
    <t>LGB06c, sph, p.14</t>
  </si>
  <si>
    <t>LGB06c, sph, p.16</t>
  </si>
  <si>
    <t>LGB06c, sph, p.2</t>
  </si>
  <si>
    <t>LGB06c, sph, p.1</t>
  </si>
  <si>
    <t>LGB06c, sph, p.3</t>
  </si>
  <si>
    <t>LGB06c, sph, p.5</t>
  </si>
  <si>
    <t>LGB06c, sph, p.6</t>
  </si>
  <si>
    <t>LGB06c, sph, p.9</t>
  </si>
  <si>
    <t>LGB06c, sph, p.35</t>
  </si>
  <si>
    <t>LGB06c, sph, p.42</t>
  </si>
  <si>
    <t>LGB06c, sph, p.39</t>
  </si>
  <si>
    <t>LGB06c, sph, p.38</t>
  </si>
  <si>
    <t>LGB06c, sph, p.34</t>
  </si>
  <si>
    <t>LGB06c, sph, p.40</t>
  </si>
  <si>
    <t>LGB06c, sph, p.37</t>
  </si>
  <si>
    <t>LGB06c, sph, p.33</t>
  </si>
  <si>
    <t>LGB06c, sph, p.4</t>
  </si>
  <si>
    <t>LGB06c, sph, p.10</t>
  </si>
  <si>
    <t>LGB06c, sph, p.13</t>
  </si>
  <si>
    <t>LGB04h, sph, p.53</t>
  </si>
  <si>
    <t>LGB06c, sph, p.36</t>
  </si>
  <si>
    <t>LGB06c, sph, p.41</t>
  </si>
  <si>
    <t>LGB06c, sph, p.8</t>
  </si>
  <si>
    <t>LGB06c, sph, p.11</t>
  </si>
  <si>
    <t>LGB06c, sph, p.12</t>
  </si>
  <si>
    <t>LGB06c, sph, p.25</t>
  </si>
  <si>
    <t>LGB06c, sph, p.21</t>
  </si>
  <si>
    <t>LGB06c, sph, p.30</t>
  </si>
  <si>
    <t>LGB06c, sph, p.7</t>
  </si>
  <si>
    <t>LGB04h, sph, p.49</t>
  </si>
  <si>
    <t>LGB04h, sph, p.65</t>
  </si>
  <si>
    <t>LGB04h, sph, p.66</t>
  </si>
  <si>
    <t>LGB04h, sph, p.56</t>
  </si>
  <si>
    <t>LGB04h, sph, p.57</t>
  </si>
  <si>
    <t>LGB06c, sph, p.24</t>
  </si>
  <si>
    <t>LGB06c, sph, p.32</t>
  </si>
  <si>
    <t>LGB04h, sph, p.51</t>
  </si>
  <si>
    <t>LGB04h, sph, p.52</t>
  </si>
  <si>
    <t>LGB04h, sph, p.63</t>
  </si>
  <si>
    <t>LGB04h, sph, p.64</t>
  </si>
  <si>
    <t>LGB04h, sph, p.58</t>
  </si>
  <si>
    <t>LGB04h, sph, p.59</t>
  </si>
  <si>
    <t>LGB04h, sph, p.60</t>
  </si>
  <si>
    <t>LGB04h, sph, p.61</t>
  </si>
  <si>
    <t>LGB04h, sph, p.50</t>
  </si>
  <si>
    <t>LGB06c, sph, p.22</t>
  </si>
  <si>
    <t>LGB06c, sph, p.23</t>
  </si>
  <si>
    <t>LGB06c, sph, p.31</t>
  </si>
  <si>
    <t>LGB06c, sph, p.27</t>
  </si>
  <si>
    <t>LGB06c, sph, p.26</t>
  </si>
  <si>
    <t>LGB04h, sph, p.44</t>
  </si>
  <si>
    <t>LGB04h, sph, p.45</t>
  </si>
  <si>
    <t>LGB04h, sph, p.62</t>
  </si>
  <si>
    <t>LGB06c, sph, p.28</t>
  </si>
  <si>
    <t>LGB06c, sph, p.29</t>
  </si>
  <si>
    <t>LGB04h, sph, p.43</t>
  </si>
  <si>
    <t>LGB04h, sph, p.47</t>
  </si>
  <si>
    <t>LGB04h, sph, p.54</t>
  </si>
  <si>
    <t>LGB04h, sph, p.46</t>
  </si>
  <si>
    <t>LGB04h, sph, p.48</t>
  </si>
  <si>
    <t>LGB04h, sph, p.55</t>
  </si>
  <si>
    <t>Laser spots</t>
  </si>
  <si>
    <t>Sp1</t>
  </si>
  <si>
    <t>Sp2</t>
  </si>
  <si>
    <t>standard</t>
  </si>
  <si>
    <t>n° of analyses</t>
  </si>
  <si>
    <t>median</t>
  </si>
  <si>
    <t>st.dev.</t>
  </si>
  <si>
    <t>colour legend: L (Light Yellow) - Y (Yellow) - B (Brown) - R (Reddish Brown) - D (Dark Brown) (standard by EPMA Zn-content)</t>
  </si>
  <si>
    <r>
      <rPr>
        <b/>
        <sz val="11"/>
        <rFont val="Helvetica"/>
        <family val="2"/>
      </rPr>
      <t>Table S5</t>
    </r>
    <r>
      <rPr>
        <sz val="11"/>
        <rFont val="Helvetica"/>
        <family val="2"/>
      </rPr>
      <t>. LA-ICP-MS analysis (ppm) of sphalerite from the Longobucco area (LGB)</t>
    </r>
  </si>
  <si>
    <t>Light Yellow</t>
  </si>
  <si>
    <t>Yellow</t>
  </si>
  <si>
    <t>Brown</t>
  </si>
  <si>
    <t>Reddish Brown</t>
  </si>
  <si>
    <t>Dark 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</si>
</sst>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name val="Helvetica"/>
      <family val="2"/>
    </font>
    <font>
      <sz val="11"/>
      <color theme="1"/>
      <name val="Helvetica"/>
      <family val="2"/>
    </font>
    <font>
      <b/>
      <sz val="11"/>
      <name val="Helvetica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2" fontId="3" fillId="0" borderId="9" xfId="0" applyNumberFormat="1" applyFont="1" applyBorder="1" applyAlignment="1">
      <alignment horizontal="left" vertical="top"/>
    </xf>
    <xf numFmtId="2" fontId="3" fillId="0" borderId="10" xfId="0" applyNumberFormat="1" applyFont="1" applyBorder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  <xf numFmtId="2" fontId="3" fillId="0" borderId="10" xfId="0" applyNumberFormat="1" applyFont="1" applyBorder="1" applyAlignment="1">
      <alignment horizontal="center"/>
    </xf>
    <xf numFmtId="2" fontId="3" fillId="0" borderId="11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2" fontId="3" fillId="0" borderId="0" xfId="0" applyNumberFormat="1" applyFont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/>
    </xf>
    <xf numFmtId="2" fontId="3" fillId="0" borderId="0" xfId="0" applyNumberFormat="1" applyFont="1" applyAlignment="1">
      <alignment horizontal="center"/>
    </xf>
    <xf numFmtId="2" fontId="3" fillId="0" borderId="5" xfId="0" applyNumberFormat="1" applyFont="1" applyBorder="1" applyAlignment="1">
      <alignment horizontal="center"/>
    </xf>
    <xf numFmtId="2" fontId="3" fillId="0" borderId="7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4" fillId="0" borderId="10" xfId="0" applyFont="1" applyBorder="1" applyAlignment="1">
      <alignment horizontal="left"/>
    </xf>
    <xf numFmtId="0" fontId="3" fillId="0" borderId="11" xfId="0" applyFont="1" applyBorder="1" applyAlignment="1">
      <alignment horizontal="center"/>
    </xf>
    <xf numFmtId="2" fontId="3" fillId="0" borderId="5" xfId="0" applyNumberFormat="1" applyFont="1" applyBorder="1" applyAlignment="1">
      <alignment horizontal="left" vertical="top"/>
    </xf>
    <xf numFmtId="2" fontId="3" fillId="0" borderId="7" xfId="0" applyNumberFormat="1" applyFont="1" applyBorder="1" applyAlignment="1">
      <alignment horizontal="left" vertical="top"/>
    </xf>
    <xf numFmtId="2" fontId="3" fillId="0" borderId="0" xfId="0" applyNumberFormat="1" applyFont="1" applyAlignment="1">
      <alignment horizontal="left"/>
    </xf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3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164" fontId="3" fillId="0" borderId="13" xfId="0" applyNumberFormat="1" applyFont="1" applyBorder="1" applyAlignment="1">
      <alignment horizontal="center"/>
    </xf>
    <xf numFmtId="164" fontId="3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64" fontId="3" fillId="0" borderId="0" xfId="0" applyNumberFormat="1" applyFont="1" applyAlignment="1">
      <alignment horizontal="center" vertical="top"/>
    </xf>
    <xf numFmtId="164" fontId="3" fillId="0" borderId="6" xfId="0" applyNumberFormat="1" applyFont="1" applyBorder="1" applyAlignment="1">
      <alignment horizontal="center" vertical="top"/>
    </xf>
    <xf numFmtId="164" fontId="3" fillId="0" borderId="1" xfId="0" applyNumberFormat="1" applyFont="1" applyBorder="1" applyAlignment="1">
      <alignment horizontal="center" vertical="top"/>
    </xf>
    <xf numFmtId="164" fontId="3" fillId="0" borderId="8" xfId="0" applyNumberFormat="1" applyFont="1" applyBorder="1" applyAlignment="1">
      <alignment horizontal="center" vertical="top"/>
    </xf>
    <xf numFmtId="164" fontId="3" fillId="0" borderId="12" xfId="0" applyNumberFormat="1" applyFont="1" applyBorder="1" applyAlignment="1">
      <alignment horizontal="center"/>
    </xf>
    <xf numFmtId="2" fontId="3" fillId="0" borderId="0" xfId="0" applyNumberFormat="1" applyFont="1" applyBorder="1" applyAlignment="1">
      <alignment horizontal="center" vertical="center"/>
    </xf>
    <xf numFmtId="164" fontId="3" fillId="0" borderId="0" xfId="0" applyNumberFormat="1" applyFont="1" applyBorder="1" applyAlignment="1">
      <alignment horizontal="center"/>
    </xf>
    <xf numFmtId="164" fontId="3" fillId="0" borderId="0" xfId="0" applyNumberFormat="1" applyFont="1" applyBorder="1" applyAlignment="1">
      <alignment horizontal="center" vertical="top"/>
    </xf>
    <xf numFmtId="16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1F956-DE73-A54B-8146-2AB11F291C96}">
  <dimension ref="A1:T74"/>
  <sheetViews>
    <sheetView tabSelected="1" topLeftCell="A4" zoomScale="75" workbookViewId="0">
      <selection activeCell="B5" sqref="B5:B66"/>
    </sheetView>
  </sheetViews>
  <sheetFormatPr defaultColWidth="10.85546875" defaultRowHeight="14.15" x14ac:dyDescent="0.35"/>
  <cols>
    <col min="1" max="1" width="16.5" style="1" bestFit="1" customWidth="1"/>
    <col min="2" max="2" width="8.640625" style="1" bestFit="1" customWidth="1"/>
    <col min="3" max="3" width="7.5" style="1" customWidth="1"/>
    <col min="4" max="4" width="10.85546875" style="1"/>
    <col min="5" max="5" width="11" style="1" bestFit="1" customWidth="1"/>
    <col min="6" max="6" width="12" style="1" bestFit="1" customWidth="1"/>
    <col min="7" max="8" width="11" style="1" bestFit="1" customWidth="1"/>
    <col min="9" max="9" width="11.640625" style="1" bestFit="1" customWidth="1"/>
    <col min="10" max="17" width="11" style="1" bestFit="1" customWidth="1"/>
    <col min="18" max="18" width="10.85546875" style="1"/>
    <col min="19" max="19" width="11" style="1" bestFit="1" customWidth="1"/>
    <col min="20" max="16384" width="10.85546875" style="1"/>
  </cols>
  <sheetData>
    <row r="1" spans="1:20" x14ac:dyDescent="0.35">
      <c r="A1" s="44" t="s">
        <v>94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</row>
    <row r="2" spans="1:20" x14ac:dyDescent="0.35">
      <c r="A2" s="44" t="s">
        <v>93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</row>
    <row r="3" spans="1:20" x14ac:dyDescent="0.35">
      <c r="I3" s="2" t="s">
        <v>89</v>
      </c>
    </row>
    <row r="4" spans="1:20" x14ac:dyDescent="0.35">
      <c r="A4" s="3" t="s">
        <v>86</v>
      </c>
      <c r="B4" s="4" t="s">
        <v>4</v>
      </c>
      <c r="C4" s="5" t="s">
        <v>5</v>
      </c>
      <c r="D4" s="19" t="s">
        <v>23</v>
      </c>
      <c r="E4" s="6" t="s">
        <v>13</v>
      </c>
      <c r="F4" s="6" t="s">
        <v>8</v>
      </c>
      <c r="G4" s="6" t="s">
        <v>14</v>
      </c>
      <c r="H4" s="6" t="s">
        <v>10</v>
      </c>
      <c r="I4" s="6" t="s">
        <v>7</v>
      </c>
      <c r="J4" s="6" t="s">
        <v>11</v>
      </c>
      <c r="K4" s="6" t="s">
        <v>12</v>
      </c>
      <c r="L4" s="6" t="s">
        <v>15</v>
      </c>
      <c r="M4" s="6" t="s">
        <v>9</v>
      </c>
      <c r="N4" s="6" t="s">
        <v>16</v>
      </c>
      <c r="O4" s="6" t="s">
        <v>17</v>
      </c>
      <c r="P4" s="6" t="s">
        <v>18</v>
      </c>
      <c r="Q4" s="6" t="s">
        <v>19</v>
      </c>
      <c r="R4" s="6" t="s">
        <v>20</v>
      </c>
      <c r="S4" s="6" t="s">
        <v>21</v>
      </c>
      <c r="T4" s="7" t="s">
        <v>22</v>
      </c>
    </row>
    <row r="5" spans="1:20" x14ac:dyDescent="0.35">
      <c r="A5" s="20" t="s">
        <v>24</v>
      </c>
      <c r="B5" s="9" t="s">
        <v>95</v>
      </c>
      <c r="C5" s="10" t="s">
        <v>87</v>
      </c>
      <c r="D5" s="29">
        <v>319469.67975065409</v>
      </c>
      <c r="E5" s="28">
        <v>9.9186787348677541</v>
      </c>
      <c r="F5" s="28">
        <v>11183.749154931587</v>
      </c>
      <c r="G5" s="36">
        <v>14.506522507882631</v>
      </c>
      <c r="H5" s="28">
        <v>302.97854413597554</v>
      </c>
      <c r="I5" s="28">
        <v>647000</v>
      </c>
      <c r="J5" s="28">
        <v>74.170059333115788</v>
      </c>
      <c r="K5" s="28">
        <v>90.167077992475058</v>
      </c>
      <c r="L5" s="28">
        <v>24.516682818997197</v>
      </c>
      <c r="M5" s="36">
        <v>2513.1427685036638</v>
      </c>
      <c r="N5" s="28">
        <v>1.3273920612954055</v>
      </c>
      <c r="O5" s="28">
        <v>22.041081859458611</v>
      </c>
      <c r="P5" s="28">
        <v>30.040633595154713</v>
      </c>
      <c r="Q5" s="28">
        <v>25.354646438922867</v>
      </c>
      <c r="R5" s="36" t="s">
        <v>0</v>
      </c>
      <c r="S5" s="28">
        <v>16.689486327537725</v>
      </c>
      <c r="T5" s="29">
        <v>0.2511172985337079</v>
      </c>
    </row>
    <row r="6" spans="1:20" x14ac:dyDescent="0.35">
      <c r="A6" s="20" t="s">
        <v>25</v>
      </c>
      <c r="B6" s="9" t="s">
        <v>95</v>
      </c>
      <c r="C6" s="10" t="s">
        <v>87</v>
      </c>
      <c r="D6" s="29">
        <v>325011.09934821608</v>
      </c>
      <c r="E6" s="28">
        <v>15.616622662084966</v>
      </c>
      <c r="F6" s="28">
        <v>12182.019657746267</v>
      </c>
      <c r="G6" s="36">
        <v>10.531355116925729</v>
      </c>
      <c r="H6" s="28">
        <v>350.08699695213215</v>
      </c>
      <c r="I6" s="28">
        <v>647000</v>
      </c>
      <c r="J6" s="28">
        <v>224.80328630508743</v>
      </c>
      <c r="K6" s="28">
        <v>64.174781698443368</v>
      </c>
      <c r="L6" s="28">
        <v>20.220802770802724</v>
      </c>
      <c r="M6" s="36">
        <v>2328.3950847324436</v>
      </c>
      <c r="N6" s="28">
        <v>0.29097649760579647</v>
      </c>
      <c r="O6" s="28">
        <v>3.4001284246479129</v>
      </c>
      <c r="P6" s="28">
        <v>18.704108913467604</v>
      </c>
      <c r="Q6" s="28">
        <v>23.329541357338638</v>
      </c>
      <c r="R6" s="36" t="s">
        <v>0</v>
      </c>
      <c r="S6" s="28">
        <v>9.0935472190944378</v>
      </c>
      <c r="T6" s="37" t="s">
        <v>0</v>
      </c>
    </row>
    <row r="7" spans="1:20" x14ac:dyDescent="0.35">
      <c r="A7" s="20" t="s">
        <v>26</v>
      </c>
      <c r="B7" s="9" t="s">
        <v>95</v>
      </c>
      <c r="C7" s="10" t="s">
        <v>87</v>
      </c>
      <c r="D7" s="29">
        <v>336410.39773186238</v>
      </c>
      <c r="E7" s="28">
        <v>21.308889327828858</v>
      </c>
      <c r="F7" s="28">
        <v>16283.199971643518</v>
      </c>
      <c r="G7" s="36">
        <v>13.453829686063417</v>
      </c>
      <c r="H7" s="28">
        <v>300.32481579269069</v>
      </c>
      <c r="I7" s="28">
        <v>643500</v>
      </c>
      <c r="J7" s="28">
        <v>132.08413528410031</v>
      </c>
      <c r="K7" s="28">
        <v>66.629491963680266</v>
      </c>
      <c r="L7" s="28">
        <v>17.87097487608645</v>
      </c>
      <c r="M7" s="36">
        <v>2619.0813135741782</v>
      </c>
      <c r="N7" s="28">
        <v>0.33592061576436094</v>
      </c>
      <c r="O7" s="28">
        <v>4.3148501714217211</v>
      </c>
      <c r="P7" s="28">
        <v>54.800684291039268</v>
      </c>
      <c r="Q7" s="28">
        <v>26.394671908867299</v>
      </c>
      <c r="R7" s="36" t="s">
        <v>0</v>
      </c>
      <c r="S7" s="28">
        <v>24.852540365936033</v>
      </c>
      <c r="T7" s="29">
        <v>0.24664408956999612</v>
      </c>
    </row>
    <row r="8" spans="1:20" x14ac:dyDescent="0.35">
      <c r="A8" s="20" t="s">
        <v>27</v>
      </c>
      <c r="B8" s="9" t="s">
        <v>95</v>
      </c>
      <c r="C8" s="10" t="s">
        <v>87</v>
      </c>
      <c r="D8" s="29">
        <v>322182.09375746601</v>
      </c>
      <c r="E8" s="28">
        <v>16.778908114332992</v>
      </c>
      <c r="F8" s="28">
        <v>14870.724181231657</v>
      </c>
      <c r="G8" s="36">
        <v>13.514302637926811</v>
      </c>
      <c r="H8" s="28">
        <v>355.96999850787296</v>
      </c>
      <c r="I8" s="28">
        <v>643500</v>
      </c>
      <c r="J8" s="28">
        <v>258.01013453153581</v>
      </c>
      <c r="K8" s="28">
        <v>78.059021762693263</v>
      </c>
      <c r="L8" s="28">
        <v>42.217390321778119</v>
      </c>
      <c r="M8" s="36">
        <v>2370.3185070532813</v>
      </c>
      <c r="N8" s="28">
        <v>1.6725687417339112</v>
      </c>
      <c r="O8" s="28">
        <v>5.5219685354538282</v>
      </c>
      <c r="P8" s="28">
        <v>76.37681339149519</v>
      </c>
      <c r="Q8" s="28">
        <v>23.652810242337406</v>
      </c>
      <c r="R8" s="36" t="s">
        <v>0</v>
      </c>
      <c r="S8" s="28">
        <v>29.435969730493021</v>
      </c>
      <c r="T8" s="29">
        <v>0.26201590885987491</v>
      </c>
    </row>
    <row r="9" spans="1:20" x14ac:dyDescent="0.35">
      <c r="A9" s="20" t="s">
        <v>28</v>
      </c>
      <c r="B9" s="9" t="s">
        <v>95</v>
      </c>
      <c r="C9" s="10" t="s">
        <v>87</v>
      </c>
      <c r="D9" s="29">
        <v>317400.50032725674</v>
      </c>
      <c r="E9" s="28">
        <v>15.927867108702864</v>
      </c>
      <c r="F9" s="28">
        <v>16483.237022648722</v>
      </c>
      <c r="G9" s="36">
        <v>17.387119603169928</v>
      </c>
      <c r="H9" s="28">
        <v>671.5485819721066</v>
      </c>
      <c r="I9" s="28">
        <v>640900</v>
      </c>
      <c r="J9" s="28">
        <v>105.17761260374644</v>
      </c>
      <c r="K9" s="28">
        <v>233.71257801680261</v>
      </c>
      <c r="L9" s="28">
        <v>49.678711624306239</v>
      </c>
      <c r="M9" s="36">
        <v>2989.6914968330102</v>
      </c>
      <c r="N9" s="28">
        <v>1.1886444616175924</v>
      </c>
      <c r="O9" s="28">
        <v>26.284592547006365</v>
      </c>
      <c r="P9" s="28">
        <v>156.76230332294176</v>
      </c>
      <c r="Q9" s="28">
        <v>23.848617313203771</v>
      </c>
      <c r="R9" s="36" t="s">
        <v>0</v>
      </c>
      <c r="S9" s="28">
        <v>80.163127248427145</v>
      </c>
      <c r="T9" s="29">
        <v>0.14831119001417467</v>
      </c>
    </row>
    <row r="10" spans="1:20" x14ac:dyDescent="0.35">
      <c r="A10" s="20" t="s">
        <v>29</v>
      </c>
      <c r="B10" s="9" t="s">
        <v>95</v>
      </c>
      <c r="C10" s="10" t="s">
        <v>87</v>
      </c>
      <c r="D10" s="29">
        <v>325792.37920403801</v>
      </c>
      <c r="E10" s="28">
        <v>24.395354447197789</v>
      </c>
      <c r="F10" s="28">
        <v>16954.230359148798</v>
      </c>
      <c r="G10" s="36">
        <v>18.398420739456807</v>
      </c>
      <c r="H10" s="28">
        <v>139.79379243703707</v>
      </c>
      <c r="I10" s="28">
        <v>640900</v>
      </c>
      <c r="J10" s="28">
        <v>35.267396545567557</v>
      </c>
      <c r="K10" s="28">
        <v>44.150384449681219</v>
      </c>
      <c r="L10" s="28">
        <v>11.97516158777842</v>
      </c>
      <c r="M10" s="36">
        <v>2335.0759541324383</v>
      </c>
      <c r="N10" s="36" t="s">
        <v>0</v>
      </c>
      <c r="O10" s="28">
        <v>2.485217987650135</v>
      </c>
      <c r="P10" s="28">
        <v>21.652051809691297</v>
      </c>
      <c r="Q10" s="28">
        <v>21.361094968513175</v>
      </c>
      <c r="R10" s="36" t="s">
        <v>0</v>
      </c>
      <c r="S10" s="28">
        <v>12.037070510272267</v>
      </c>
      <c r="T10" s="29">
        <v>0.11108685722100411</v>
      </c>
    </row>
    <row r="11" spans="1:20" x14ac:dyDescent="0.35">
      <c r="A11" s="20" t="s">
        <v>30</v>
      </c>
      <c r="B11" s="9" t="s">
        <v>96</v>
      </c>
      <c r="C11" s="10" t="s">
        <v>87</v>
      </c>
      <c r="D11" s="29">
        <v>330922.27211036277</v>
      </c>
      <c r="E11" s="28">
        <v>30.903274728533791</v>
      </c>
      <c r="F11" s="28">
        <v>21300.548573915192</v>
      </c>
      <c r="G11" s="36">
        <v>23.275269443070446</v>
      </c>
      <c r="H11" s="28">
        <v>206.06254896171512</v>
      </c>
      <c r="I11" s="28">
        <v>638000</v>
      </c>
      <c r="J11" s="28">
        <v>153.97021691367772</v>
      </c>
      <c r="K11" s="28">
        <v>52.255914655964276</v>
      </c>
      <c r="L11" s="28">
        <v>10.803824580069561</v>
      </c>
      <c r="M11" s="36">
        <v>2843.6400970546783</v>
      </c>
      <c r="N11" s="36" t="s">
        <v>0</v>
      </c>
      <c r="O11" s="28">
        <v>2.0959028112899163</v>
      </c>
      <c r="P11" s="28">
        <v>20.659662527839014</v>
      </c>
      <c r="Q11" s="28">
        <v>19.386958647305601</v>
      </c>
      <c r="R11" s="36" t="s">
        <v>0</v>
      </c>
      <c r="S11" s="28">
        <v>11.348289701142971</v>
      </c>
      <c r="T11" s="37" t="s">
        <v>0</v>
      </c>
    </row>
    <row r="12" spans="1:20" x14ac:dyDescent="0.35">
      <c r="A12" s="20" t="s">
        <v>31</v>
      </c>
      <c r="B12" s="9" t="s">
        <v>96</v>
      </c>
      <c r="C12" s="10" t="s">
        <v>87</v>
      </c>
      <c r="D12" s="29">
        <v>336445.3130703108</v>
      </c>
      <c r="E12" s="28">
        <v>24.528909300304836</v>
      </c>
      <c r="F12" s="28">
        <v>18126.944463821696</v>
      </c>
      <c r="G12" s="36">
        <v>18.27853501819806</v>
      </c>
      <c r="H12" s="28">
        <v>950.85437431092214</v>
      </c>
      <c r="I12" s="28">
        <v>638000</v>
      </c>
      <c r="J12" s="28">
        <v>185.15082761509635</v>
      </c>
      <c r="K12" s="28">
        <v>39.418420985453309</v>
      </c>
      <c r="L12" s="28">
        <v>16.736390515823942</v>
      </c>
      <c r="M12" s="36">
        <v>2795.3395709945112</v>
      </c>
      <c r="N12" s="28">
        <v>396.7357443161203</v>
      </c>
      <c r="O12" s="28">
        <v>355.8712001764888</v>
      </c>
      <c r="P12" s="28">
        <v>42.147178691297185</v>
      </c>
      <c r="Q12" s="28">
        <v>15.834385626782861</v>
      </c>
      <c r="R12" s="36" t="s">
        <v>0</v>
      </c>
      <c r="S12" s="28">
        <v>35.010887318336636</v>
      </c>
      <c r="T12" s="29">
        <v>0.21627747577257289</v>
      </c>
    </row>
    <row r="13" spans="1:20" x14ac:dyDescent="0.35">
      <c r="A13" s="20" t="s">
        <v>32</v>
      </c>
      <c r="B13" s="9" t="s">
        <v>96</v>
      </c>
      <c r="C13" s="10" t="s">
        <v>87</v>
      </c>
      <c r="D13" s="29">
        <v>323975.86018434761</v>
      </c>
      <c r="E13" s="28">
        <v>19.70087423982341</v>
      </c>
      <c r="F13" s="28">
        <v>19941.784189973256</v>
      </c>
      <c r="G13" s="36">
        <v>26.905831327161998</v>
      </c>
      <c r="H13" s="28">
        <v>304.94441073021818</v>
      </c>
      <c r="I13" s="28">
        <v>638000</v>
      </c>
      <c r="J13" s="28">
        <v>93.61001287978884</v>
      </c>
      <c r="K13" s="28">
        <v>59.089258964828893</v>
      </c>
      <c r="L13" s="28">
        <v>8.010708426244916</v>
      </c>
      <c r="M13" s="36">
        <v>2389.8472868958979</v>
      </c>
      <c r="N13" s="28">
        <v>8.5399990388238134</v>
      </c>
      <c r="O13" s="28">
        <v>97.735102515223986</v>
      </c>
      <c r="P13" s="28">
        <v>12.75297785830355</v>
      </c>
      <c r="Q13" s="28">
        <v>21.628940851438387</v>
      </c>
      <c r="R13" s="36" t="s">
        <v>0</v>
      </c>
      <c r="S13" s="28">
        <v>7.2399219314363243</v>
      </c>
      <c r="T13" s="29">
        <v>0.13582363705281172</v>
      </c>
    </row>
    <row r="14" spans="1:20" x14ac:dyDescent="0.35">
      <c r="A14" s="20" t="s">
        <v>33</v>
      </c>
      <c r="B14" s="9" t="s">
        <v>96</v>
      </c>
      <c r="C14" s="10" t="s">
        <v>87</v>
      </c>
      <c r="D14" s="29">
        <v>297428.24653178145</v>
      </c>
      <c r="E14" s="28">
        <v>43.453223846499114</v>
      </c>
      <c r="F14" s="28">
        <v>17971.247751344461</v>
      </c>
      <c r="G14" s="28">
        <v>53.097169762893991</v>
      </c>
      <c r="H14" s="28">
        <v>566.40732387732521</v>
      </c>
      <c r="I14" s="28">
        <v>636800</v>
      </c>
      <c r="J14" s="28">
        <v>22.365678560455994</v>
      </c>
      <c r="K14" s="28">
        <v>318.14443682272002</v>
      </c>
      <c r="L14" s="28">
        <v>12.842849918393112</v>
      </c>
      <c r="M14" s="28">
        <v>1846.2527074480574</v>
      </c>
      <c r="N14" s="28">
        <v>0.35429911332072367</v>
      </c>
      <c r="O14" s="28">
        <v>7.3339603734081642</v>
      </c>
      <c r="P14" s="28">
        <v>13.094404622892752</v>
      </c>
      <c r="Q14" s="28">
        <v>19.926078382943857</v>
      </c>
      <c r="R14" s="28">
        <v>0.16418350021824299</v>
      </c>
      <c r="S14" s="28">
        <v>6.9274206344279836</v>
      </c>
      <c r="T14" s="29">
        <v>0.18183622596111648</v>
      </c>
    </row>
    <row r="15" spans="1:20" x14ac:dyDescent="0.35">
      <c r="A15" s="20" t="s">
        <v>34</v>
      </c>
      <c r="B15" s="9" t="s">
        <v>96</v>
      </c>
      <c r="C15" s="10" t="s">
        <v>87</v>
      </c>
      <c r="D15" s="29">
        <v>299259.47720587498</v>
      </c>
      <c r="E15" s="28">
        <v>46.658397560681912</v>
      </c>
      <c r="F15" s="28">
        <v>22700.379560767615</v>
      </c>
      <c r="G15" s="28">
        <v>27.610775319849541</v>
      </c>
      <c r="H15" s="28">
        <v>81.31326425535336</v>
      </c>
      <c r="I15" s="28">
        <v>636600</v>
      </c>
      <c r="J15" s="28">
        <v>0.60264415243201219</v>
      </c>
      <c r="K15" s="36" t="s">
        <v>0</v>
      </c>
      <c r="L15" s="28">
        <v>9.7955932051243195</v>
      </c>
      <c r="M15" s="28">
        <v>4664.0637914526105</v>
      </c>
      <c r="N15" s="28">
        <v>2.2874284180739459</v>
      </c>
      <c r="O15" s="28">
        <v>2.8288655787166341</v>
      </c>
      <c r="P15" s="28">
        <v>2.9876273838592984</v>
      </c>
      <c r="Q15" s="28">
        <v>23.508746521590115</v>
      </c>
      <c r="R15" s="28">
        <v>0.11132121391853057</v>
      </c>
      <c r="S15" s="28">
        <v>1.8914880052105461</v>
      </c>
      <c r="T15" s="37" t="s">
        <v>0</v>
      </c>
    </row>
    <row r="16" spans="1:20" x14ac:dyDescent="0.35">
      <c r="A16" s="20" t="s">
        <v>35</v>
      </c>
      <c r="B16" s="9" t="s">
        <v>96</v>
      </c>
      <c r="C16" s="10" t="s">
        <v>87</v>
      </c>
      <c r="D16" s="29">
        <v>311924.79018443101</v>
      </c>
      <c r="E16" s="28">
        <v>59.576345965156108</v>
      </c>
      <c r="F16" s="28">
        <v>23158.003896847662</v>
      </c>
      <c r="G16" s="28">
        <v>36.049628160285003</v>
      </c>
      <c r="H16" s="28">
        <v>826.4234140841744</v>
      </c>
      <c r="I16" s="28">
        <v>636600</v>
      </c>
      <c r="J16" s="28">
        <v>136.57266119318834</v>
      </c>
      <c r="K16" s="28">
        <v>400.19554735662194</v>
      </c>
      <c r="L16" s="28">
        <v>13.256520534851429</v>
      </c>
      <c r="M16" s="28">
        <v>2177.1575080934886</v>
      </c>
      <c r="N16" s="36" t="s">
        <v>0</v>
      </c>
      <c r="O16" s="28">
        <v>1.8761613788988867</v>
      </c>
      <c r="P16" s="28">
        <v>41.646964930861422</v>
      </c>
      <c r="Q16" s="28">
        <v>18.394721566267041</v>
      </c>
      <c r="R16" s="36" t="s">
        <v>0</v>
      </c>
      <c r="S16" s="28">
        <v>11.042057646199405</v>
      </c>
      <c r="T16" s="29">
        <v>0.61529868083930117</v>
      </c>
    </row>
    <row r="17" spans="1:20" x14ac:dyDescent="0.35">
      <c r="A17" s="20" t="s">
        <v>36</v>
      </c>
      <c r="B17" s="9" t="s">
        <v>96</v>
      </c>
      <c r="C17" s="10" t="s">
        <v>87</v>
      </c>
      <c r="D17" s="29">
        <v>303162.55453561927</v>
      </c>
      <c r="E17" s="28">
        <v>32.069621447408359</v>
      </c>
      <c r="F17" s="28">
        <v>22671.286802101346</v>
      </c>
      <c r="G17" s="28">
        <v>29.587057733498501</v>
      </c>
      <c r="H17" s="28">
        <v>499.12488407437803</v>
      </c>
      <c r="I17" s="28">
        <v>636600</v>
      </c>
      <c r="J17" s="28">
        <v>203.98193734094096</v>
      </c>
      <c r="K17" s="28">
        <v>194.08485745036066</v>
      </c>
      <c r="L17" s="28">
        <v>9.2198714252193383</v>
      </c>
      <c r="M17" s="28">
        <v>2049.3254062041374</v>
      </c>
      <c r="N17" s="28">
        <v>0.87913966691912382</v>
      </c>
      <c r="O17" s="28">
        <v>14.997244342202217</v>
      </c>
      <c r="P17" s="28">
        <v>10.876832146439865</v>
      </c>
      <c r="Q17" s="28">
        <v>17.707222672181263</v>
      </c>
      <c r="R17" s="28">
        <v>8.4000936266026033E-2</v>
      </c>
      <c r="S17" s="28">
        <v>4.4024103933807517</v>
      </c>
      <c r="T17" s="29">
        <v>0.20609569020431512</v>
      </c>
    </row>
    <row r="18" spans="1:20" x14ac:dyDescent="0.35">
      <c r="A18" s="20" t="s">
        <v>37</v>
      </c>
      <c r="B18" s="9" t="s">
        <v>96</v>
      </c>
      <c r="C18" s="10" t="s">
        <v>87</v>
      </c>
      <c r="D18" s="29">
        <v>298984.15623624617</v>
      </c>
      <c r="E18" s="28">
        <v>46.4865921073065</v>
      </c>
      <c r="F18" s="28">
        <v>21422.373194407941</v>
      </c>
      <c r="G18" s="28">
        <v>39.403423239510616</v>
      </c>
      <c r="H18" s="28">
        <v>173.81640866607262</v>
      </c>
      <c r="I18" s="28">
        <v>636600</v>
      </c>
      <c r="J18" s="28">
        <v>40.481184309371294</v>
      </c>
      <c r="K18" s="28">
        <v>23.546650095837517</v>
      </c>
      <c r="L18" s="28">
        <v>14.702106280035048</v>
      </c>
      <c r="M18" s="28">
        <v>2177.0825783785117</v>
      </c>
      <c r="N18" s="28">
        <v>19.574383643589293</v>
      </c>
      <c r="O18" s="28">
        <v>48.76984167925243</v>
      </c>
      <c r="P18" s="28">
        <v>14.328231265174614</v>
      </c>
      <c r="Q18" s="28">
        <v>17.092453351104826</v>
      </c>
      <c r="R18" s="36" t="s">
        <v>0</v>
      </c>
      <c r="S18" s="28">
        <v>27.036938615531938</v>
      </c>
      <c r="T18" s="29">
        <v>0.88372771798161387</v>
      </c>
    </row>
    <row r="19" spans="1:20" x14ac:dyDescent="0.35">
      <c r="A19" s="20" t="s">
        <v>38</v>
      </c>
      <c r="B19" s="9" t="s">
        <v>96</v>
      </c>
      <c r="C19" s="10" t="s">
        <v>87</v>
      </c>
      <c r="D19" s="29">
        <v>304354.37205122237</v>
      </c>
      <c r="E19" s="28">
        <v>35.266830127602439</v>
      </c>
      <c r="F19" s="28">
        <v>24722.133630476874</v>
      </c>
      <c r="G19" s="28">
        <v>31.314213085728916</v>
      </c>
      <c r="H19" s="28">
        <v>613.07140950856001</v>
      </c>
      <c r="I19" s="28">
        <v>632300</v>
      </c>
      <c r="J19" s="28">
        <v>121.49201180318119</v>
      </c>
      <c r="K19" s="28">
        <v>266.43860607383084</v>
      </c>
      <c r="L19" s="28">
        <v>7.0732776517142693</v>
      </c>
      <c r="M19" s="28">
        <v>3249.8822601766406</v>
      </c>
      <c r="N19" s="28">
        <v>0.17596252304535803</v>
      </c>
      <c r="O19" s="28">
        <v>4.7380404975985657</v>
      </c>
      <c r="P19" s="28">
        <v>19.717093404195719</v>
      </c>
      <c r="Q19" s="28">
        <v>18.420643162609903</v>
      </c>
      <c r="R19" s="36" t="s">
        <v>0</v>
      </c>
      <c r="S19" s="28">
        <v>4.6712190093902599</v>
      </c>
      <c r="T19" s="29">
        <v>0.42568649312828333</v>
      </c>
    </row>
    <row r="20" spans="1:20" x14ac:dyDescent="0.35">
      <c r="A20" s="20" t="s">
        <v>39</v>
      </c>
      <c r="B20" s="9" t="s">
        <v>96</v>
      </c>
      <c r="C20" s="10" t="s">
        <v>87</v>
      </c>
      <c r="D20" s="29">
        <v>299865.17959370418</v>
      </c>
      <c r="E20" s="28">
        <v>42.814701573620226</v>
      </c>
      <c r="F20" s="28">
        <v>26017.711084215869</v>
      </c>
      <c r="G20" s="28">
        <v>33.635009200680813</v>
      </c>
      <c r="H20" s="28">
        <v>140.45317822985285</v>
      </c>
      <c r="I20" s="28">
        <v>632300</v>
      </c>
      <c r="J20" s="28">
        <v>15.225804583473762</v>
      </c>
      <c r="K20" s="28">
        <v>48.80612655827543</v>
      </c>
      <c r="L20" s="28">
        <v>6.6715951618897291</v>
      </c>
      <c r="M20" s="28">
        <v>4182.590781411217</v>
      </c>
      <c r="N20" s="36" t="s">
        <v>0</v>
      </c>
      <c r="O20" s="28">
        <v>0.34917858056060314</v>
      </c>
      <c r="P20" s="28">
        <v>3.1645111749161146</v>
      </c>
      <c r="Q20" s="28">
        <v>18.783052819699272</v>
      </c>
      <c r="R20" s="28">
        <v>9.2946283682848227E-2</v>
      </c>
      <c r="S20" s="28">
        <v>1.9441231630153226</v>
      </c>
      <c r="T20" s="29">
        <v>0.11997211507675284</v>
      </c>
    </row>
    <row r="21" spans="1:20" x14ac:dyDescent="0.35">
      <c r="A21" s="20" t="s">
        <v>40</v>
      </c>
      <c r="B21" s="9" t="s">
        <v>96</v>
      </c>
      <c r="C21" s="10" t="s">
        <v>87</v>
      </c>
      <c r="D21" s="29">
        <v>287900.59286983876</v>
      </c>
      <c r="E21" s="28">
        <v>38.097376690300848</v>
      </c>
      <c r="F21" s="28">
        <v>25769.59254474083</v>
      </c>
      <c r="G21" s="28">
        <v>20.284615291128784</v>
      </c>
      <c r="H21" s="28">
        <v>450.56309325260872</v>
      </c>
      <c r="I21" s="28">
        <v>632300</v>
      </c>
      <c r="J21" s="28">
        <v>97.674379833383242</v>
      </c>
      <c r="K21" s="28">
        <v>176.62873744662832</v>
      </c>
      <c r="L21" s="28">
        <v>7.2782864978597068</v>
      </c>
      <c r="M21" s="28">
        <v>3223.9852749010201</v>
      </c>
      <c r="N21" s="28">
        <v>0.26250964122012604</v>
      </c>
      <c r="O21" s="28">
        <v>23.415920924575168</v>
      </c>
      <c r="P21" s="28">
        <v>42.177086652800909</v>
      </c>
      <c r="Q21" s="28">
        <v>17.270010847876168</v>
      </c>
      <c r="R21" s="36" t="s">
        <v>0</v>
      </c>
      <c r="S21" s="28">
        <v>25.569834674745788</v>
      </c>
      <c r="T21" s="29">
        <v>1.338323963522525</v>
      </c>
    </row>
    <row r="22" spans="1:20" x14ac:dyDescent="0.35">
      <c r="A22" s="20" t="s">
        <v>41</v>
      </c>
      <c r="B22" s="9" t="s">
        <v>96</v>
      </c>
      <c r="C22" s="10" t="s">
        <v>87</v>
      </c>
      <c r="D22" s="29">
        <v>321922.71789395245</v>
      </c>
      <c r="E22" s="28">
        <v>29.650525695175254</v>
      </c>
      <c r="F22" s="28">
        <v>24338.229660136116</v>
      </c>
      <c r="G22" s="36">
        <v>37.518895960186406</v>
      </c>
      <c r="H22" s="28">
        <v>73.523265582188216</v>
      </c>
      <c r="I22" s="28">
        <v>629800</v>
      </c>
      <c r="J22" s="28">
        <v>9.2302543937508954</v>
      </c>
      <c r="K22" s="28">
        <v>21.764527282348126</v>
      </c>
      <c r="L22" s="28">
        <v>8.7574738443186337</v>
      </c>
      <c r="M22" s="36">
        <v>2764.298133019679</v>
      </c>
      <c r="N22" s="28">
        <v>3.1007044855490768</v>
      </c>
      <c r="O22" s="28">
        <v>7.0388807091414982</v>
      </c>
      <c r="P22" s="28">
        <v>6.1217123731569405</v>
      </c>
      <c r="Q22" s="28">
        <v>19.986920139085772</v>
      </c>
      <c r="R22" s="36" t="s">
        <v>0</v>
      </c>
      <c r="S22" s="28">
        <v>3.4693043693034675</v>
      </c>
      <c r="T22" s="37" t="s">
        <v>0</v>
      </c>
    </row>
    <row r="23" spans="1:20" x14ac:dyDescent="0.35">
      <c r="A23" s="20" t="s">
        <v>42</v>
      </c>
      <c r="B23" s="9" t="s">
        <v>96</v>
      </c>
      <c r="C23" s="10" t="s">
        <v>87</v>
      </c>
      <c r="D23" s="29">
        <v>317888.4516244019</v>
      </c>
      <c r="E23" s="28">
        <v>36.519955438616002</v>
      </c>
      <c r="F23" s="28">
        <v>28119.349182653434</v>
      </c>
      <c r="G23" s="36">
        <v>77.889396959135425</v>
      </c>
      <c r="H23" s="28">
        <v>543.82613486247385</v>
      </c>
      <c r="I23" s="28">
        <v>622400</v>
      </c>
      <c r="J23" s="28">
        <v>50.507220030919981</v>
      </c>
      <c r="K23" s="28">
        <v>299.24130299247298</v>
      </c>
      <c r="L23" s="28">
        <v>5.1033712745840853</v>
      </c>
      <c r="M23" s="36">
        <v>2103.7176072775574</v>
      </c>
      <c r="N23" s="36" t="s">
        <v>0</v>
      </c>
      <c r="O23" s="36" t="s">
        <v>0</v>
      </c>
      <c r="P23" s="28">
        <v>4.4663920950071878</v>
      </c>
      <c r="Q23" s="28">
        <v>18.358974712696664</v>
      </c>
      <c r="R23" s="36" t="s">
        <v>0</v>
      </c>
      <c r="S23" s="28">
        <v>1.6567727705562565</v>
      </c>
      <c r="T23" s="37" t="s">
        <v>0</v>
      </c>
    </row>
    <row r="24" spans="1:20" x14ac:dyDescent="0.35">
      <c r="A24" s="20" t="s">
        <v>43</v>
      </c>
      <c r="B24" s="9" t="s">
        <v>96</v>
      </c>
      <c r="C24" s="10" t="s">
        <v>87</v>
      </c>
      <c r="D24" s="29">
        <v>313539.62892018439</v>
      </c>
      <c r="E24" s="28">
        <v>32.123253982604744</v>
      </c>
      <c r="F24" s="28">
        <v>28870.062679230032</v>
      </c>
      <c r="G24" s="36">
        <v>38.908335475191627</v>
      </c>
      <c r="H24" s="28">
        <v>422.38820075353328</v>
      </c>
      <c r="I24" s="28">
        <v>622400</v>
      </c>
      <c r="J24" s="28">
        <v>148.92443239358366</v>
      </c>
      <c r="K24" s="28">
        <v>157.11096212825291</v>
      </c>
      <c r="L24" s="28">
        <v>28.28962453891063</v>
      </c>
      <c r="M24" s="36">
        <v>2599.7718828358329</v>
      </c>
      <c r="N24" s="36" t="s">
        <v>0</v>
      </c>
      <c r="O24" s="36" t="s">
        <v>0</v>
      </c>
      <c r="P24" s="28">
        <v>81.348120161843923</v>
      </c>
      <c r="Q24" s="28">
        <v>19.036824265713509</v>
      </c>
      <c r="R24" s="28">
        <v>8.0794846577137563E-2</v>
      </c>
      <c r="S24" s="28">
        <v>34.73159441441252</v>
      </c>
      <c r="T24" s="29">
        <v>0.65851435916987922</v>
      </c>
    </row>
    <row r="25" spans="1:20" x14ac:dyDescent="0.35">
      <c r="A25" s="20" t="s">
        <v>44</v>
      </c>
      <c r="B25" s="9" t="s">
        <v>97</v>
      </c>
      <c r="C25" s="10" t="s">
        <v>88</v>
      </c>
      <c r="D25" s="29">
        <v>323123.01595152274</v>
      </c>
      <c r="E25" s="28">
        <v>150.46420186962993</v>
      </c>
      <c r="F25" s="28">
        <v>31828.870547010563</v>
      </c>
      <c r="G25" s="28">
        <v>134.30829346989898</v>
      </c>
      <c r="H25" s="28">
        <v>242.54022049310788</v>
      </c>
      <c r="I25" s="28">
        <v>647000</v>
      </c>
      <c r="J25" s="28">
        <v>97.225023241759999</v>
      </c>
      <c r="K25" s="28">
        <v>55.539335553758406</v>
      </c>
      <c r="L25" s="28">
        <v>10.363239606093128</v>
      </c>
      <c r="M25" s="28">
        <v>4503.237857968973</v>
      </c>
      <c r="N25" s="28">
        <v>1.4884837611198185</v>
      </c>
      <c r="O25" s="28">
        <v>22.142076119083107</v>
      </c>
      <c r="P25" s="28">
        <v>29.263579684573507</v>
      </c>
      <c r="Q25" s="28">
        <v>36.315826583741334</v>
      </c>
      <c r="R25" s="28">
        <v>0.32606408792180386</v>
      </c>
      <c r="S25" s="28">
        <v>87.7934672694184</v>
      </c>
      <c r="T25" s="29">
        <v>0.20269651849309536</v>
      </c>
    </row>
    <row r="26" spans="1:20" x14ac:dyDescent="0.35">
      <c r="A26" s="20" t="s">
        <v>45</v>
      </c>
      <c r="B26" s="9" t="s">
        <v>97</v>
      </c>
      <c r="C26" s="10" t="s">
        <v>87</v>
      </c>
      <c r="D26" s="29">
        <v>300742.17194752314</v>
      </c>
      <c r="E26" s="28">
        <v>47.74281729161504</v>
      </c>
      <c r="F26" s="28">
        <v>30048.268925490451</v>
      </c>
      <c r="G26" s="28">
        <v>50.36656492445691</v>
      </c>
      <c r="H26" s="28">
        <v>271.79214253834346</v>
      </c>
      <c r="I26" s="28">
        <v>629800</v>
      </c>
      <c r="J26" s="28">
        <v>27.169081621790657</v>
      </c>
      <c r="K26" s="28">
        <v>118.73562958882995</v>
      </c>
      <c r="L26" s="28">
        <v>10.138129995143872</v>
      </c>
      <c r="M26" s="28">
        <v>3613.6013680580618</v>
      </c>
      <c r="N26" s="28">
        <v>0.5327706136428505</v>
      </c>
      <c r="O26" s="28">
        <v>4.9569670831511186</v>
      </c>
      <c r="P26" s="28">
        <v>14.161510594648105</v>
      </c>
      <c r="Q26" s="28">
        <v>19.025194218630531</v>
      </c>
      <c r="R26" s="36" t="s">
        <v>0</v>
      </c>
      <c r="S26" s="28">
        <v>12.452000561413097</v>
      </c>
      <c r="T26" s="29">
        <v>0.26453370765169343</v>
      </c>
    </row>
    <row r="27" spans="1:20" x14ac:dyDescent="0.35">
      <c r="A27" s="20" t="s">
        <v>46</v>
      </c>
      <c r="B27" s="9" t="s">
        <v>97</v>
      </c>
      <c r="C27" s="10" t="s">
        <v>87</v>
      </c>
      <c r="D27" s="29">
        <v>312934.09745413053</v>
      </c>
      <c r="E27" s="28">
        <v>39.949061903916387</v>
      </c>
      <c r="F27" s="28">
        <v>32124.879355805078</v>
      </c>
      <c r="G27" s="28">
        <v>50.597406093574833</v>
      </c>
      <c r="H27" s="28">
        <v>271.0297758698627</v>
      </c>
      <c r="I27" s="28">
        <v>623200</v>
      </c>
      <c r="J27" s="28">
        <v>41.283050345122803</v>
      </c>
      <c r="K27" s="28">
        <v>112.40996001526584</v>
      </c>
      <c r="L27" s="28">
        <v>5.9710730021482714</v>
      </c>
      <c r="M27" s="28">
        <v>2809.4685373557209</v>
      </c>
      <c r="N27" s="28">
        <v>0.24118430807164229</v>
      </c>
      <c r="O27" s="28">
        <v>4.0075175030314627</v>
      </c>
      <c r="P27" s="28">
        <v>8.1505667852309482</v>
      </c>
      <c r="Q27" s="28">
        <v>18.099156656193578</v>
      </c>
      <c r="R27" s="28">
        <v>9.6358344450684572E-2</v>
      </c>
      <c r="S27" s="28">
        <v>3.5724672861878122</v>
      </c>
      <c r="T27" s="29">
        <v>0.1500478507033419</v>
      </c>
    </row>
    <row r="28" spans="1:20" x14ac:dyDescent="0.35">
      <c r="A28" s="20" t="s">
        <v>47</v>
      </c>
      <c r="B28" s="9" t="s">
        <v>97</v>
      </c>
      <c r="C28" s="10" t="s">
        <v>87</v>
      </c>
      <c r="D28" s="29">
        <v>330035.96745415928</v>
      </c>
      <c r="E28" s="28">
        <v>40.11613194864951</v>
      </c>
      <c r="F28" s="28">
        <v>30796.6268287167</v>
      </c>
      <c r="G28" s="36">
        <v>20.992110753635195</v>
      </c>
      <c r="H28" s="28">
        <v>237.43992270510745</v>
      </c>
      <c r="I28" s="28">
        <v>622400</v>
      </c>
      <c r="J28" s="28">
        <v>77.573758381890158</v>
      </c>
      <c r="K28" s="28">
        <v>85.937948110245941</v>
      </c>
      <c r="L28" s="28">
        <v>8.50388696213572</v>
      </c>
      <c r="M28" s="36">
        <v>2863.9039623812505</v>
      </c>
      <c r="N28" s="28">
        <v>0.23449513992939275</v>
      </c>
      <c r="O28" s="28">
        <v>10.132184137299465</v>
      </c>
      <c r="P28" s="28">
        <v>13.106935824510858</v>
      </c>
      <c r="Q28" s="28">
        <v>13.635453612472253</v>
      </c>
      <c r="R28" s="36" t="s">
        <v>0</v>
      </c>
      <c r="S28" s="28">
        <v>7.1166550678892868</v>
      </c>
      <c r="T28" s="37" t="s">
        <v>0</v>
      </c>
    </row>
    <row r="29" spans="1:20" x14ac:dyDescent="0.35">
      <c r="A29" s="20" t="s">
        <v>48</v>
      </c>
      <c r="B29" s="9" t="s">
        <v>97</v>
      </c>
      <c r="C29" s="10" t="s">
        <v>87</v>
      </c>
      <c r="D29" s="29">
        <v>317765.09302149568</v>
      </c>
      <c r="E29" s="28">
        <v>45.066040613017925</v>
      </c>
      <c r="F29" s="28">
        <v>32461.429493491269</v>
      </c>
      <c r="G29" s="36">
        <v>51.686857039593647</v>
      </c>
      <c r="H29" s="28">
        <v>326.00289131871335</v>
      </c>
      <c r="I29" s="28">
        <v>620900</v>
      </c>
      <c r="J29" s="28">
        <v>147.68481272968558</v>
      </c>
      <c r="K29" s="28">
        <v>39.496518149787839</v>
      </c>
      <c r="L29" s="28">
        <v>7.4766307843367992</v>
      </c>
      <c r="M29" s="36">
        <v>2364.2181868730295</v>
      </c>
      <c r="N29" s="28">
        <v>79.226104881139406</v>
      </c>
      <c r="O29" s="28">
        <v>115.96238446400797</v>
      </c>
      <c r="P29" s="28">
        <v>4.9824791859754543</v>
      </c>
      <c r="Q29" s="28">
        <v>19.671431528661785</v>
      </c>
      <c r="R29" s="36" t="s">
        <v>0</v>
      </c>
      <c r="S29" s="28">
        <v>5.2256707123610786</v>
      </c>
      <c r="T29" s="37" t="s">
        <v>0</v>
      </c>
    </row>
    <row r="30" spans="1:20" x14ac:dyDescent="0.35">
      <c r="A30" s="20" t="s">
        <v>49</v>
      </c>
      <c r="B30" s="9" t="s">
        <v>97</v>
      </c>
      <c r="C30" s="10" t="s">
        <v>87</v>
      </c>
      <c r="D30" s="29">
        <v>316655.63508029905</v>
      </c>
      <c r="E30" s="28">
        <v>41.434813254850518</v>
      </c>
      <c r="F30" s="28">
        <v>37463.49786204713</v>
      </c>
      <c r="G30" s="36">
        <v>56.263856173105452</v>
      </c>
      <c r="H30" s="28">
        <v>295.17914699307198</v>
      </c>
      <c r="I30" s="28">
        <v>620900</v>
      </c>
      <c r="J30" s="28">
        <v>275.3322568026731</v>
      </c>
      <c r="K30" s="28">
        <v>64.972395223658751</v>
      </c>
      <c r="L30" s="28">
        <v>3.4592245309582648</v>
      </c>
      <c r="M30" s="36">
        <v>2689.5517044950188</v>
      </c>
      <c r="N30" s="28">
        <v>0.19001778273688541</v>
      </c>
      <c r="O30" s="28">
        <v>20.622263042019011</v>
      </c>
      <c r="P30" s="28">
        <v>1.747751214673847</v>
      </c>
      <c r="Q30" s="28">
        <v>18.386720085619174</v>
      </c>
      <c r="R30" s="36" t="s">
        <v>0</v>
      </c>
      <c r="S30" s="28">
        <v>1.2880417469291516</v>
      </c>
      <c r="T30" s="29">
        <v>7.3711227868891921E-2</v>
      </c>
    </row>
    <row r="31" spans="1:20" x14ac:dyDescent="0.35">
      <c r="A31" s="20" t="s">
        <v>50</v>
      </c>
      <c r="B31" s="9" t="s">
        <v>97</v>
      </c>
      <c r="C31" s="10" t="s">
        <v>88</v>
      </c>
      <c r="D31" s="29">
        <v>310380.16119248228</v>
      </c>
      <c r="E31" s="28">
        <v>61.648897194639638</v>
      </c>
      <c r="F31" s="28">
        <v>40011.813959922387</v>
      </c>
      <c r="G31" s="28">
        <v>75.705359489375283</v>
      </c>
      <c r="H31" s="28">
        <v>309.09952440680263</v>
      </c>
      <c r="I31" s="28">
        <v>620900</v>
      </c>
      <c r="J31" s="28">
        <v>11.55267417366642</v>
      </c>
      <c r="K31" s="28">
        <v>130.16977547501131</v>
      </c>
      <c r="L31" s="28">
        <v>5.6088773401609089</v>
      </c>
      <c r="M31" s="28">
        <v>3621.8220658779205</v>
      </c>
      <c r="N31" s="28">
        <v>0.10955547273127328</v>
      </c>
      <c r="O31" s="28">
        <v>0.69435020112298429</v>
      </c>
      <c r="P31" s="28">
        <v>14.758041624854725</v>
      </c>
      <c r="Q31" s="28">
        <v>15.576628920353029</v>
      </c>
      <c r="R31" s="36" t="s">
        <v>0</v>
      </c>
      <c r="S31" s="28">
        <v>13.080108792626211</v>
      </c>
      <c r="T31" s="37" t="s">
        <v>0</v>
      </c>
    </row>
    <row r="32" spans="1:20" x14ac:dyDescent="0.35">
      <c r="A32" s="20" t="s">
        <v>51</v>
      </c>
      <c r="B32" s="9" t="s">
        <v>97</v>
      </c>
      <c r="C32" s="10" t="s">
        <v>88</v>
      </c>
      <c r="D32" s="29">
        <v>296206.36888900975</v>
      </c>
      <c r="E32" s="28">
        <v>95.556365270473165</v>
      </c>
      <c r="F32" s="28">
        <v>43025.406456215511</v>
      </c>
      <c r="G32" s="28">
        <v>89.055819162284294</v>
      </c>
      <c r="H32" s="28">
        <v>582.08847688297703</v>
      </c>
      <c r="I32" s="28">
        <v>616900</v>
      </c>
      <c r="J32" s="28">
        <v>82.669697451176091</v>
      </c>
      <c r="K32" s="28">
        <v>283.31231067188236</v>
      </c>
      <c r="L32" s="28">
        <v>9.8527951981851185</v>
      </c>
      <c r="M32" s="28">
        <v>2785.782461314076</v>
      </c>
      <c r="N32" s="28">
        <v>3.2642978619446041</v>
      </c>
      <c r="O32" s="28">
        <v>6.0307376807955047</v>
      </c>
      <c r="P32" s="28">
        <v>24.352711700184852</v>
      </c>
      <c r="Q32" s="28">
        <v>18.642578245320891</v>
      </c>
      <c r="R32" s="28">
        <v>0.19222789186663411</v>
      </c>
      <c r="S32" s="28">
        <v>12.913346539231359</v>
      </c>
      <c r="T32" s="37" t="s">
        <v>0</v>
      </c>
    </row>
    <row r="33" spans="1:20" x14ac:dyDescent="0.35">
      <c r="A33" s="20" t="s">
        <v>52</v>
      </c>
      <c r="B33" s="9" t="s">
        <v>97</v>
      </c>
      <c r="C33" s="10" t="s">
        <v>88</v>
      </c>
      <c r="D33" s="29">
        <v>306477.45935564238</v>
      </c>
      <c r="E33" s="28">
        <v>48.09579388045556</v>
      </c>
      <c r="F33" s="28">
        <v>40248.545159993628</v>
      </c>
      <c r="G33" s="28">
        <v>95.77351832209898</v>
      </c>
      <c r="H33" s="28">
        <v>697.36801051750217</v>
      </c>
      <c r="I33" s="28">
        <v>616900</v>
      </c>
      <c r="J33" s="28">
        <v>12.727266300766541</v>
      </c>
      <c r="K33" s="28">
        <v>386.01072193967155</v>
      </c>
      <c r="L33" s="28">
        <v>13.015436915655325</v>
      </c>
      <c r="M33" s="28">
        <v>2374.7372507421337</v>
      </c>
      <c r="N33" s="28">
        <v>1.3880541983605026</v>
      </c>
      <c r="O33" s="28">
        <v>2.0128312401850961</v>
      </c>
      <c r="P33" s="28">
        <v>12.192397184105751</v>
      </c>
      <c r="Q33" s="28">
        <v>14.156336431681799</v>
      </c>
      <c r="R33" s="36" t="s">
        <v>0</v>
      </c>
      <c r="S33" s="28">
        <v>6.1934513819412249</v>
      </c>
      <c r="T33" s="29">
        <v>0.33669444626061618</v>
      </c>
    </row>
    <row r="34" spans="1:20" x14ac:dyDescent="0.35">
      <c r="A34" s="20" t="s">
        <v>53</v>
      </c>
      <c r="B34" s="9" t="s">
        <v>97</v>
      </c>
      <c r="C34" s="10" t="s">
        <v>87</v>
      </c>
      <c r="D34" s="29">
        <v>336738.9250931461</v>
      </c>
      <c r="E34" s="28">
        <v>54.710502430711401</v>
      </c>
      <c r="F34" s="28">
        <v>44312.919530421452</v>
      </c>
      <c r="G34" s="36">
        <v>21.16445796434223</v>
      </c>
      <c r="H34" s="28">
        <v>331.11661843962469</v>
      </c>
      <c r="I34" s="28">
        <v>613600</v>
      </c>
      <c r="J34" s="28">
        <v>256.95395131170716</v>
      </c>
      <c r="K34" s="28">
        <v>53.858054615252058</v>
      </c>
      <c r="L34" s="28">
        <v>10.77811412161172</v>
      </c>
      <c r="M34" s="36">
        <v>3855.3739980566656</v>
      </c>
      <c r="N34" s="36" t="s">
        <v>0</v>
      </c>
      <c r="O34" s="28">
        <v>6.7678725162568609</v>
      </c>
      <c r="P34" s="28">
        <v>31.91493691736126</v>
      </c>
      <c r="Q34" s="28">
        <v>13.803698575688298</v>
      </c>
      <c r="R34" s="28">
        <v>8.9700460986307184E-2</v>
      </c>
      <c r="S34" s="28">
        <v>16.242363163524022</v>
      </c>
      <c r="T34" s="29">
        <v>0.42987412601960129</v>
      </c>
    </row>
    <row r="35" spans="1:20" x14ac:dyDescent="0.35">
      <c r="A35" s="20" t="s">
        <v>54</v>
      </c>
      <c r="B35" s="9" t="s">
        <v>97</v>
      </c>
      <c r="C35" s="10" t="s">
        <v>88</v>
      </c>
      <c r="D35" s="29">
        <v>333724.09471030452</v>
      </c>
      <c r="E35" s="28">
        <v>93.125249851944517</v>
      </c>
      <c r="F35" s="28">
        <v>44602.39128331493</v>
      </c>
      <c r="G35" s="28">
        <v>85.85984451415753</v>
      </c>
      <c r="H35" s="28">
        <v>249.44427709695088</v>
      </c>
      <c r="I35" s="28">
        <v>612000</v>
      </c>
      <c r="J35" s="28">
        <v>72.292564583020905</v>
      </c>
      <c r="K35" s="28">
        <v>69.574128245187723</v>
      </c>
      <c r="L35" s="28">
        <v>13.876603901032516</v>
      </c>
      <c r="M35" s="28">
        <v>5222.9671079665977</v>
      </c>
      <c r="N35" s="36" t="s">
        <v>0</v>
      </c>
      <c r="O35" s="28">
        <v>4.288328915869136</v>
      </c>
      <c r="P35" s="28">
        <v>53.480116642544466</v>
      </c>
      <c r="Q35" s="28">
        <v>21.624867402824034</v>
      </c>
      <c r="R35" s="36" t="s">
        <v>0</v>
      </c>
      <c r="S35" s="28">
        <v>28.802319533413012</v>
      </c>
      <c r="T35" s="37" t="s">
        <v>0</v>
      </c>
    </row>
    <row r="36" spans="1:20" x14ac:dyDescent="0.35">
      <c r="A36" s="20" t="s">
        <v>55</v>
      </c>
      <c r="B36" s="9" t="s">
        <v>97</v>
      </c>
      <c r="C36" s="10" t="s">
        <v>88</v>
      </c>
      <c r="D36" s="29">
        <v>331025.94556884142</v>
      </c>
      <c r="E36" s="28">
        <v>296.27930198880529</v>
      </c>
      <c r="F36" s="28">
        <v>44637.957585584416</v>
      </c>
      <c r="G36" s="28">
        <v>67.39176884810631</v>
      </c>
      <c r="H36" s="28">
        <v>197.088907848622</v>
      </c>
      <c r="I36" s="28">
        <v>612000</v>
      </c>
      <c r="J36" s="28">
        <v>101.85502529144748</v>
      </c>
      <c r="K36" s="28">
        <v>20.44020002818371</v>
      </c>
      <c r="L36" s="28">
        <v>5.2294434110691173</v>
      </c>
      <c r="M36" s="28">
        <v>3476.7922300786613</v>
      </c>
      <c r="N36" s="28">
        <v>0.27153055494250916</v>
      </c>
      <c r="O36" s="28">
        <v>2.5691799576217402</v>
      </c>
      <c r="P36" s="28">
        <v>18.104730593431533</v>
      </c>
      <c r="Q36" s="28">
        <v>27.176315326029496</v>
      </c>
      <c r="R36" s="36" t="s">
        <v>0</v>
      </c>
      <c r="S36" s="28">
        <v>30.729889889716176</v>
      </c>
      <c r="T36" s="37" t="s">
        <v>0</v>
      </c>
    </row>
    <row r="37" spans="1:20" x14ac:dyDescent="0.35">
      <c r="A37" s="20" t="s">
        <v>56</v>
      </c>
      <c r="B37" s="9" t="s">
        <v>97</v>
      </c>
      <c r="C37" s="10" t="s">
        <v>88</v>
      </c>
      <c r="D37" s="29">
        <v>334334.13816956623</v>
      </c>
      <c r="E37" s="28">
        <v>78.055757120397132</v>
      </c>
      <c r="F37" s="28">
        <v>45938.943805957926</v>
      </c>
      <c r="G37" s="28">
        <v>82.203997805039791</v>
      </c>
      <c r="H37" s="28">
        <v>157.81399644781149</v>
      </c>
      <c r="I37" s="28">
        <v>612000</v>
      </c>
      <c r="J37" s="28">
        <v>26.316766775403071</v>
      </c>
      <c r="K37" s="28">
        <v>47.243776735022728</v>
      </c>
      <c r="L37" s="28">
        <v>8.7230907905584374</v>
      </c>
      <c r="M37" s="28">
        <v>2355.6848101146393</v>
      </c>
      <c r="N37" s="28">
        <v>0.19600866664957708</v>
      </c>
      <c r="O37" s="36" t="s">
        <v>0</v>
      </c>
      <c r="P37" s="28">
        <v>6.919232304465039</v>
      </c>
      <c r="Q37" s="28">
        <v>16.771156126207835</v>
      </c>
      <c r="R37" s="36" t="s">
        <v>0</v>
      </c>
      <c r="S37" s="28">
        <v>7.7327602892166878</v>
      </c>
      <c r="T37" s="37" t="s">
        <v>0</v>
      </c>
    </row>
    <row r="38" spans="1:20" x14ac:dyDescent="0.35">
      <c r="A38" s="20" t="s">
        <v>57</v>
      </c>
      <c r="B38" s="9" t="s">
        <v>97</v>
      </c>
      <c r="C38" s="10" t="s">
        <v>88</v>
      </c>
      <c r="D38" s="29">
        <v>330992.64579129487</v>
      </c>
      <c r="E38" s="28">
        <v>89.581426506731731</v>
      </c>
      <c r="F38" s="28">
        <v>50021.330846488294</v>
      </c>
      <c r="G38" s="28">
        <v>130.36692537173715</v>
      </c>
      <c r="H38" s="28">
        <v>575.99432046448931</v>
      </c>
      <c r="I38" s="28">
        <v>600100</v>
      </c>
      <c r="J38" s="28">
        <v>137.46208708011847</v>
      </c>
      <c r="K38" s="28">
        <v>231.95390331247788</v>
      </c>
      <c r="L38" s="28">
        <v>19.121574918558764</v>
      </c>
      <c r="M38" s="28">
        <v>3710.1646210706313</v>
      </c>
      <c r="N38" s="28">
        <v>3.3370979051800962</v>
      </c>
      <c r="O38" s="28">
        <v>43.074729052718482</v>
      </c>
      <c r="P38" s="28">
        <v>13.224986152083552</v>
      </c>
      <c r="Q38" s="28">
        <v>25.956270620796886</v>
      </c>
      <c r="R38" s="36" t="s">
        <v>0</v>
      </c>
      <c r="S38" s="28">
        <v>7.0669641215230223</v>
      </c>
      <c r="T38" s="37" t="s">
        <v>0</v>
      </c>
    </row>
    <row r="39" spans="1:20" x14ac:dyDescent="0.35">
      <c r="A39" s="20" t="s">
        <v>58</v>
      </c>
      <c r="B39" s="9" t="s">
        <v>97</v>
      </c>
      <c r="C39" s="10" t="s">
        <v>88</v>
      </c>
      <c r="D39" s="29">
        <v>351095.1079975444</v>
      </c>
      <c r="E39" s="28">
        <v>134.10165329492875</v>
      </c>
      <c r="F39" s="28">
        <v>54474.690044864503</v>
      </c>
      <c r="G39" s="28">
        <v>151.57181424083652</v>
      </c>
      <c r="H39" s="28">
        <v>528.72890762763609</v>
      </c>
      <c r="I39" s="28">
        <v>600100</v>
      </c>
      <c r="J39" s="28">
        <v>183.01738870539822</v>
      </c>
      <c r="K39" s="28">
        <v>203.97908401936263</v>
      </c>
      <c r="L39" s="28">
        <v>17.891777372806175</v>
      </c>
      <c r="M39" s="28">
        <v>3731.2644115288394</v>
      </c>
      <c r="N39" s="28">
        <v>0.12336943603818423</v>
      </c>
      <c r="O39" s="28">
        <v>2.1234992434963282</v>
      </c>
      <c r="P39" s="28">
        <v>10.124243801247744</v>
      </c>
      <c r="Q39" s="28">
        <v>20.176709811402738</v>
      </c>
      <c r="R39" s="36" t="s">
        <v>0</v>
      </c>
      <c r="S39" s="28">
        <v>7.0656581173958664</v>
      </c>
      <c r="T39" s="37" t="s">
        <v>0</v>
      </c>
    </row>
    <row r="40" spans="1:20" x14ac:dyDescent="0.35">
      <c r="A40" s="20" t="s">
        <v>59</v>
      </c>
      <c r="B40" s="9" t="s">
        <v>97</v>
      </c>
      <c r="C40" s="10" t="s">
        <v>88</v>
      </c>
      <c r="D40" s="29">
        <v>330538.42004123889</v>
      </c>
      <c r="E40" s="28">
        <v>64.138331987269922</v>
      </c>
      <c r="F40" s="28">
        <v>54361.605452873948</v>
      </c>
      <c r="G40" s="28">
        <v>106.13168531856182</v>
      </c>
      <c r="H40" s="28">
        <v>590.74680393418635</v>
      </c>
      <c r="I40" s="28">
        <v>597400</v>
      </c>
      <c r="J40" s="28">
        <v>59.366676073178716</v>
      </c>
      <c r="K40" s="28">
        <v>287.7407596804012</v>
      </c>
      <c r="L40" s="28">
        <v>7.2012688552955266</v>
      </c>
      <c r="M40" s="28">
        <v>3214.8855068510056</v>
      </c>
      <c r="N40" s="36" t="s">
        <v>0</v>
      </c>
      <c r="O40" s="36" t="s">
        <v>0</v>
      </c>
      <c r="P40" s="28">
        <v>12.586771014146532</v>
      </c>
      <c r="Q40" s="28">
        <v>13.459887034677465</v>
      </c>
      <c r="R40" s="36" t="s">
        <v>0</v>
      </c>
      <c r="S40" s="28">
        <v>9.6635447384571709</v>
      </c>
      <c r="T40" s="29">
        <v>0.71838120755771673</v>
      </c>
    </row>
    <row r="41" spans="1:20" x14ac:dyDescent="0.35">
      <c r="A41" s="20" t="s">
        <v>60</v>
      </c>
      <c r="B41" s="9" t="s">
        <v>97</v>
      </c>
      <c r="C41" s="10" t="s">
        <v>88</v>
      </c>
      <c r="D41" s="29">
        <v>304548.06516191084</v>
      </c>
      <c r="E41" s="28">
        <v>68.30221590073414</v>
      </c>
      <c r="F41" s="28">
        <v>49117.675347114113</v>
      </c>
      <c r="G41" s="28">
        <v>137.27578850867363</v>
      </c>
      <c r="H41" s="28">
        <v>563.73934457929238</v>
      </c>
      <c r="I41" s="28">
        <v>597400</v>
      </c>
      <c r="J41" s="28">
        <v>102.34865138490868</v>
      </c>
      <c r="K41" s="28">
        <v>272.63945034192267</v>
      </c>
      <c r="L41" s="28">
        <v>13.119624131292721</v>
      </c>
      <c r="M41" s="28">
        <v>2913.4975024614851</v>
      </c>
      <c r="N41" s="36" t="s">
        <v>0</v>
      </c>
      <c r="O41" s="28">
        <v>1.1528438576032378</v>
      </c>
      <c r="P41" s="28">
        <v>6.0986969586360118</v>
      </c>
      <c r="Q41" s="28">
        <v>12.714020377749589</v>
      </c>
      <c r="R41" s="36" t="s">
        <v>0</v>
      </c>
      <c r="S41" s="28">
        <v>2.1834680428748756</v>
      </c>
      <c r="T41" s="29">
        <v>0.1386341684525082</v>
      </c>
    </row>
    <row r="42" spans="1:20" x14ac:dyDescent="0.35">
      <c r="A42" s="20" t="s">
        <v>61</v>
      </c>
      <c r="B42" s="9" t="s">
        <v>97</v>
      </c>
      <c r="C42" s="10" t="s">
        <v>88</v>
      </c>
      <c r="D42" s="29">
        <v>328599.90044480015</v>
      </c>
      <c r="E42" s="28">
        <v>97.430064970757527</v>
      </c>
      <c r="F42" s="28">
        <v>54511.69639808689</v>
      </c>
      <c r="G42" s="28">
        <v>85.546863776038464</v>
      </c>
      <c r="H42" s="28">
        <v>253.92885519437604</v>
      </c>
      <c r="I42" s="28">
        <v>597300</v>
      </c>
      <c r="J42" s="28">
        <v>41.130538727979207</v>
      </c>
      <c r="K42" s="28">
        <v>110.3730655187865</v>
      </c>
      <c r="L42" s="28">
        <v>14.24533378775577</v>
      </c>
      <c r="M42" s="28">
        <v>4771.8782117979172</v>
      </c>
      <c r="N42" s="36" t="s">
        <v>0</v>
      </c>
      <c r="O42" s="28">
        <v>1.3110076223815019</v>
      </c>
      <c r="P42" s="28">
        <v>17.333025395860588</v>
      </c>
      <c r="Q42" s="28">
        <v>20.769979802271681</v>
      </c>
      <c r="R42" s="36" t="s">
        <v>0</v>
      </c>
      <c r="S42" s="28">
        <v>18.593287959015729</v>
      </c>
      <c r="T42" s="37" t="s">
        <v>0</v>
      </c>
    </row>
    <row r="43" spans="1:20" x14ac:dyDescent="0.35">
      <c r="A43" s="20" t="s">
        <v>62</v>
      </c>
      <c r="B43" s="9" t="s">
        <v>97</v>
      </c>
      <c r="C43" s="10" t="s">
        <v>88</v>
      </c>
      <c r="D43" s="29">
        <v>311398.59751257382</v>
      </c>
      <c r="E43" s="28">
        <v>78.939307072688024</v>
      </c>
      <c r="F43" s="28">
        <v>52674.137124030356</v>
      </c>
      <c r="G43" s="28">
        <v>93.664520142566118</v>
      </c>
      <c r="H43" s="28">
        <v>605.854406194273</v>
      </c>
      <c r="I43" s="28">
        <v>597300</v>
      </c>
      <c r="J43" s="28">
        <v>38.434471882184212</v>
      </c>
      <c r="K43" s="28">
        <v>337.76855384684109</v>
      </c>
      <c r="L43" s="28">
        <v>13.2660085068295</v>
      </c>
      <c r="M43" s="28">
        <v>2507.113718894971</v>
      </c>
      <c r="N43" s="28">
        <v>7.4773734138090617E-2</v>
      </c>
      <c r="O43" s="28">
        <v>1.5183833277633434</v>
      </c>
      <c r="P43" s="28">
        <v>12.547008011433725</v>
      </c>
      <c r="Q43" s="28">
        <v>18.237576242984872</v>
      </c>
      <c r="R43" s="28">
        <v>0.12295913074890903</v>
      </c>
      <c r="S43" s="28">
        <v>4.6677860956909818</v>
      </c>
      <c r="T43" s="37" t="s">
        <v>0</v>
      </c>
    </row>
    <row r="44" spans="1:20" x14ac:dyDescent="0.35">
      <c r="A44" s="20" t="s">
        <v>63</v>
      </c>
      <c r="B44" s="9" t="s">
        <v>98</v>
      </c>
      <c r="C44" s="10" t="s">
        <v>88</v>
      </c>
      <c r="D44" s="29">
        <v>330032.24338681827</v>
      </c>
      <c r="E44" s="28">
        <v>164.08563336582873</v>
      </c>
      <c r="F44" s="28">
        <v>55384.5450125856</v>
      </c>
      <c r="G44" s="28">
        <v>67.912997240955832</v>
      </c>
      <c r="H44" s="28">
        <v>737.24743963887033</v>
      </c>
      <c r="I44" s="28">
        <v>600100</v>
      </c>
      <c r="J44" s="28">
        <v>332.62731454869731</v>
      </c>
      <c r="K44" s="28">
        <v>81.529649889449331</v>
      </c>
      <c r="L44" s="28">
        <v>22.251424288534636</v>
      </c>
      <c r="M44" s="28">
        <v>3647.2855497469013</v>
      </c>
      <c r="N44" s="28">
        <v>41.613815545860597</v>
      </c>
      <c r="O44" s="28">
        <v>318.47204400740839</v>
      </c>
      <c r="P44" s="28">
        <v>25.981024791045051</v>
      </c>
      <c r="Q44" s="28">
        <v>15.809104897821751</v>
      </c>
      <c r="R44" s="28">
        <v>0.12078656466580655</v>
      </c>
      <c r="S44" s="28">
        <v>34.298286950716268</v>
      </c>
      <c r="T44" s="37" t="s">
        <v>0</v>
      </c>
    </row>
    <row r="45" spans="1:20" x14ac:dyDescent="0.35">
      <c r="A45" s="20" t="s">
        <v>64</v>
      </c>
      <c r="B45" s="9" t="s">
        <v>98</v>
      </c>
      <c r="C45" s="10" t="s">
        <v>88</v>
      </c>
      <c r="D45" s="29">
        <v>326740.813437542</v>
      </c>
      <c r="E45" s="28">
        <v>92.137465563546215</v>
      </c>
      <c r="F45" s="28">
        <v>58286.616596020023</v>
      </c>
      <c r="G45" s="28">
        <v>74.943661593523728</v>
      </c>
      <c r="H45" s="28">
        <v>252.29929091862186</v>
      </c>
      <c r="I45" s="28">
        <v>600100</v>
      </c>
      <c r="J45" s="28">
        <v>155.65832094937227</v>
      </c>
      <c r="K45" s="28">
        <v>18.878099143994582</v>
      </c>
      <c r="L45" s="28">
        <v>8.0122550229794882</v>
      </c>
      <c r="M45" s="28">
        <v>3684.7387153306522</v>
      </c>
      <c r="N45" s="28">
        <v>0.97710345894824291</v>
      </c>
      <c r="O45" s="28">
        <v>6.5311972836243131</v>
      </c>
      <c r="P45" s="28">
        <v>7.341406943430056</v>
      </c>
      <c r="Q45" s="28">
        <v>15.568207626118094</v>
      </c>
      <c r="R45" s="36" t="s">
        <v>0</v>
      </c>
      <c r="S45" s="28">
        <v>7.1638675053070662</v>
      </c>
      <c r="T45" s="37" t="s">
        <v>0</v>
      </c>
    </row>
    <row r="46" spans="1:20" x14ac:dyDescent="0.35">
      <c r="A46" s="20" t="s">
        <v>65</v>
      </c>
      <c r="B46" s="9" t="s">
        <v>98</v>
      </c>
      <c r="C46" s="10" t="s">
        <v>88</v>
      </c>
      <c r="D46" s="29">
        <v>342945.67936211202</v>
      </c>
      <c r="E46" s="28">
        <v>97.285269582126361</v>
      </c>
      <c r="F46" s="28">
        <v>58635.476721420266</v>
      </c>
      <c r="G46" s="28">
        <v>123.22984870989971</v>
      </c>
      <c r="H46" s="28">
        <v>636.07507914767609</v>
      </c>
      <c r="I46" s="28">
        <v>596900</v>
      </c>
      <c r="J46" s="28">
        <v>136.86302186182351</v>
      </c>
      <c r="K46" s="28">
        <v>264.74103749437722</v>
      </c>
      <c r="L46" s="28">
        <v>20.918319327416942</v>
      </c>
      <c r="M46" s="28">
        <v>3058.541018099801</v>
      </c>
      <c r="N46" s="28">
        <v>4.8803730549854464E-2</v>
      </c>
      <c r="O46" s="28">
        <v>2.2254488273314816</v>
      </c>
      <c r="P46" s="28">
        <v>6.3505055705425884</v>
      </c>
      <c r="Q46" s="28">
        <v>15.282985556385036</v>
      </c>
      <c r="R46" s="36" t="s">
        <v>0</v>
      </c>
      <c r="S46" s="28">
        <v>4.985932549247063</v>
      </c>
      <c r="T46" s="37" t="s">
        <v>0</v>
      </c>
    </row>
    <row r="47" spans="1:20" x14ac:dyDescent="0.35">
      <c r="A47" s="20" t="s">
        <v>66</v>
      </c>
      <c r="B47" s="9" t="s">
        <v>98</v>
      </c>
      <c r="C47" s="10" t="s">
        <v>88</v>
      </c>
      <c r="D47" s="29">
        <v>328088.99951352208</v>
      </c>
      <c r="E47" s="28">
        <v>139.71261273339945</v>
      </c>
      <c r="F47" s="28">
        <v>57450.90548615624</v>
      </c>
      <c r="G47" s="28">
        <v>70.971821789597129</v>
      </c>
      <c r="H47" s="28">
        <v>164.67897831968224</v>
      </c>
      <c r="I47" s="28">
        <v>596900</v>
      </c>
      <c r="J47" s="28">
        <v>24.038089376168475</v>
      </c>
      <c r="K47" s="28">
        <v>21.056068765075416</v>
      </c>
      <c r="L47" s="28">
        <v>9.076552189920486</v>
      </c>
      <c r="M47" s="28">
        <v>5078.7847749909279</v>
      </c>
      <c r="N47" s="28">
        <v>0.23153551483888246</v>
      </c>
      <c r="O47" s="28">
        <v>1.3111552322956463</v>
      </c>
      <c r="P47" s="28">
        <v>23.492625380708184</v>
      </c>
      <c r="Q47" s="28">
        <v>16.976706820760757</v>
      </c>
      <c r="R47" s="28">
        <v>0.20537571300185675</v>
      </c>
      <c r="S47" s="28">
        <v>47.969703628789745</v>
      </c>
      <c r="T47" s="29">
        <v>9.5315895522287725E-2</v>
      </c>
    </row>
    <row r="48" spans="1:20" x14ac:dyDescent="0.35">
      <c r="A48" s="20" t="s">
        <v>67</v>
      </c>
      <c r="B48" s="9" t="s">
        <v>98</v>
      </c>
      <c r="C48" s="10" t="s">
        <v>88</v>
      </c>
      <c r="D48" s="29">
        <v>300614.12420242012</v>
      </c>
      <c r="E48" s="28">
        <v>136.77419074409391</v>
      </c>
      <c r="F48" s="28">
        <v>61105.828623483998</v>
      </c>
      <c r="G48" s="28">
        <v>62.124330434167121</v>
      </c>
      <c r="H48" s="28">
        <v>251.27835366784402</v>
      </c>
      <c r="I48" s="28">
        <v>596900</v>
      </c>
      <c r="J48" s="28">
        <v>69.404680635654699</v>
      </c>
      <c r="K48" s="28">
        <v>30.696768909221785</v>
      </c>
      <c r="L48" s="28">
        <v>12.908957085237894</v>
      </c>
      <c r="M48" s="28">
        <v>5329.222990985626</v>
      </c>
      <c r="N48" s="28">
        <v>7.345804168182605</v>
      </c>
      <c r="O48" s="28">
        <v>58.769794298693562</v>
      </c>
      <c r="P48" s="28">
        <v>61.35869767416748</v>
      </c>
      <c r="Q48" s="28">
        <v>16.847956829061694</v>
      </c>
      <c r="R48" s="36" t="s">
        <v>0</v>
      </c>
      <c r="S48" s="28">
        <v>60.887168255573997</v>
      </c>
      <c r="T48" s="29">
        <v>0.23677518868253977</v>
      </c>
    </row>
    <row r="49" spans="1:20" x14ac:dyDescent="0.35">
      <c r="A49" s="20" t="s">
        <v>68</v>
      </c>
      <c r="B49" s="9" t="s">
        <v>98</v>
      </c>
      <c r="C49" s="10" t="s">
        <v>88</v>
      </c>
      <c r="D49" s="29">
        <v>329674.37512925331</v>
      </c>
      <c r="E49" s="28">
        <v>103.39959782189375</v>
      </c>
      <c r="F49" s="28">
        <v>61838.359609231462</v>
      </c>
      <c r="G49" s="28">
        <v>86.395450183238466</v>
      </c>
      <c r="H49" s="28">
        <v>392.63621987949602</v>
      </c>
      <c r="I49" s="28">
        <v>596900</v>
      </c>
      <c r="J49" s="28">
        <v>302.20696858286317</v>
      </c>
      <c r="K49" s="28">
        <v>24.561491606295654</v>
      </c>
      <c r="L49" s="28">
        <v>16.765274165668682</v>
      </c>
      <c r="M49" s="28">
        <v>3277.2030344298373</v>
      </c>
      <c r="N49" s="28">
        <v>7.602804751525178</v>
      </c>
      <c r="O49" s="28">
        <v>38.787550736258318</v>
      </c>
      <c r="P49" s="28">
        <v>1.6984746236310524</v>
      </c>
      <c r="Q49" s="28">
        <v>13.980882622295024</v>
      </c>
      <c r="R49" s="36" t="s">
        <v>0</v>
      </c>
      <c r="S49" s="28">
        <v>2.2462813606687417</v>
      </c>
      <c r="T49" s="37" t="s">
        <v>0</v>
      </c>
    </row>
    <row r="50" spans="1:20" x14ac:dyDescent="0.35">
      <c r="A50" s="20" t="s">
        <v>69</v>
      </c>
      <c r="B50" s="9" t="s">
        <v>98</v>
      </c>
      <c r="C50" s="10" t="s">
        <v>88</v>
      </c>
      <c r="D50" s="29">
        <v>314143.99209208356</v>
      </c>
      <c r="E50" s="28">
        <v>120.26207073615389</v>
      </c>
      <c r="F50" s="28">
        <v>60126.446422827263</v>
      </c>
      <c r="G50" s="28">
        <v>100.74643648994962</v>
      </c>
      <c r="H50" s="28">
        <v>520.00479386850884</v>
      </c>
      <c r="I50" s="28">
        <v>594500</v>
      </c>
      <c r="J50" s="28">
        <v>68.626077968577832</v>
      </c>
      <c r="K50" s="28">
        <v>244.2046844288748</v>
      </c>
      <c r="L50" s="28">
        <v>16.167459961472044</v>
      </c>
      <c r="M50" s="28">
        <v>4296.5728615592461</v>
      </c>
      <c r="N50" s="28">
        <v>6.3865129078746502E-2</v>
      </c>
      <c r="O50" s="28">
        <v>0.59084522000842843</v>
      </c>
      <c r="P50" s="28">
        <v>20.954319485611187</v>
      </c>
      <c r="Q50" s="28">
        <v>18.657093519599464</v>
      </c>
      <c r="R50" s="28">
        <v>0.23948986224107272</v>
      </c>
      <c r="S50" s="28">
        <v>45.895337096858341</v>
      </c>
      <c r="T50" s="29">
        <v>0.18460607640756393</v>
      </c>
    </row>
    <row r="51" spans="1:20" x14ac:dyDescent="0.35">
      <c r="A51" s="20" t="s">
        <v>70</v>
      </c>
      <c r="B51" s="9" t="s">
        <v>98</v>
      </c>
      <c r="C51" s="10" t="s">
        <v>88</v>
      </c>
      <c r="D51" s="29">
        <v>301671.20723218523</v>
      </c>
      <c r="E51" s="28">
        <v>132.78582005769499</v>
      </c>
      <c r="F51" s="28">
        <v>56398.700133141872</v>
      </c>
      <c r="G51" s="28">
        <v>89.779221984935774</v>
      </c>
      <c r="H51" s="28">
        <v>407.28897333623394</v>
      </c>
      <c r="I51" s="28">
        <v>593700</v>
      </c>
      <c r="J51" s="28">
        <v>77.70244527895268</v>
      </c>
      <c r="K51" s="28">
        <v>155.29690040596438</v>
      </c>
      <c r="L51" s="28">
        <v>10.996470929437777</v>
      </c>
      <c r="M51" s="28">
        <v>3558.2610998188711</v>
      </c>
      <c r="N51" s="28">
        <v>0.19389085985374141</v>
      </c>
      <c r="O51" s="28">
        <v>3.1907532919390773</v>
      </c>
      <c r="P51" s="28">
        <v>16.225128249854237</v>
      </c>
      <c r="Q51" s="28">
        <v>18.876792868594134</v>
      </c>
      <c r="R51" s="28">
        <v>0.60873574678053299</v>
      </c>
      <c r="S51" s="28">
        <v>14.907795887825724</v>
      </c>
      <c r="T51" s="29">
        <v>0.51098585840879573</v>
      </c>
    </row>
    <row r="52" spans="1:20" x14ac:dyDescent="0.35">
      <c r="A52" s="20" t="s">
        <v>71</v>
      </c>
      <c r="B52" s="9" t="s">
        <v>98</v>
      </c>
      <c r="C52" s="10" t="s">
        <v>88</v>
      </c>
      <c r="D52" s="29">
        <v>320634.89306987403</v>
      </c>
      <c r="E52" s="28">
        <v>160.99833787131641</v>
      </c>
      <c r="F52" s="28">
        <v>56235.607063291398</v>
      </c>
      <c r="G52" s="28">
        <v>76.491436439271865</v>
      </c>
      <c r="H52" s="28">
        <v>299.85141821979693</v>
      </c>
      <c r="I52" s="28">
        <v>593700</v>
      </c>
      <c r="J52" s="28">
        <v>86.140892525257655</v>
      </c>
      <c r="K52" s="28">
        <v>84.514346884278467</v>
      </c>
      <c r="L52" s="28">
        <v>6.8250928849459074</v>
      </c>
      <c r="M52" s="28">
        <v>4320.3318417877344</v>
      </c>
      <c r="N52" s="28">
        <v>2.4354912453936661</v>
      </c>
      <c r="O52" s="28">
        <v>5.2748353076367511</v>
      </c>
      <c r="P52" s="28">
        <v>23.746642742989955</v>
      </c>
      <c r="Q52" s="28">
        <v>13.883571360392578</v>
      </c>
      <c r="R52" s="28">
        <v>0.66571270549299799</v>
      </c>
      <c r="S52" s="28">
        <v>24.902198448836074</v>
      </c>
      <c r="T52" s="29">
        <v>0.3836782508617142</v>
      </c>
    </row>
    <row r="53" spans="1:20" x14ac:dyDescent="0.35">
      <c r="A53" s="20" t="s">
        <v>72</v>
      </c>
      <c r="B53" s="9" t="s">
        <v>98</v>
      </c>
      <c r="C53" s="10" t="s">
        <v>88</v>
      </c>
      <c r="D53" s="29">
        <v>301664.52758523036</v>
      </c>
      <c r="E53" s="28">
        <v>73.791149475133494</v>
      </c>
      <c r="F53" s="28">
        <v>55293.594937481284</v>
      </c>
      <c r="G53" s="28">
        <v>77.441404431008763</v>
      </c>
      <c r="H53" s="28">
        <v>418.93505772318946</v>
      </c>
      <c r="I53" s="28">
        <v>593700</v>
      </c>
      <c r="J53" s="28">
        <v>58.241708235088041</v>
      </c>
      <c r="K53" s="28">
        <v>183.69739438580717</v>
      </c>
      <c r="L53" s="28">
        <v>10.185300306591008</v>
      </c>
      <c r="M53" s="28">
        <v>4237.2585003018985</v>
      </c>
      <c r="N53" s="36" t="s">
        <v>0</v>
      </c>
      <c r="O53" s="28">
        <v>0.89327161538977751</v>
      </c>
      <c r="P53" s="28">
        <v>36.143904944015631</v>
      </c>
      <c r="Q53" s="28">
        <v>10.756065110555943</v>
      </c>
      <c r="R53" s="28">
        <v>6.8818523729681377E-2</v>
      </c>
      <c r="S53" s="28">
        <v>24.897305252748911</v>
      </c>
      <c r="T53" s="37" t="s">
        <v>0</v>
      </c>
    </row>
    <row r="54" spans="1:20" x14ac:dyDescent="0.35">
      <c r="A54" s="20" t="s">
        <v>73</v>
      </c>
      <c r="B54" s="9" t="s">
        <v>98</v>
      </c>
      <c r="C54" s="10" t="s">
        <v>88</v>
      </c>
      <c r="D54" s="29">
        <v>304042.25055951037</v>
      </c>
      <c r="E54" s="28">
        <v>177.39286907441058</v>
      </c>
      <c r="F54" s="28">
        <v>57235.582118159713</v>
      </c>
      <c r="G54" s="28">
        <v>104.97771793496656</v>
      </c>
      <c r="H54" s="28">
        <v>680.4550690574988</v>
      </c>
      <c r="I54" s="28">
        <v>591500</v>
      </c>
      <c r="J54" s="28">
        <v>33.945261445913331</v>
      </c>
      <c r="K54" s="28">
        <v>335.23648730587348</v>
      </c>
      <c r="L54" s="28">
        <v>14.65597595169309</v>
      </c>
      <c r="M54" s="28">
        <v>2856.8410645880258</v>
      </c>
      <c r="N54" s="36" t="s">
        <v>0</v>
      </c>
      <c r="O54" s="28">
        <v>1.459788030638451</v>
      </c>
      <c r="P54" s="28">
        <v>15.557209348149398</v>
      </c>
      <c r="Q54" s="28">
        <v>11.128901105240024</v>
      </c>
      <c r="R54" s="28">
        <v>0.82271832622215013</v>
      </c>
      <c r="S54" s="28">
        <v>9.8142788071311351</v>
      </c>
      <c r="T54" s="37" t="s">
        <v>0</v>
      </c>
    </row>
    <row r="55" spans="1:20" x14ac:dyDescent="0.35">
      <c r="A55" s="20" t="s">
        <v>74</v>
      </c>
      <c r="B55" s="9" t="s">
        <v>98</v>
      </c>
      <c r="C55" s="10" t="s">
        <v>88</v>
      </c>
      <c r="D55" s="29">
        <v>301720.58067644667</v>
      </c>
      <c r="E55" s="28">
        <v>122.90908901456407</v>
      </c>
      <c r="F55" s="28">
        <v>63251.45311309259</v>
      </c>
      <c r="G55" s="28">
        <v>111.32139078007586</v>
      </c>
      <c r="H55" s="28">
        <v>492.80302388322997</v>
      </c>
      <c r="I55" s="28">
        <v>589400</v>
      </c>
      <c r="J55" s="28">
        <v>60.294944062460928</v>
      </c>
      <c r="K55" s="28">
        <v>242.74384373141464</v>
      </c>
      <c r="L55" s="28">
        <v>6.4928834617419362</v>
      </c>
      <c r="M55" s="28">
        <v>3164.5329222452492</v>
      </c>
      <c r="N55" s="36" t="s">
        <v>0</v>
      </c>
      <c r="O55" s="28">
        <v>0.37897291147009088</v>
      </c>
      <c r="P55" s="28">
        <v>8.6678455588825685</v>
      </c>
      <c r="Q55" s="28">
        <v>11.960263313157263</v>
      </c>
      <c r="R55" s="36" t="s">
        <v>0</v>
      </c>
      <c r="S55" s="28">
        <v>9.8009289222527318</v>
      </c>
      <c r="T55" s="37" t="s">
        <v>0</v>
      </c>
    </row>
    <row r="56" spans="1:20" x14ac:dyDescent="0.35">
      <c r="A56" s="20" t="s">
        <v>75</v>
      </c>
      <c r="B56" s="9" t="s">
        <v>99</v>
      </c>
      <c r="C56" s="10" t="s">
        <v>88</v>
      </c>
      <c r="D56" s="29">
        <v>325598.61225950351</v>
      </c>
      <c r="E56" s="28">
        <v>160.18812649919047</v>
      </c>
      <c r="F56" s="28">
        <v>71042.564983096498</v>
      </c>
      <c r="G56" s="28">
        <v>99.206493111694783</v>
      </c>
      <c r="H56" s="28">
        <v>363.63821813745818</v>
      </c>
      <c r="I56" s="28">
        <v>594500</v>
      </c>
      <c r="J56" s="28">
        <v>111.60712517537937</v>
      </c>
      <c r="K56" s="28">
        <v>115.16543051814214</v>
      </c>
      <c r="L56" s="28">
        <v>9.4873032484171009</v>
      </c>
      <c r="M56" s="28">
        <v>4388.4370985158857</v>
      </c>
      <c r="N56" s="28">
        <v>0.19117299657066578</v>
      </c>
      <c r="O56" s="28">
        <v>1.3340337816985917</v>
      </c>
      <c r="P56" s="28">
        <v>29.395421317843994</v>
      </c>
      <c r="Q56" s="28">
        <v>13.375509005124986</v>
      </c>
      <c r="R56" s="36" t="s">
        <v>0</v>
      </c>
      <c r="S56" s="28">
        <v>36.024051673080734</v>
      </c>
      <c r="T56" s="29">
        <v>0.27089802405285268</v>
      </c>
    </row>
    <row r="57" spans="1:20" x14ac:dyDescent="0.35">
      <c r="A57" s="20" t="s">
        <v>76</v>
      </c>
      <c r="B57" s="9" t="s">
        <v>99</v>
      </c>
      <c r="C57" s="10" t="s">
        <v>88</v>
      </c>
      <c r="D57" s="29">
        <v>325302.99873640086</v>
      </c>
      <c r="E57" s="28">
        <v>110.59952055511502</v>
      </c>
      <c r="F57" s="28">
        <v>67234.974834210021</v>
      </c>
      <c r="G57" s="28">
        <v>113.14838253039267</v>
      </c>
      <c r="H57" s="28">
        <v>421.68981019410978</v>
      </c>
      <c r="I57" s="28">
        <v>594500</v>
      </c>
      <c r="J57" s="28">
        <v>147.13081426742622</v>
      </c>
      <c r="K57" s="28">
        <v>153.96113313368969</v>
      </c>
      <c r="L57" s="28">
        <v>8.2689388641239763</v>
      </c>
      <c r="M57" s="28">
        <v>3258.2850580090012</v>
      </c>
      <c r="N57" s="28">
        <v>4.8576673599026517E-2</v>
      </c>
      <c r="O57" s="28">
        <v>1.0214214995983091</v>
      </c>
      <c r="P57" s="28">
        <v>15.622514429689531</v>
      </c>
      <c r="Q57" s="28">
        <v>12.849642376941249</v>
      </c>
      <c r="R57" s="28">
        <v>8.0427765042931296E-2</v>
      </c>
      <c r="S57" s="28">
        <v>6.0192853030708573</v>
      </c>
      <c r="T57" s="37" t="s">
        <v>0</v>
      </c>
    </row>
    <row r="58" spans="1:20" x14ac:dyDescent="0.35">
      <c r="A58" s="20" t="s">
        <v>77</v>
      </c>
      <c r="B58" s="9" t="s">
        <v>99</v>
      </c>
      <c r="C58" s="10" t="s">
        <v>88</v>
      </c>
      <c r="D58" s="29">
        <v>329826.1697178685</v>
      </c>
      <c r="E58" s="28">
        <v>139.74874225815455</v>
      </c>
      <c r="F58" s="28">
        <v>74785.834199401448</v>
      </c>
      <c r="G58" s="28">
        <v>100.77177471249554</v>
      </c>
      <c r="H58" s="28">
        <v>1023.189803361849</v>
      </c>
      <c r="I58" s="28">
        <v>582200</v>
      </c>
      <c r="J58" s="28">
        <v>405.07025358723325</v>
      </c>
      <c r="K58" s="28">
        <v>138.37896096720857</v>
      </c>
      <c r="L58" s="28">
        <v>15.623536077205623</v>
      </c>
      <c r="M58" s="28">
        <v>4659.8794127819365</v>
      </c>
      <c r="N58" s="28">
        <v>43.15728055184217</v>
      </c>
      <c r="O58" s="28">
        <v>377.41863925776568</v>
      </c>
      <c r="P58" s="28">
        <v>29.075839504159642</v>
      </c>
      <c r="Q58" s="28">
        <v>15.30313850543687</v>
      </c>
      <c r="R58" s="36" t="s">
        <v>0</v>
      </c>
      <c r="S58" s="28">
        <v>18.997507612838703</v>
      </c>
      <c r="T58" s="37" t="s">
        <v>0</v>
      </c>
    </row>
    <row r="59" spans="1:20" x14ac:dyDescent="0.35">
      <c r="A59" s="20" t="s">
        <v>78</v>
      </c>
      <c r="B59" s="9" t="s">
        <v>99</v>
      </c>
      <c r="C59" s="10" t="s">
        <v>88</v>
      </c>
      <c r="D59" s="29">
        <v>306259.40567333368</v>
      </c>
      <c r="E59" s="28">
        <v>201.68016099601596</v>
      </c>
      <c r="F59" s="28">
        <v>68034.847380231135</v>
      </c>
      <c r="G59" s="28">
        <v>112.56746961966645</v>
      </c>
      <c r="H59" s="28">
        <v>566.77987095822596</v>
      </c>
      <c r="I59" s="28">
        <v>581100</v>
      </c>
      <c r="J59" s="28">
        <v>131.53485697158624</v>
      </c>
      <c r="K59" s="28">
        <v>195.60762421858968</v>
      </c>
      <c r="L59" s="28">
        <v>15.626564350404715</v>
      </c>
      <c r="M59" s="28">
        <v>4125.1406307613343</v>
      </c>
      <c r="N59" s="28">
        <v>6.4231216584135942E-2</v>
      </c>
      <c r="O59" s="28">
        <v>1.2467476704462044</v>
      </c>
      <c r="P59" s="28">
        <v>31.448775414838835</v>
      </c>
      <c r="Q59" s="28">
        <v>11.862291120310642</v>
      </c>
      <c r="R59" s="28">
        <v>0.80229215415161692</v>
      </c>
      <c r="S59" s="28">
        <v>19.08870028871215</v>
      </c>
      <c r="T59" s="29">
        <v>0.46238468595505522</v>
      </c>
    </row>
    <row r="60" spans="1:20" x14ac:dyDescent="0.35">
      <c r="A60" s="20" t="s">
        <v>79</v>
      </c>
      <c r="B60" s="9" t="s">
        <v>99</v>
      </c>
      <c r="C60" s="10" t="s">
        <v>88</v>
      </c>
      <c r="D60" s="29">
        <v>298258.87177191302</v>
      </c>
      <c r="E60" s="28">
        <v>103.38957550435663</v>
      </c>
      <c r="F60" s="28">
        <v>65977.053329677292</v>
      </c>
      <c r="G60" s="28">
        <v>113.09358826703821</v>
      </c>
      <c r="H60" s="28">
        <v>565.01442225947278</v>
      </c>
      <c r="I60" s="28">
        <v>581100</v>
      </c>
      <c r="J60" s="28">
        <v>174.27998977466518</v>
      </c>
      <c r="K60" s="28">
        <v>208.03983670733442</v>
      </c>
      <c r="L60" s="28">
        <v>10.80085969963099</v>
      </c>
      <c r="M60" s="28">
        <v>3469.3317677028977</v>
      </c>
      <c r="N60" s="28">
        <v>1.0384602699902545</v>
      </c>
      <c r="O60" s="28">
        <v>4.0815906501336343</v>
      </c>
      <c r="P60" s="28">
        <v>11.709876468347504</v>
      </c>
      <c r="Q60" s="28">
        <v>11.650195562772925</v>
      </c>
      <c r="R60" s="28">
        <v>0.12132734927722313</v>
      </c>
      <c r="S60" s="28">
        <v>8.4200035566351836</v>
      </c>
      <c r="T60" s="29">
        <v>0.23901356520892403</v>
      </c>
    </row>
    <row r="61" spans="1:20" x14ac:dyDescent="0.35">
      <c r="A61" s="20" t="s">
        <v>80</v>
      </c>
      <c r="B61" s="9" t="s">
        <v>99</v>
      </c>
      <c r="C61" s="10" t="s">
        <v>88</v>
      </c>
      <c r="D61" s="29">
        <v>327083.6571450723</v>
      </c>
      <c r="E61" s="28">
        <v>120.34477036285872</v>
      </c>
      <c r="F61" s="28">
        <v>73913.780920194651</v>
      </c>
      <c r="G61" s="28">
        <v>110.92625563657765</v>
      </c>
      <c r="H61" s="28">
        <v>523.48016887054689</v>
      </c>
      <c r="I61" s="28">
        <v>579000</v>
      </c>
      <c r="J61" s="28">
        <v>188.87439084541595</v>
      </c>
      <c r="K61" s="28">
        <v>206.5477640249506</v>
      </c>
      <c r="L61" s="28">
        <v>12.565093893316641</v>
      </c>
      <c r="M61" s="28">
        <v>3838.5908927084952</v>
      </c>
      <c r="N61" s="36" t="s">
        <v>0</v>
      </c>
      <c r="O61" s="28">
        <v>0.37347032251135426</v>
      </c>
      <c r="P61" s="28">
        <v>3.0290269161543319</v>
      </c>
      <c r="Q61" s="28">
        <v>11.503704347374411</v>
      </c>
      <c r="R61" s="36" t="s">
        <v>0</v>
      </c>
      <c r="S61" s="28">
        <v>2.4988940457895263</v>
      </c>
      <c r="T61" s="37" t="s">
        <v>0</v>
      </c>
    </row>
    <row r="62" spans="1:20" x14ac:dyDescent="0.35">
      <c r="A62" s="20" t="s">
        <v>81</v>
      </c>
      <c r="B62" s="9" t="s">
        <v>99</v>
      </c>
      <c r="C62" s="10" t="s">
        <v>88</v>
      </c>
      <c r="D62" s="29">
        <v>322331.89009007142</v>
      </c>
      <c r="E62" s="28">
        <v>137.30190389787157</v>
      </c>
      <c r="F62" s="28">
        <v>72430.837927449596</v>
      </c>
      <c r="G62" s="28">
        <v>80.229177537089924</v>
      </c>
      <c r="H62" s="28">
        <v>248.19449938441849</v>
      </c>
      <c r="I62" s="28">
        <v>579000</v>
      </c>
      <c r="J62" s="28">
        <v>78.052544482234524</v>
      </c>
      <c r="K62" s="28">
        <v>95.93845508292523</v>
      </c>
      <c r="L62" s="28">
        <v>12.784873662418992</v>
      </c>
      <c r="M62" s="28">
        <v>4657.8248866306267</v>
      </c>
      <c r="N62" s="36" t="s">
        <v>0</v>
      </c>
      <c r="O62" s="36" t="s">
        <v>0</v>
      </c>
      <c r="P62" s="28">
        <v>4.3861031911972379</v>
      </c>
      <c r="Q62" s="28">
        <v>10.836352847756078</v>
      </c>
      <c r="R62" s="36" t="s">
        <v>0</v>
      </c>
      <c r="S62" s="28">
        <v>6.2674626321205871</v>
      </c>
      <c r="T62" s="29">
        <v>0.10022837232141225</v>
      </c>
    </row>
    <row r="63" spans="1:20" x14ac:dyDescent="0.35">
      <c r="A63" s="20" t="s">
        <v>82</v>
      </c>
      <c r="B63" s="41" t="s">
        <v>99</v>
      </c>
      <c r="C63" s="10" t="s">
        <v>88</v>
      </c>
      <c r="D63" s="29">
        <v>332828.21594215475</v>
      </c>
      <c r="E63" s="42">
        <v>147.75079580500312</v>
      </c>
      <c r="F63" s="42">
        <v>72197.06350001735</v>
      </c>
      <c r="G63" s="42">
        <v>82.275581698651806</v>
      </c>
      <c r="H63" s="42">
        <v>186.59112207984381</v>
      </c>
      <c r="I63" s="42">
        <v>579000</v>
      </c>
      <c r="J63" s="42">
        <v>73.665465963974185</v>
      </c>
      <c r="K63" s="42">
        <v>58.948250318720902</v>
      </c>
      <c r="L63" s="42">
        <v>11.151836329211836</v>
      </c>
      <c r="M63" s="42">
        <v>4853.6729551166927</v>
      </c>
      <c r="N63" s="43" t="s">
        <v>0</v>
      </c>
      <c r="O63" s="43" t="s">
        <v>0</v>
      </c>
      <c r="P63" s="42">
        <v>31.514882716953714</v>
      </c>
      <c r="Q63" s="42">
        <v>16.226112366718048</v>
      </c>
      <c r="R63" s="43" t="s">
        <v>0</v>
      </c>
      <c r="S63" s="42">
        <v>27.506939664077521</v>
      </c>
      <c r="T63" s="37" t="s">
        <v>0</v>
      </c>
    </row>
    <row r="64" spans="1:20" x14ac:dyDescent="0.35">
      <c r="A64" s="20" t="s">
        <v>83</v>
      </c>
      <c r="B64" s="41" t="s">
        <v>99</v>
      </c>
      <c r="C64" s="10" t="s">
        <v>88</v>
      </c>
      <c r="D64" s="29">
        <v>324234.95444560453</v>
      </c>
      <c r="E64" s="42">
        <v>130.06064803580651</v>
      </c>
      <c r="F64" s="42">
        <v>83947.01918115477</v>
      </c>
      <c r="G64" s="42">
        <v>120.66850101983832</v>
      </c>
      <c r="H64" s="42">
        <v>603.25563024931796</v>
      </c>
      <c r="I64" s="42">
        <v>564900</v>
      </c>
      <c r="J64" s="42">
        <v>219.51693056153155</v>
      </c>
      <c r="K64" s="42">
        <v>246.75455387390338</v>
      </c>
      <c r="L64" s="42">
        <v>10.627803312830498</v>
      </c>
      <c r="M64" s="42">
        <v>3428.6242888458278</v>
      </c>
      <c r="N64" s="42">
        <v>2.9028201249714787E-2</v>
      </c>
      <c r="O64" s="42">
        <v>0.72979467010973964</v>
      </c>
      <c r="P64" s="42">
        <v>1.3908952501412331</v>
      </c>
      <c r="Q64" s="42">
        <v>10.469755894813192</v>
      </c>
      <c r="R64" s="43" t="s">
        <v>0</v>
      </c>
      <c r="S64" s="42">
        <v>0.93443557093608509</v>
      </c>
      <c r="T64" s="37" t="s">
        <v>0</v>
      </c>
    </row>
    <row r="65" spans="1:20" x14ac:dyDescent="0.35">
      <c r="A65" s="20" t="s">
        <v>84</v>
      </c>
      <c r="B65" s="41" t="s">
        <v>99</v>
      </c>
      <c r="C65" s="10" t="s">
        <v>88</v>
      </c>
      <c r="D65" s="29">
        <v>323980.24661194882</v>
      </c>
      <c r="E65" s="42">
        <v>145.09219994447537</v>
      </c>
      <c r="F65" s="42">
        <v>83423.017103165606</v>
      </c>
      <c r="G65" s="42">
        <v>86.014557866484623</v>
      </c>
      <c r="H65" s="42">
        <v>274.75383780258414</v>
      </c>
      <c r="I65" s="42">
        <v>564900</v>
      </c>
      <c r="J65" s="42">
        <v>120.79906840823634</v>
      </c>
      <c r="K65" s="42">
        <v>74.826418711823365</v>
      </c>
      <c r="L65" s="42">
        <v>7.6451326508843218</v>
      </c>
      <c r="M65" s="42">
        <v>4561.2865370470226</v>
      </c>
      <c r="N65" s="42">
        <v>0.11091642990994204</v>
      </c>
      <c r="O65" s="42">
        <v>1.2696357151393449</v>
      </c>
      <c r="P65" s="42">
        <v>15.746083631323746</v>
      </c>
      <c r="Q65" s="42">
        <v>9.7910837960962791</v>
      </c>
      <c r="R65" s="43" t="s">
        <v>0</v>
      </c>
      <c r="S65" s="42">
        <v>13.600186155170599</v>
      </c>
      <c r="T65" s="29">
        <v>0.10000958465934785</v>
      </c>
    </row>
    <row r="66" spans="1:20" x14ac:dyDescent="0.35">
      <c r="A66" s="21" t="s">
        <v>85</v>
      </c>
      <c r="B66" s="11" t="s">
        <v>99</v>
      </c>
      <c r="C66" s="12" t="s">
        <v>88</v>
      </c>
      <c r="D66" s="31">
        <v>354179.85759464797</v>
      </c>
      <c r="E66" s="30">
        <v>157.61639132799186</v>
      </c>
      <c r="F66" s="30">
        <v>82373.480546856328</v>
      </c>
      <c r="G66" s="30">
        <v>87.707861259967331</v>
      </c>
      <c r="H66" s="30">
        <v>362.66703848977039</v>
      </c>
      <c r="I66" s="30">
        <v>557200</v>
      </c>
      <c r="J66" s="30">
        <v>186.56853430046101</v>
      </c>
      <c r="K66" s="30">
        <v>92.187110931174246</v>
      </c>
      <c r="L66" s="30">
        <v>8.9465607664700268</v>
      </c>
      <c r="M66" s="30">
        <v>5272.0252758155866</v>
      </c>
      <c r="N66" s="30">
        <v>1.5456106156116713</v>
      </c>
      <c r="O66" s="30">
        <v>26.277188890797888</v>
      </c>
      <c r="P66" s="30">
        <v>19.995115505189471</v>
      </c>
      <c r="Q66" s="30">
        <v>15.365808602081703</v>
      </c>
      <c r="R66" s="38" t="s">
        <v>0</v>
      </c>
      <c r="S66" s="30">
        <v>16.119192525839054</v>
      </c>
      <c r="T66" s="39" t="s">
        <v>0</v>
      </c>
    </row>
    <row r="67" spans="1:20" x14ac:dyDescent="0.35">
      <c r="A67" s="22"/>
      <c r="B67" s="9"/>
      <c r="C67" s="9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</row>
    <row r="68" spans="1:20" ht="14.6" x14ac:dyDescent="0.4">
      <c r="A68" s="34" t="s">
        <v>90</v>
      </c>
      <c r="B68" s="8" t="s">
        <v>3</v>
      </c>
      <c r="C68" s="13"/>
      <c r="D68" s="40">
        <f t="shared" ref="D68:T68" si="0">AVERAGE(D5:D66)</f>
        <v>318919.58290652855</v>
      </c>
      <c r="E68" s="26">
        <f t="shared" si="0"/>
        <v>85.836146430288153</v>
      </c>
      <c r="F68" s="26">
        <f t="shared" si="0"/>
        <v>44231.501343738026</v>
      </c>
      <c r="G68" s="26">
        <f t="shared" si="0"/>
        <v>69.68423418479864</v>
      </c>
      <c r="H68" s="26">
        <f t="shared" si="0"/>
        <v>413.76256951529342</v>
      </c>
      <c r="I68" s="26">
        <f t="shared" si="0"/>
        <v>611150</v>
      </c>
      <c r="J68" s="26">
        <f t="shared" si="0"/>
        <v>115.23463440772983</v>
      </c>
      <c r="K68" s="26">
        <f t="shared" si="0"/>
        <v>144.57846831488544</v>
      </c>
      <c r="L68" s="26">
        <f t="shared" si="0"/>
        <v>12.929803555112418</v>
      </c>
      <c r="M68" s="26">
        <f t="shared" si="0"/>
        <v>3397.2786887529119</v>
      </c>
      <c r="N68" s="26">
        <f t="shared" si="0"/>
        <v>14.091151308908723</v>
      </c>
      <c r="O68" s="26">
        <f t="shared" si="0"/>
        <v>30.930419183541005</v>
      </c>
      <c r="P68" s="26">
        <f t="shared" si="0"/>
        <v>22.89850696550344</v>
      </c>
      <c r="Q68" s="26">
        <f t="shared" si="0"/>
        <v>17.619987894438612</v>
      </c>
      <c r="R68" s="26">
        <f t="shared" si="0"/>
        <v>0.25481207036214976</v>
      </c>
      <c r="S68" s="26">
        <f t="shared" si="0"/>
        <v>17.336177404062944</v>
      </c>
      <c r="T68" s="27">
        <f t="shared" si="0"/>
        <v>0.32421819569684512</v>
      </c>
    </row>
    <row r="69" spans="1:20" ht="14.6" x14ac:dyDescent="0.4">
      <c r="A69" s="35">
        <v>62</v>
      </c>
      <c r="B69" s="14" t="s">
        <v>1</v>
      </c>
      <c r="C69" s="14"/>
      <c r="D69" s="32">
        <f t="shared" ref="D69:T69" si="1">MIN(D5:D66)</f>
        <v>287900.59286983876</v>
      </c>
      <c r="E69" s="28">
        <f t="shared" si="1"/>
        <v>9.9186787348677541</v>
      </c>
      <c r="F69" s="28">
        <f t="shared" si="1"/>
        <v>11183.749154931587</v>
      </c>
      <c r="G69" s="28">
        <f t="shared" si="1"/>
        <v>10.531355116925729</v>
      </c>
      <c r="H69" s="28">
        <f t="shared" si="1"/>
        <v>73.523265582188216</v>
      </c>
      <c r="I69" s="28">
        <f t="shared" si="1"/>
        <v>557200</v>
      </c>
      <c r="J69" s="28">
        <f t="shared" si="1"/>
        <v>0.60264415243201219</v>
      </c>
      <c r="K69" s="28">
        <f t="shared" si="1"/>
        <v>18.878099143994582</v>
      </c>
      <c r="L69" s="28">
        <f t="shared" si="1"/>
        <v>3.4592245309582648</v>
      </c>
      <c r="M69" s="28">
        <f t="shared" si="1"/>
        <v>1846.2527074480574</v>
      </c>
      <c r="N69" s="28">
        <f t="shared" si="1"/>
        <v>2.9028201249714787E-2</v>
      </c>
      <c r="O69" s="28">
        <f t="shared" si="1"/>
        <v>0.34917858056060314</v>
      </c>
      <c r="P69" s="28">
        <f t="shared" si="1"/>
        <v>1.3908952501412331</v>
      </c>
      <c r="Q69" s="28">
        <f t="shared" si="1"/>
        <v>9.7910837960962791</v>
      </c>
      <c r="R69" s="28">
        <f t="shared" si="1"/>
        <v>6.8818523729681377E-2</v>
      </c>
      <c r="S69" s="28">
        <f t="shared" si="1"/>
        <v>0.93443557093608509</v>
      </c>
      <c r="T69" s="29">
        <f t="shared" si="1"/>
        <v>7.3711227868891921E-2</v>
      </c>
    </row>
    <row r="70" spans="1:20" x14ac:dyDescent="0.35">
      <c r="A70" s="15"/>
      <c r="B70" s="14" t="s">
        <v>2</v>
      </c>
      <c r="C70" s="14"/>
      <c r="D70" s="32">
        <f t="shared" ref="D70:T70" si="2">MAX(D5:D66)</f>
        <v>354179.85759464797</v>
      </c>
      <c r="E70" s="28">
        <f t="shared" si="2"/>
        <v>296.27930198880529</v>
      </c>
      <c r="F70" s="28">
        <f t="shared" si="2"/>
        <v>83947.01918115477</v>
      </c>
      <c r="G70" s="28">
        <f t="shared" si="2"/>
        <v>151.57181424083652</v>
      </c>
      <c r="H70" s="28">
        <f t="shared" si="2"/>
        <v>1023.189803361849</v>
      </c>
      <c r="I70" s="28">
        <f t="shared" si="2"/>
        <v>647000</v>
      </c>
      <c r="J70" s="28">
        <f t="shared" si="2"/>
        <v>405.07025358723325</v>
      </c>
      <c r="K70" s="28">
        <f t="shared" si="2"/>
        <v>400.19554735662194</v>
      </c>
      <c r="L70" s="28">
        <f t="shared" si="2"/>
        <v>49.678711624306239</v>
      </c>
      <c r="M70" s="28">
        <f t="shared" si="2"/>
        <v>5329.222990985626</v>
      </c>
      <c r="N70" s="28">
        <f t="shared" si="2"/>
        <v>396.7357443161203</v>
      </c>
      <c r="O70" s="28">
        <f t="shared" si="2"/>
        <v>377.41863925776568</v>
      </c>
      <c r="P70" s="28">
        <f t="shared" si="2"/>
        <v>156.76230332294176</v>
      </c>
      <c r="Q70" s="28">
        <f t="shared" si="2"/>
        <v>36.315826583741334</v>
      </c>
      <c r="R70" s="28">
        <f t="shared" si="2"/>
        <v>0.82271832622215013</v>
      </c>
      <c r="S70" s="28">
        <f t="shared" si="2"/>
        <v>87.7934672694184</v>
      </c>
      <c r="T70" s="29">
        <f t="shared" si="2"/>
        <v>1.338323963522525</v>
      </c>
    </row>
    <row r="71" spans="1:20" x14ac:dyDescent="0.35">
      <c r="A71" s="15"/>
      <c r="B71" s="14" t="s">
        <v>91</v>
      </c>
      <c r="C71" s="14"/>
      <c r="D71" s="32">
        <f t="shared" ref="D71:T71" si="3">MEDIAN(D5:D66)</f>
        <v>322052.40582570923</v>
      </c>
      <c r="E71" s="28">
        <f t="shared" si="3"/>
        <v>75.92345329776532</v>
      </c>
      <c r="F71" s="28">
        <f t="shared" si="3"/>
        <v>44620.174434449669</v>
      </c>
      <c r="G71" s="28">
        <f t="shared" si="3"/>
        <v>76.098397964323567</v>
      </c>
      <c r="H71" s="28">
        <f t="shared" si="3"/>
        <v>363.15262831361429</v>
      </c>
      <c r="I71" s="28">
        <f t="shared" si="3"/>
        <v>612000</v>
      </c>
      <c r="J71" s="28">
        <f t="shared" si="3"/>
        <v>97.449701537571627</v>
      </c>
      <c r="K71" s="28">
        <f t="shared" si="3"/>
        <v>112.40996001526584</v>
      </c>
      <c r="L71" s="28">
        <f t="shared" si="3"/>
        <v>10.802342139850275</v>
      </c>
      <c r="M71" s="28">
        <f t="shared" si="3"/>
        <v>3254.0836590928211</v>
      </c>
      <c r="N71" s="28">
        <f t="shared" si="3"/>
        <v>0.5327706136428505</v>
      </c>
      <c r="O71" s="28">
        <f t="shared" si="3"/>
        <v>4.1849597830013856</v>
      </c>
      <c r="P71" s="28">
        <f t="shared" si="3"/>
        <v>15.684299030506638</v>
      </c>
      <c r="Q71" s="28">
        <f t="shared" si="3"/>
        <v>17.488616760028716</v>
      </c>
      <c r="R71" s="28">
        <f t="shared" si="3"/>
        <v>0.12214324001306609</v>
      </c>
      <c r="S71" s="28">
        <f t="shared" si="3"/>
        <v>11.195173673671189</v>
      </c>
      <c r="T71" s="29">
        <f t="shared" si="3"/>
        <v>0.23901356520892403</v>
      </c>
    </row>
    <row r="72" spans="1:20" x14ac:dyDescent="0.35">
      <c r="A72" s="16"/>
      <c r="B72" s="17" t="s">
        <v>92</v>
      </c>
      <c r="C72" s="17"/>
      <c r="D72" s="33">
        <f t="shared" ref="D72:T72" si="4">STDEV(D5:D66)</f>
        <v>14398.465362612067</v>
      </c>
      <c r="E72" s="30">
        <f t="shared" si="4"/>
        <v>57.174324397381177</v>
      </c>
      <c r="F72" s="30">
        <f t="shared" si="4"/>
        <v>20522.555461349897</v>
      </c>
      <c r="G72" s="30">
        <f t="shared" si="4"/>
        <v>37.74102694488122</v>
      </c>
      <c r="H72" s="30">
        <f t="shared" si="4"/>
        <v>207.22217312014416</v>
      </c>
      <c r="I72" s="30">
        <f t="shared" si="4"/>
        <v>23487.986116380405</v>
      </c>
      <c r="J72" s="30">
        <f t="shared" si="4"/>
        <v>85.833523045600245</v>
      </c>
      <c r="K72" s="30">
        <f t="shared" si="4"/>
        <v>104.26957020352637</v>
      </c>
      <c r="L72" s="30">
        <f t="shared" si="4"/>
        <v>7.860483414746712</v>
      </c>
      <c r="M72" s="30">
        <f t="shared" si="4"/>
        <v>931.73395596372575</v>
      </c>
      <c r="N72" s="30">
        <f t="shared" si="4"/>
        <v>60.106335429428981</v>
      </c>
      <c r="O72" s="30">
        <f t="shared" si="4"/>
        <v>80.144660223563278</v>
      </c>
      <c r="P72" s="30">
        <f t="shared" si="4"/>
        <v>24.38664813672861</v>
      </c>
      <c r="Q72" s="30">
        <f t="shared" si="4"/>
        <v>4.8839390324413339</v>
      </c>
      <c r="R72" s="30">
        <f t="shared" si="4"/>
        <v>0.25267275092494057</v>
      </c>
      <c r="S72" s="30">
        <f t="shared" si="4"/>
        <v>17.839573871446078</v>
      </c>
      <c r="T72" s="31">
        <f t="shared" si="4"/>
        <v>0.26943532732446912</v>
      </c>
    </row>
    <row r="74" spans="1:20" x14ac:dyDescent="0.35">
      <c r="A74" s="23"/>
      <c r="B74" s="18" t="s">
        <v>0</v>
      </c>
      <c r="C74" s="18" t="s">
        <v>6</v>
      </c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5"/>
    </row>
  </sheetData>
  <mergeCells count="2">
    <mergeCell ref="A1:T1"/>
    <mergeCell ref="A2:T2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5C41AE3-78EA-483A-B0AF-788FD20D610D}">
  <ds:schemaRefs>
    <ds:schemaRef ds:uri="http://schemas.microsoft.com/office/2006/metadata/properties"/>
    <ds:schemaRef ds:uri="http://schemas.microsoft.com/office/infopath/2007/PartnerControls"/>
    <ds:schemaRef ds:uri="d1b6de73-4f20-4d67-b501-ebb16ac10b95"/>
    <ds:schemaRef ds:uri="31062a0d-ede8-4112-b4bb-00a9c1bc8e16"/>
  </ds:schemaRefs>
</ds:datastoreItem>
</file>

<file path=customXml/itemProps2.xml><?xml version="1.0" encoding="utf-8"?>
<ds:datastoreItem xmlns:ds="http://schemas.openxmlformats.org/officeDocument/2006/customXml" ds:itemID="{C03559E6-1EF2-4CDC-B77C-DD41E09C26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C6C9C23-A312-4803-ABEE-EC529EABFE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5 LAICPMS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Ciccolella</dc:creator>
  <cp:lastModifiedBy>Tharalson, Erik R</cp:lastModifiedBy>
  <dcterms:created xsi:type="dcterms:W3CDTF">2023-12-13T18:52:29Z</dcterms:created>
  <dcterms:modified xsi:type="dcterms:W3CDTF">2025-03-12T20:00:18Z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0x010100E89770C754368F49BB2A63D8816AD496</vt:lpwstr>
  </property>
  <property fmtid="{D5CDD505-2E9C-101B-9397-08002B2CF9AE}" pid="3" name="MediaServiceImageTags">
    <vt:lpwstr/>
  </property>
</Properties>
</file>